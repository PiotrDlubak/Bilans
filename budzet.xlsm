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2.xml" ContentType="application/vnd.ms-excel.slicer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121D38D2-BC05-475A-92BD-7221F225B57B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Start" sheetId="12" r:id="rId1"/>
    <sheet name="bilans" sheetId="9" r:id="rId2"/>
    <sheet name="struktura" sheetId="6" r:id="rId3"/>
    <sheet name="statystyki" sheetId="5" r:id="rId4"/>
    <sheet name="transakcje" sheetId="1" r:id="rId5"/>
    <sheet name="parametr" sheetId="3" r:id="rId6"/>
  </sheets>
  <definedNames>
    <definedName name="_xlchart.v1.0" hidden="1">bilans!$H$8:$H$22</definedName>
    <definedName name="_xlchart.v1.1" hidden="1">bilans!$H$8:$H$29</definedName>
    <definedName name="_xlchart.v1.2" hidden="1">bilans!$K$8:$K$29</definedName>
    <definedName name="_xlchart.v1.3" hidden="1">bilans!$K$9:$K$22</definedName>
    <definedName name="_xlchart.v1.4" hidden="1">bilans!$H$8:$H$29</definedName>
    <definedName name="_xlchart.v1.5" hidden="1">bilans!$K$8:$K$29</definedName>
    <definedName name="Fragmentator_kategoria">#N/A</definedName>
    <definedName name="Fragmentator_podkategoria">#N/A</definedName>
    <definedName name="Fragmentator_rok">#N/A</definedName>
    <definedName name="Fragmentator_rok1">#N/A</definedName>
    <definedName name="Fragmentator_typ">#N/A</definedName>
  </definedNames>
  <calcPr calcId="191029"/>
  <pivotCaches>
    <pivotCache cacheId="16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9" l="1"/>
  <c r="K10" i="9" s="1"/>
  <c r="J11" i="9"/>
  <c r="K11" i="9" s="1"/>
  <c r="J12" i="9"/>
  <c r="K12" i="9" s="1"/>
  <c r="J13" i="9"/>
  <c r="K13" i="9" s="1"/>
  <c r="J14" i="9"/>
  <c r="K14" i="9" s="1"/>
  <c r="J15" i="9"/>
  <c r="K15" i="9" s="1"/>
  <c r="J16" i="9"/>
  <c r="K16" i="9" s="1"/>
  <c r="J17" i="9"/>
  <c r="K17" i="9" s="1"/>
  <c r="J18" i="9"/>
  <c r="K18" i="9" s="1"/>
  <c r="J19" i="9"/>
  <c r="K19" i="9" s="1"/>
  <c r="J20" i="9"/>
  <c r="K20" i="9" s="1"/>
  <c r="J21" i="9"/>
  <c r="K21" i="9" s="1"/>
  <c r="J22" i="9"/>
  <c r="K22" i="9" s="1"/>
  <c r="J9" i="9"/>
  <c r="K9" i="9" s="1"/>
  <c r="W15" i="5"/>
  <c r="W12" i="5"/>
  <c r="W18" i="5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G2" i="1"/>
  <c r="H2" i="1" s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093" i="1"/>
  <c r="H2093" i="1" s="1"/>
  <c r="G2094" i="1"/>
  <c r="H2094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4" i="1"/>
  <c r="H2394" i="1" s="1"/>
  <c r="G2395" i="1"/>
  <c r="H2395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2" i="1"/>
  <c r="H2472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5" i="1"/>
  <c r="H2495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4" i="1"/>
  <c r="H2514" i="1" s="1"/>
  <c r="G2515" i="1"/>
  <c r="H2515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2" i="1"/>
  <c r="H2572" i="1" s="1"/>
  <c r="G2573" i="1"/>
  <c r="H2573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3" i="1"/>
  <c r="H2643" i="1" s="1"/>
  <c r="G2644" i="1"/>
  <c r="H2644" i="1" s="1"/>
  <c r="G2645" i="1"/>
  <c r="H2645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2" i="1"/>
  <c r="H2712" i="1" s="1"/>
  <c r="G2713" i="1"/>
  <c r="H2713" i="1" s="1"/>
  <c r="G2714" i="1"/>
  <c r="H2714" i="1" s="1"/>
  <c r="G2715" i="1"/>
  <c r="H2715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1" i="1"/>
  <c r="H2801" i="1" s="1"/>
  <c r="G2802" i="1"/>
  <c r="H2802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2" i="1"/>
  <c r="H2912" i="1" s="1"/>
  <c r="G2913" i="1"/>
  <c r="H2913" i="1" s="1"/>
  <c r="G2914" i="1"/>
  <c r="H2914" i="1" s="1"/>
  <c r="G2915" i="1"/>
  <c r="H2915" i="1" s="1"/>
  <c r="G2916" i="1"/>
  <c r="H2916" i="1" s="1"/>
  <c r="G2917" i="1"/>
  <c r="H2917" i="1" s="1"/>
  <c r="G2918" i="1"/>
  <c r="H2918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5" i="1"/>
  <c r="H3975" i="1" s="1"/>
  <c r="G3976" i="1"/>
  <c r="H3976" i="1" s="1"/>
  <c r="G3977" i="1"/>
  <c r="H3977" i="1" s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H4037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G4213" i="1"/>
  <c r="H4213" i="1" s="1"/>
  <c r="G4214" i="1"/>
  <c r="H4214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2" i="1"/>
  <c r="H4232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7" i="1"/>
  <c r="H4297" i="1" s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</calcChain>
</file>

<file path=xl/sharedStrings.xml><?xml version="1.0" encoding="utf-8"?>
<sst xmlns="http://schemas.openxmlformats.org/spreadsheetml/2006/main" count="4702" uniqueCount="62">
  <si>
    <t>id</t>
  </si>
  <si>
    <t>rok</t>
  </si>
  <si>
    <t>mc</t>
  </si>
  <si>
    <t>dzień</t>
  </si>
  <si>
    <t>kwota</t>
  </si>
  <si>
    <t>podkategoria</t>
  </si>
  <si>
    <t>kategoria</t>
  </si>
  <si>
    <t>typ</t>
  </si>
  <si>
    <t>wynagrodzenie</t>
  </si>
  <si>
    <t>dochody z pracy</t>
  </si>
  <si>
    <t>dochody</t>
  </si>
  <si>
    <t>inne</t>
  </si>
  <si>
    <t>wydatki inne</t>
  </si>
  <si>
    <t>wydatki</t>
  </si>
  <si>
    <t>opłata bankowa</t>
  </si>
  <si>
    <t>opłaty stałe</t>
  </si>
  <si>
    <t>dodatki</t>
  </si>
  <si>
    <t>odsetki</t>
  </si>
  <si>
    <t>dochody pozostałe</t>
  </si>
  <si>
    <t>nagroda</t>
  </si>
  <si>
    <t>remonty</t>
  </si>
  <si>
    <t>trwałe</t>
  </si>
  <si>
    <t>trzynastka</t>
  </si>
  <si>
    <t>Internet</t>
  </si>
  <si>
    <t>elektronika</t>
  </si>
  <si>
    <t>telefon</t>
  </si>
  <si>
    <t>żywność</t>
  </si>
  <si>
    <t>życie</t>
  </si>
  <si>
    <t>darowizna</t>
  </si>
  <si>
    <t>ubezpieczenie mieszkania</t>
  </si>
  <si>
    <t>ubezpieczenie życie</t>
  </si>
  <si>
    <t>czynsz</t>
  </si>
  <si>
    <t>transport miejski</t>
  </si>
  <si>
    <t>meble</t>
  </si>
  <si>
    <t>prąd</t>
  </si>
  <si>
    <t>gaz</t>
  </si>
  <si>
    <t>podatek nieruchomości</t>
  </si>
  <si>
    <t>abonament</t>
  </si>
  <si>
    <t>kwota2</t>
  </si>
  <si>
    <t>Suma</t>
  </si>
  <si>
    <t>% zmiany rocznej</t>
  </si>
  <si>
    <t>Liczba transakcji</t>
  </si>
  <si>
    <t>zmiana roczna sumy</t>
  </si>
  <si>
    <t/>
  </si>
  <si>
    <t>suma</t>
  </si>
  <si>
    <t>STATYSTYKI ROCZNE</t>
  </si>
  <si>
    <t>SUMA MIESIĘCZNIE</t>
  </si>
  <si>
    <t>(Wszystko)</t>
  </si>
  <si>
    <t xml:space="preserve"> </t>
  </si>
  <si>
    <t>średnia mc</t>
  </si>
  <si>
    <t>liczba mc</t>
  </si>
  <si>
    <t>Suma roku</t>
  </si>
  <si>
    <t>Średnia transakcyjna</t>
  </si>
  <si>
    <t>Struktura podkategorii wg kategorii transakcji</t>
  </si>
  <si>
    <t>Struktura podkategorii wg typu transakcji</t>
  </si>
  <si>
    <t>Rok</t>
  </si>
  <si>
    <t>Suma narastająco</t>
  </si>
  <si>
    <t>% udział</t>
  </si>
  <si>
    <t>zmiana salda</t>
  </si>
  <si>
    <t>% zmiana salda</t>
  </si>
  <si>
    <t>dane demonstracyjne -losowe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</si>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</sst>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15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charset val="238"/>
      <scheme val="minor"/>
    </font>
    <font>
      <sz val="11"/>
      <color theme="1"/>
      <name val="Abadi"/>
      <family val="2"/>
    </font>
    <font>
      <b/>
      <sz val="11"/>
      <color theme="1"/>
      <name val="Abadi"/>
      <family val="2"/>
    </font>
    <font>
      <b/>
      <sz val="11"/>
      <color rgb="FFC00000"/>
      <name val="Abadi"/>
      <family val="2"/>
    </font>
    <font>
      <b/>
      <sz val="10"/>
      <color theme="1"/>
      <name val="Calibri"/>
      <family val="2"/>
      <charset val="238"/>
      <scheme val="minor"/>
    </font>
    <font>
      <b/>
      <sz val="10"/>
      <color theme="1"/>
      <name val="Abad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0" tint="-4.9989318521683403E-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 tint="4.9989318521683403E-2"/>
      <name val="Abadi"/>
      <family val="2"/>
    </font>
    <font>
      <sz val="11"/>
      <color theme="1" tint="4.9989318521683403E-2"/>
      <name val="Abad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48">
    <xf numFmtId="0" fontId="0" fillId="0" borderId="0" xfId="0"/>
    <xf numFmtId="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0" fontId="0" fillId="0" borderId="0" xfId="0" applyNumberFormat="1"/>
    <xf numFmtId="4" fontId="0" fillId="0" borderId="0" xfId="0" applyNumberFormat="1" applyAlignment="1">
      <alignment wrapText="1"/>
    </xf>
    <xf numFmtId="0" fontId="2" fillId="0" borderId="0" xfId="0" applyFont="1"/>
    <xf numFmtId="4" fontId="2" fillId="0" borderId="0" xfId="0" applyNumberFormat="1" applyFont="1"/>
    <xf numFmtId="0" fontId="2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0" xfId="0" pivotButton="1"/>
    <xf numFmtId="0" fontId="9" fillId="0" borderId="0" xfId="0" applyFont="1" applyAlignment="1">
      <alignment horizontal="left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pivotButton="1" applyNumberFormat="1" applyAlignment="1">
      <alignment horizontal="center"/>
    </xf>
    <xf numFmtId="4" fontId="0" fillId="0" borderId="0" xfId="0" applyNumberFormat="1" applyAlignment="1">
      <alignment horizontal="righ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pivotButton="1" applyFont="1" applyAlignment="1">
      <alignment horizontal="center"/>
    </xf>
    <xf numFmtId="4" fontId="9" fillId="0" borderId="0" xfId="0" applyNumberFormat="1" applyFont="1" applyAlignment="1">
      <alignment horizontal="left"/>
    </xf>
    <xf numFmtId="0" fontId="9" fillId="0" borderId="0" xfId="0" pivotButton="1" applyFont="1" applyAlignment="1">
      <alignment horizontal="left"/>
    </xf>
    <xf numFmtId="0" fontId="9" fillId="4" borderId="0" xfId="0" applyFont="1" applyFill="1" applyAlignment="1">
      <alignment horizontal="right"/>
    </xf>
    <xf numFmtId="4" fontId="0" fillId="0" borderId="0" xfId="0" applyNumberFormat="1" applyAlignment="1">
      <alignment horizontal="center" wrapText="1"/>
    </xf>
    <xf numFmtId="0" fontId="9" fillId="4" borderId="0" xfId="0" applyFont="1" applyFill="1" applyAlignment="1">
      <alignment horizontal="right" wrapText="1"/>
    </xf>
    <xf numFmtId="9" fontId="2" fillId="0" borderId="1" xfId="1" applyFont="1" applyBorder="1" applyAlignment="1">
      <alignment horizontal="right"/>
    </xf>
    <xf numFmtId="0" fontId="11" fillId="5" borderId="0" xfId="0" applyFont="1" applyFill="1"/>
    <xf numFmtId="0" fontId="12" fillId="5" borderId="0" xfId="0" applyFont="1" applyFill="1"/>
    <xf numFmtId="0" fontId="12" fillId="5" borderId="0" xfId="0" applyFont="1" applyFill="1" applyAlignment="1">
      <alignment horizontal="right"/>
    </xf>
    <xf numFmtId="164" fontId="2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right" vertical="center" wrapText="1"/>
    </xf>
    <xf numFmtId="0" fontId="10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0" borderId="0" xfId="0" applyFont="1" applyFill="1"/>
    <xf numFmtId="4" fontId="2" fillId="0" borderId="0" xfId="0" applyNumberFormat="1" applyFont="1" applyFill="1"/>
    <xf numFmtId="0" fontId="3" fillId="0" borderId="0" xfId="0" applyFont="1" applyFill="1"/>
    <xf numFmtId="0" fontId="6" fillId="0" borderId="0" xfId="0" applyFont="1" applyFill="1" applyAlignment="1">
      <alignment horizontal="left" vertical="center" wrapText="1"/>
    </xf>
    <xf numFmtId="0" fontId="6" fillId="0" borderId="0" xfId="0" applyFont="1" applyFill="1" applyAlignment="1">
      <alignment horizontal="right" vertical="center" wrapText="1"/>
    </xf>
    <xf numFmtId="0" fontId="6" fillId="0" borderId="0" xfId="0" applyNumberFormat="1" applyFont="1" applyFill="1" applyAlignment="1">
      <alignment horizontal="right" vertical="center" wrapText="1"/>
    </xf>
    <xf numFmtId="4" fontId="14" fillId="0" borderId="0" xfId="0" applyNumberFormat="1" applyFont="1" applyFill="1"/>
    <xf numFmtId="0" fontId="14" fillId="0" borderId="0" xfId="0" applyNumberFormat="1" applyFont="1" applyFill="1"/>
    <xf numFmtId="10" fontId="14" fillId="0" borderId="0" xfId="0" applyNumberFormat="1" applyFont="1" applyFill="1" applyAlignment="1">
      <alignment horizontal="right"/>
    </xf>
    <xf numFmtId="0" fontId="13" fillId="0" borderId="0" xfId="0" applyFont="1" applyFill="1"/>
    <xf numFmtId="0" fontId="2" fillId="0" borderId="0" xfId="0" applyFont="1" applyFill="1" applyAlignment="1">
      <alignment horizontal="left"/>
    </xf>
    <xf numFmtId="0" fontId="2" fillId="0" borderId="0" xfId="0" applyFont="1" applyFill="1" applyAlignment="1">
      <alignment horizontal="center"/>
    </xf>
    <xf numFmtId="0" fontId="6" fillId="0" borderId="0" xfId="0" applyFont="1" applyFill="1"/>
  </cellXfs>
  <cellStyles count="2">
    <cellStyle name="Normalny" xfId="0" builtinId="0"/>
    <cellStyle name="Procentowy" xfId="1" builtinId="5"/>
  </cellStyles>
  <dxfs count="100">
    <dxf>
      <numFmt numFmtId="4" formatCode="#,##0.00"/>
    </dxf>
    <dxf>
      <numFmt numFmtId="0" formatCode="General"/>
    </dxf>
    <dxf>
      <numFmt numFmtId="4" formatCode="#,##0.0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1" tint="4.9989318521683403E-2"/>
      </font>
    </dxf>
    <dxf>
      <font>
        <color theme="1" tint="4.9989318521683403E-2"/>
      </font>
    </dxf>
    <dxf>
      <font>
        <sz val="10"/>
      </font>
    </dxf>
    <dxf>
      <font>
        <sz val="10"/>
      </font>
    </dxf>
    <dxf>
      <font>
        <b/>
        <charset val="238"/>
      </font>
    </dxf>
    <dxf>
      <font>
        <b/>
        <charset val="238"/>
      </font>
    </dxf>
    <dxf>
      <font>
        <name val="Abadi"/>
        <scheme val="none"/>
      </font>
    </dxf>
    <dxf>
      <font>
        <name val="Abadi"/>
        <scheme val="none"/>
      </font>
    </dxf>
    <dxf>
      <font>
        <name val="Abadi"/>
        <scheme val="none"/>
      </font>
    </dxf>
    <dxf>
      <font>
        <name val="Abadi"/>
        <scheme val="none"/>
      </font>
    </dxf>
    <dxf>
      <font>
        <name val="Abadi"/>
        <scheme val="none"/>
      </font>
    </dxf>
    <dxf>
      <alignment horizontal="right"/>
    </dxf>
    <dxf>
      <alignment horizontal="right"/>
    </dxf>
    <dxf>
      <font>
        <b/>
        <charset val="238"/>
      </font>
    </dxf>
    <dxf>
      <numFmt numFmtId="0" formatCode="General"/>
    </dxf>
    <dxf>
      <alignment horizontal="left"/>
    </dxf>
    <dxf>
      <alignment horizontal="right"/>
    </dxf>
    <dxf>
      <alignment vertical="center"/>
    </dxf>
    <dxf>
      <alignment vertical="center"/>
    </dxf>
    <dxf>
      <alignment wrapText="1"/>
    </dxf>
    <dxf>
      <alignment wrapText="1"/>
    </dxf>
    <dxf>
      <font>
        <b/>
        <charset val="238"/>
      </font>
    </dxf>
    <dxf>
      <font>
        <b/>
        <charset val="238"/>
      </font>
    </dxf>
    <dxf>
      <numFmt numFmtId="164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horizontal="right"/>
    </dxf>
    <dxf>
      <numFmt numFmtId="14" formatCode="0.00%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font>
        <sz val="10"/>
      </font>
    </dxf>
    <dxf>
      <font>
        <sz val="10"/>
      </font>
    </dxf>
    <dxf>
      <font>
        <b/>
        <charset val="238"/>
      </font>
    </dxf>
    <dxf>
      <font>
        <b/>
        <charset val="238"/>
      </font>
    </dxf>
    <dxf>
      <font>
        <name val="Abadi"/>
        <scheme val="none"/>
      </font>
    </dxf>
    <dxf>
      <font>
        <name val="Abadi"/>
        <scheme val="none"/>
      </font>
    </dxf>
    <dxf>
      <font>
        <name val="Abadi"/>
        <scheme val="none"/>
      </font>
    </dxf>
    <dxf>
      <font>
        <name val="Abadi"/>
        <scheme val="none"/>
      </font>
    </dxf>
    <dxf>
      <font>
        <name val="Abadi"/>
        <scheme val="none"/>
      </font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numFmt numFmtId="4" formatCode="#,##0.00"/>
    </dxf>
    <dxf>
      <numFmt numFmtId="4" formatCode="#,##0.00"/>
    </dxf>
    <dxf>
      <numFmt numFmtId="4" formatCode="#,##0.00"/>
    </dxf>
    <dxf>
      <font>
        <color rgb="FFFF0000"/>
      </font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font>
        <b/>
        <charset val="238"/>
      </font>
    </dxf>
    <dxf>
      <font>
        <b/>
        <charset val="238"/>
      </font>
    </dxf>
    <dxf>
      <font>
        <b/>
        <charset val="238"/>
      </font>
    </dxf>
    <dxf>
      <font>
        <color theme="1"/>
      </font>
    </dxf>
    <dxf>
      <font>
        <color theme="1"/>
      </font>
    </dxf>
    <dxf>
      <font>
        <color theme="1"/>
      </font>
    </dxf>
    <dxf>
      <alignment horizontal="left"/>
    </dxf>
    <dxf>
      <alignment horizontal="left"/>
    </dxf>
    <dxf>
      <alignment horizontal="left"/>
    </dxf>
    <dxf>
      <font>
        <b/>
        <charset val="238"/>
      </font>
    </dxf>
    <dxf>
      <font>
        <b/>
        <charset val="238"/>
      </font>
    </dxf>
    <dxf>
      <font>
        <b/>
        <charset val="238"/>
      </font>
    </dxf>
    <dxf>
      <alignment wrapText="1"/>
    </dxf>
    <dxf>
      <alignment wrapText="1"/>
    </dxf>
    <dxf>
      <numFmt numFmtId="4" formatCode="#,##0.00"/>
    </dxf>
    <dxf>
      <numFmt numFmtId="4" formatCode="#,##0.00"/>
    </dxf>
    <dxf>
      <numFmt numFmtId="4" formatCode="#,##0.00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sz val="9"/>
        <color theme="1"/>
      </font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4" defaultTableStyle="TableStyleMedium2" defaultPivotStyle="PivotStyleLight16">
    <tableStyle name="moje" pivot="0" table="0" count="5" xr9:uid="{B086C7B5-16F0-404F-ABD6-00DDA603DAF5}">
      <tableStyleElement type="wholeTable" dxfId="99"/>
    </tableStyle>
    <tableStyle name="SlicerStyleLight5 2" pivot="0" table="0" count="10" xr9:uid="{EA1A8C95-57ED-4AB0-BC72-BD560914EABE}">
      <tableStyleElement type="wholeTable" dxfId="98"/>
      <tableStyleElement type="headerRow" dxfId="97"/>
    </tableStyle>
    <tableStyle name="Styl fragmentatora 1" pivot="0" table="0" count="0" xr9:uid="{70F4F954-5A65-41C5-9CA9-A8FB058DBF7B}"/>
    <tableStyle name="Styl fragmentatora 2" pivot="0" table="0" count="1" xr9:uid="{783F8C68-032F-4F68-86E6-ABC7C18BA058}">
      <tableStyleElement type="wholeTable" dxfId="96"/>
    </tableStyle>
  </tableStyles>
  <colors>
    <mruColors>
      <color rgb="FFFFB7B9"/>
    </mruColors>
  </colors>
  <extLst>
    <ext xmlns:x14="http://schemas.microsoft.com/office/spreadsheetml/2009/9/main" uri="{46F421CA-312F-682f-3DD2-61675219B42D}">
      <x14:dxfs count="11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8" tint="0.79998168889431442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8" tint="0.59999389629810485"/>
              <bgColor theme="8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ill>
            <patternFill>
              <bgColor theme="4" tint="0.79998168889431442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ill>
            <patternFill>
              <bgColor theme="8" tint="0.79998168889431442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oje">
          <x14:slicerStyleElements>
            <x14:slicerStyleElement type="unselectedItemWithData" dxfId="10"/>
            <x14:slicerStyleElement type="unselectedItemWithNoData"/>
            <x14:slicerStyleElement type="selectedItemWithData" dxfId="9"/>
            <x14:slicerStyleElement type="selectedItemWithNoData" dxfId="8"/>
          </x14:slicerStyleElements>
        </x14:slicerStyle>
        <x14:slicerStyle name="SlicerStyleLight5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  <x14:slicerStyle name="Styl fragmentatora 1"/>
        <x14:slicerStyle name="Styl fragmentatora 2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[budzet.xlsm]bilans!Tabela przestawna6</c:name>
    <c:fmtId val="2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diamond"/>
          <c:size val="8"/>
          <c:spPr>
            <a:solidFill>
              <a:srgbClr val="FF0000">
                <a:alpha val="99000"/>
              </a:srgb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117282538852768E-2"/>
          <c:y val="7.3955599300087493E-2"/>
          <c:w val="0.96723425650631867"/>
          <c:h val="0.79492198891805199"/>
        </c:manualLayout>
      </c:layout>
      <c:lineChart>
        <c:grouping val="standard"/>
        <c:varyColors val="0"/>
        <c:ser>
          <c:idx val="0"/>
          <c:order val="0"/>
          <c:tx>
            <c:strRef>
              <c:f>bilans!$I$7</c:f>
              <c:strCache>
                <c:ptCount val="1"/>
                <c:pt idx="0">
                  <c:v>Suma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rgbClr val="FF0000">
                  <a:alpha val="99000"/>
                </a:srgbClr>
              </a:solidFill>
              <a:ln w="9525">
                <a:noFill/>
              </a:ln>
              <a:effectLst/>
            </c:spPr>
          </c:marker>
          <c:cat>
            <c:strRef>
              <c:f>bilans!$H$8:$H$22</c:f>
              <c:strCache>
                <c:ptCount val="1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</c:strCache>
            </c:strRef>
          </c:cat>
          <c:val>
            <c:numRef>
              <c:f>bilans!$I$8:$I$22</c:f>
              <c:numCache>
                <c:formatCode>#,##0.00</c:formatCode>
                <c:ptCount val="15"/>
                <c:pt idx="0">
                  <c:v>4868.2020000000011</c:v>
                </c:pt>
                <c:pt idx="1">
                  <c:v>7729.5939999999991</c:v>
                </c:pt>
                <c:pt idx="2">
                  <c:v>11363.015999999998</c:v>
                </c:pt>
                <c:pt idx="3">
                  <c:v>14310.225999999997</c:v>
                </c:pt>
                <c:pt idx="4">
                  <c:v>17475.611999999997</c:v>
                </c:pt>
                <c:pt idx="5">
                  <c:v>20301.887999999995</c:v>
                </c:pt>
                <c:pt idx="6">
                  <c:v>22579.663999999993</c:v>
                </c:pt>
                <c:pt idx="7">
                  <c:v>26429.433999999994</c:v>
                </c:pt>
                <c:pt idx="8">
                  <c:v>33596.015999999989</c:v>
                </c:pt>
                <c:pt idx="9">
                  <c:v>38977.823999999986</c:v>
                </c:pt>
                <c:pt idx="10">
                  <c:v>45434.61599999998</c:v>
                </c:pt>
                <c:pt idx="11">
                  <c:v>54107.325999999979</c:v>
                </c:pt>
                <c:pt idx="12">
                  <c:v>62232.495999999985</c:v>
                </c:pt>
                <c:pt idx="13">
                  <c:v>73092.637999999992</c:v>
                </c:pt>
                <c:pt idx="14">
                  <c:v>76749.62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B2-46E9-847A-803FDAA32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670495"/>
        <c:axId val="672671455"/>
      </c:lineChart>
      <c:catAx>
        <c:axId val="67267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72671455"/>
        <c:crosses val="autoZero"/>
        <c:auto val="1"/>
        <c:lblAlgn val="ctr"/>
        <c:lblOffset val="100"/>
        <c:noMultiLvlLbl val="0"/>
      </c:catAx>
      <c:valAx>
        <c:axId val="672671455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672670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_xlchart.v1.3</cx:f>
      </cx:numDim>
    </cx:data>
  </cx:chartData>
  <cx:chart>
    <cx:plotArea>
      <cx:plotAreaRegion>
        <cx:series layoutId="waterfall" uniqueId="{00000000-3390-4305-9EA6-6E5341556AF9}">
          <cx:dataId val="0"/>
          <cx:layoutPr>
            <cx:subtotals/>
          </cx:layoutPr>
        </cx:series>
      </cx:plotAreaRegion>
      <cx:axis id="0">
        <cx:catScaling gapWidth="2.19000006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/>
            </a:pPr>
            <a:endParaRPr lang="pl-PL" sz="8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 hidden="1">
        <cx:valScaling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426720</xdr:colOff>
      <xdr:row>10</xdr:row>
      <xdr:rowOff>68580</xdr:rowOff>
    </xdr:from>
    <xdr:to>
      <xdr:col>18</xdr:col>
      <xdr:colOff>83820</xdr:colOff>
      <xdr:row>26</xdr:row>
      <xdr:rowOff>38100</xdr:rowOff>
    </xdr:to>
    <xdr:pic>
      <xdr:nvPicPr>
        <xdr:cNvPr id="10" name="Obraz 9" descr="Arkusz kalkulacyjny i kalkulator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480" y="1897380"/>
          <a:ext cx="8191500" cy="28956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7</xdr:col>
      <xdr:colOff>411480</xdr:colOff>
      <xdr:row>1</xdr:row>
      <xdr:rowOff>91440</xdr:rowOff>
    </xdr:from>
    <xdr:ext cx="4442460" cy="937260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11040" y="274320"/>
          <a:ext cx="4442460" cy="93726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l-PL" sz="3200" b="1" cap="none" spc="0">
              <a:ln w="12700">
                <a:solidFill>
                  <a:schemeClr val="accent1"/>
                </a:solidFill>
                <a:prstDash val="solid"/>
              </a:ln>
              <a:solidFill>
                <a:schemeClr val="accent1">
                  <a:lumMod val="50000"/>
                </a:schemeClr>
              </a:solidFill>
              <a:effectLst>
                <a:outerShdw dist="38100" dir="2640000" algn="bl" rotWithShape="0">
                  <a:schemeClr val="accent1"/>
                </a:outerShdw>
              </a:effectLst>
              <a:latin typeface="Aptos" panose="020B0004020202020204" pitchFamily="34" charset="0"/>
            </a:rPr>
            <a:t>Analizator</a:t>
          </a:r>
          <a:endParaRPr lang="pl-PL" sz="3200" b="1" cap="none" spc="0" baseline="0">
            <a:ln w="12700">
              <a:solidFill>
                <a:schemeClr val="accent1"/>
              </a:solidFill>
              <a:prstDash val="solid"/>
            </a:ln>
            <a:solidFill>
              <a:schemeClr val="accent1">
                <a:lumMod val="50000"/>
              </a:schemeClr>
            </a:solidFill>
            <a:effectLst>
              <a:outerShdw dist="38100" dir="2640000" algn="bl" rotWithShape="0">
                <a:schemeClr val="accent1"/>
              </a:outerShdw>
            </a:effectLst>
            <a:latin typeface="Aptos" panose="020B0004020202020204" pitchFamily="34" charset="0"/>
          </a:endParaRPr>
        </a:p>
        <a:p>
          <a:pPr algn="ctr"/>
          <a:r>
            <a:rPr lang="pl-PL" sz="2800" b="1" cap="none" spc="0" baseline="0">
              <a:ln w="12700">
                <a:solidFill>
                  <a:schemeClr val="accent1"/>
                </a:solidFill>
                <a:prstDash val="solid"/>
              </a:ln>
              <a:solidFill>
                <a:schemeClr val="accent1">
                  <a:lumMod val="50000"/>
                </a:schemeClr>
              </a:solidFill>
              <a:effectLst>
                <a:outerShdw dist="38100" dir="2640000" algn="bl" rotWithShape="0">
                  <a:schemeClr val="accent1"/>
                </a:outerShdw>
              </a:effectLst>
            </a:rPr>
            <a:t>Budżetu Domowego</a:t>
          </a:r>
          <a:r>
            <a:rPr lang="pl-PL" sz="2800" b="1" cap="none" spc="0" baseline="0">
              <a:ln w="12700">
                <a:solidFill>
                  <a:schemeClr val="accent1"/>
                </a:solidFill>
                <a:prstDash val="solid"/>
              </a:ln>
              <a:solidFill>
                <a:srgbClr val="FF0000"/>
              </a:solidFill>
              <a:effectLst>
                <a:outerShdw dist="38100" dir="2640000" algn="bl" rotWithShape="0">
                  <a:schemeClr val="accent1"/>
                </a:outerShdw>
              </a:effectLst>
            </a:rPr>
            <a:t> *</a:t>
          </a:r>
          <a:endParaRPr lang="pl-PL" sz="2800" b="1" cap="none" spc="0">
            <a:ln w="12700">
              <a:solidFill>
                <a:schemeClr val="accent1"/>
              </a:solidFill>
              <a:prstDash val="solid"/>
            </a:ln>
            <a:solidFill>
              <a:srgbClr val="FF0000"/>
            </a:solid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  <xdr:twoCellAnchor>
    <xdr:from>
      <xdr:col>6</xdr:col>
      <xdr:colOff>312420</xdr:colOff>
      <xdr:row>14</xdr:row>
      <xdr:rowOff>30480</xdr:rowOff>
    </xdr:from>
    <xdr:to>
      <xdr:col>9</xdr:col>
      <xdr:colOff>283620</xdr:colOff>
      <xdr:row>16</xdr:row>
      <xdr:rowOff>38100</xdr:rowOff>
    </xdr:to>
    <xdr:sp macro="[0]!Module4.transakcje" textlink="">
      <xdr:nvSpPr>
        <xdr:cNvPr id="13" name="Prostokąt: zaokrąglone rogi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802380" y="2590800"/>
          <a:ext cx="1800000" cy="373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400" b="1" baseline="0"/>
            <a:t>Transakcje</a:t>
          </a:r>
          <a:endParaRPr lang="pl-PL" sz="1400" b="1"/>
        </a:p>
      </xdr:txBody>
    </xdr:sp>
    <xdr:clientData/>
  </xdr:twoCellAnchor>
  <xdr:twoCellAnchor>
    <xdr:from>
      <xdr:col>12</xdr:col>
      <xdr:colOff>190500</xdr:colOff>
      <xdr:row>14</xdr:row>
      <xdr:rowOff>45720</xdr:rowOff>
    </xdr:from>
    <xdr:to>
      <xdr:col>15</xdr:col>
      <xdr:colOff>161700</xdr:colOff>
      <xdr:row>16</xdr:row>
      <xdr:rowOff>53340</xdr:rowOff>
    </xdr:to>
    <xdr:sp macro="[0]!Module4.parametr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676900" y="2240280"/>
          <a:ext cx="1800000" cy="373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400" b="1" baseline="0"/>
            <a:t>Rodzaje transakcji</a:t>
          </a:r>
          <a:endParaRPr lang="pl-PL" sz="1400" b="1"/>
        </a:p>
      </xdr:txBody>
    </xdr:sp>
    <xdr:clientData/>
  </xdr:twoCellAnchor>
  <xdr:twoCellAnchor>
    <xdr:from>
      <xdr:col>6</xdr:col>
      <xdr:colOff>182880</xdr:colOff>
      <xdr:row>20</xdr:row>
      <xdr:rowOff>129540</xdr:rowOff>
    </xdr:from>
    <xdr:to>
      <xdr:col>9</xdr:col>
      <xdr:colOff>220980</xdr:colOff>
      <xdr:row>22</xdr:row>
      <xdr:rowOff>137160</xdr:rowOff>
    </xdr:to>
    <xdr:sp macro="[0]!statystyki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011680" y="3421380"/>
          <a:ext cx="1866900" cy="373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400" b="1" baseline="0"/>
            <a:t>Statystyki Transakcji</a:t>
          </a:r>
          <a:endParaRPr lang="pl-PL" sz="1400" b="1"/>
        </a:p>
      </xdr:txBody>
    </xdr:sp>
    <xdr:clientData/>
  </xdr:twoCellAnchor>
  <xdr:twoCellAnchor>
    <xdr:from>
      <xdr:col>10</xdr:col>
      <xdr:colOff>175260</xdr:colOff>
      <xdr:row>20</xdr:row>
      <xdr:rowOff>129540</xdr:rowOff>
    </xdr:from>
    <xdr:to>
      <xdr:col>13</xdr:col>
      <xdr:colOff>213360</xdr:colOff>
      <xdr:row>22</xdr:row>
      <xdr:rowOff>137160</xdr:rowOff>
    </xdr:to>
    <xdr:sp macro="[0]!struktura" textlink="">
      <xdr:nvSpPr>
        <xdr:cNvPr id="16" name="Prostokąt: zaokrąglone rogi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442460" y="3421380"/>
          <a:ext cx="1866900" cy="373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400" b="1" baseline="0"/>
            <a:t>Struktura Transakcji</a:t>
          </a:r>
          <a:endParaRPr lang="pl-PL" sz="1400" b="1"/>
        </a:p>
      </xdr:txBody>
    </xdr:sp>
    <xdr:clientData/>
  </xdr:twoCellAnchor>
  <xdr:twoCellAnchor>
    <xdr:from>
      <xdr:col>14</xdr:col>
      <xdr:colOff>190500</xdr:colOff>
      <xdr:row>20</xdr:row>
      <xdr:rowOff>129540</xdr:rowOff>
    </xdr:from>
    <xdr:to>
      <xdr:col>17</xdr:col>
      <xdr:colOff>228600</xdr:colOff>
      <xdr:row>22</xdr:row>
      <xdr:rowOff>137160</xdr:rowOff>
    </xdr:to>
    <xdr:sp macro="[0]!bilans" textlink="">
      <xdr:nvSpPr>
        <xdr:cNvPr id="17" name="Prostokąt: zaokrąglone rogi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896100" y="3421380"/>
          <a:ext cx="1866900" cy="3733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400" b="1" baseline="0"/>
            <a:t>Bilans Transakcji</a:t>
          </a:r>
          <a:endParaRPr lang="pl-PL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449580</xdr:colOff>
          <xdr:row>30</xdr:row>
          <xdr:rowOff>22860</xdr:rowOff>
        </xdr:from>
        <xdr:to>
          <xdr:col>22</xdr:col>
          <xdr:colOff>434340</xdr:colOff>
          <xdr:row>31</xdr:row>
          <xdr:rowOff>160020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Załaduj Dane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76200</xdr:colOff>
      <xdr:row>0</xdr:row>
      <xdr:rowOff>129540</xdr:rowOff>
    </xdr:from>
    <xdr:ext cx="6461760" cy="526345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06880" y="129540"/>
          <a:ext cx="6461760" cy="52634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l-PL" sz="36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Bilans transakcji</a:t>
          </a:r>
        </a:p>
      </xdr:txBody>
    </xdr:sp>
    <xdr:clientData/>
  </xdr:oneCellAnchor>
  <xdr:twoCellAnchor>
    <xdr:from>
      <xdr:col>11</xdr:col>
      <xdr:colOff>457200</xdr:colOff>
      <xdr:row>18</xdr:row>
      <xdr:rowOff>83820</xdr:rowOff>
    </xdr:from>
    <xdr:to>
      <xdr:col>19</xdr:col>
      <xdr:colOff>449580</xdr:colOff>
      <xdr:row>30</xdr:row>
      <xdr:rowOff>83820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419100</xdr:colOff>
      <xdr:row>6</xdr:row>
      <xdr:rowOff>30480</xdr:rowOff>
    </xdr:from>
    <xdr:to>
      <xdr:col>19</xdr:col>
      <xdr:colOff>342900</xdr:colOff>
      <xdr:row>18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Wykres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42960" y="944880"/>
              <a:ext cx="5295900" cy="23698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0</xdr:col>
      <xdr:colOff>259080</xdr:colOff>
      <xdr:row>0</xdr:row>
      <xdr:rowOff>99060</xdr:rowOff>
    </xdr:from>
    <xdr:to>
      <xdr:col>2</xdr:col>
      <xdr:colOff>274320</xdr:colOff>
      <xdr:row>2</xdr:row>
      <xdr:rowOff>7620</xdr:rowOff>
    </xdr:to>
    <xdr:sp macro="[0]!start" textlink="">
      <xdr:nvSpPr>
        <xdr:cNvPr id="5" name="Prostokąt: zaokrąglone rogi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9080" y="99060"/>
          <a:ext cx="708660" cy="2743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1" baseline="0"/>
            <a:t>&lt;-- Start</a:t>
          </a:r>
          <a:endParaRPr lang="pl-PL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274320</xdr:colOff>
      <xdr:row>0</xdr:row>
      <xdr:rowOff>68580</xdr:rowOff>
    </xdr:from>
    <xdr:ext cx="6461760" cy="655885"/>
    <xdr:sp macro="" textlink="">
      <xdr:nvSpPr>
        <xdr:cNvPr id="5" name="Prostoką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06880" y="68580"/>
          <a:ext cx="646176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36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Struktura transakcji</a:t>
          </a:r>
        </a:p>
      </xdr:txBody>
    </xdr:sp>
    <xdr:clientData/>
  </xdr:oneCellAnchor>
  <xdr:twoCellAnchor editAs="oneCell">
    <xdr:from>
      <xdr:col>11</xdr:col>
      <xdr:colOff>304800</xdr:colOff>
      <xdr:row>4</xdr:row>
      <xdr:rowOff>137161</xdr:rowOff>
    </xdr:from>
    <xdr:to>
      <xdr:col>15</xdr:col>
      <xdr:colOff>38100</xdr:colOff>
      <xdr:row>13</xdr:row>
      <xdr:rowOff>83820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ok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9060" y="868681"/>
              <a:ext cx="2369820" cy="1775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>
    <xdr:from>
      <xdr:col>1</xdr:col>
      <xdr:colOff>53340</xdr:colOff>
      <xdr:row>0</xdr:row>
      <xdr:rowOff>60960</xdr:rowOff>
    </xdr:from>
    <xdr:to>
      <xdr:col>2</xdr:col>
      <xdr:colOff>152400</xdr:colOff>
      <xdr:row>1</xdr:row>
      <xdr:rowOff>152400</xdr:rowOff>
    </xdr:to>
    <xdr:sp macro="[0]!start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400" y="60960"/>
          <a:ext cx="708660" cy="2743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1" baseline="0"/>
            <a:t>&lt;-- Start</a:t>
          </a:r>
          <a:endParaRPr lang="pl-PL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53340</xdr:colOff>
      <xdr:row>22</xdr:row>
      <xdr:rowOff>152400</xdr:rowOff>
    </xdr:from>
    <xdr:to>
      <xdr:col>21</xdr:col>
      <xdr:colOff>495300</xdr:colOff>
      <xdr:row>31</xdr:row>
      <xdr:rowOff>175260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ok 1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68000" y="4069080"/>
              <a:ext cx="2636520" cy="1668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320040</xdr:colOff>
      <xdr:row>8</xdr:row>
      <xdr:rowOff>83820</xdr:rowOff>
    </xdr:from>
    <xdr:to>
      <xdr:col>7</xdr:col>
      <xdr:colOff>251460</xdr:colOff>
      <xdr:row>37</xdr:row>
      <xdr:rowOff>106679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odkategoria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dk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9240" y="1059180"/>
              <a:ext cx="1821180" cy="55397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251460</xdr:colOff>
      <xdr:row>8</xdr:row>
      <xdr:rowOff>129541</xdr:rowOff>
    </xdr:from>
    <xdr:to>
      <xdr:col>2</xdr:col>
      <xdr:colOff>167640</xdr:colOff>
      <xdr:row>12</xdr:row>
      <xdr:rowOff>144781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yp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1460" y="1104901"/>
              <a:ext cx="1135380" cy="9601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182880</xdr:colOff>
      <xdr:row>14</xdr:row>
      <xdr:rowOff>144781</xdr:rowOff>
    </xdr:from>
    <xdr:to>
      <xdr:col>2</xdr:col>
      <xdr:colOff>205740</xdr:colOff>
      <xdr:row>25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kategoria 2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atego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880" y="2598421"/>
              <a:ext cx="1242060" cy="19811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289560</xdr:colOff>
          <xdr:row>2</xdr:row>
          <xdr:rowOff>0</xdr:rowOff>
        </xdr:from>
        <xdr:to>
          <xdr:col>2</xdr:col>
          <xdr:colOff>579120</xdr:colOff>
          <xdr:row>3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Resetuj wszystkie filtry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205740</xdr:colOff>
      <xdr:row>0</xdr:row>
      <xdr:rowOff>38100</xdr:rowOff>
    </xdr:from>
    <xdr:ext cx="6461760" cy="655885"/>
    <xdr:sp macro="" textlink="">
      <xdr:nvSpPr>
        <xdr:cNvPr id="4" name="Prostoką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74620" y="38100"/>
          <a:ext cx="6461760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36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Statystyki</a:t>
          </a:r>
          <a:r>
            <a:rPr lang="pl-PL" sz="3600" b="1" cap="none" spc="0" baseline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 </a:t>
          </a:r>
          <a:r>
            <a:rPr lang="pl-PL" sz="36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transakcji</a:t>
          </a:r>
        </a:p>
      </xdr:txBody>
    </xdr:sp>
    <xdr:clientData/>
  </xdr:oneCellAnchor>
  <xdr:twoCellAnchor>
    <xdr:from>
      <xdr:col>0</xdr:col>
      <xdr:colOff>220980</xdr:colOff>
      <xdr:row>0</xdr:row>
      <xdr:rowOff>99060</xdr:rowOff>
    </xdr:from>
    <xdr:to>
      <xdr:col>1</xdr:col>
      <xdr:colOff>320040</xdr:colOff>
      <xdr:row>1</xdr:row>
      <xdr:rowOff>129540</xdr:rowOff>
    </xdr:to>
    <xdr:sp macro="[0]!start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0980" y="99060"/>
          <a:ext cx="708660" cy="2743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1" baseline="0"/>
            <a:t>&lt;-- Start</a:t>
          </a:r>
          <a:endParaRPr lang="pl-PL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807720</xdr:colOff>
          <xdr:row>2</xdr:row>
          <xdr:rowOff>106680</xdr:rowOff>
        </xdr:from>
        <xdr:to>
          <xdr:col>16</xdr:col>
          <xdr:colOff>205740</xdr:colOff>
          <xdr:row>3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rozwiń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2</xdr:row>
          <xdr:rowOff>106680</xdr:rowOff>
        </xdr:from>
        <xdr:to>
          <xdr:col>17</xdr:col>
          <xdr:colOff>0</xdr:colOff>
          <xdr:row>3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zwiń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</xdr:colOff>
      <xdr:row>0</xdr:row>
      <xdr:rowOff>129540</xdr:rowOff>
    </xdr:from>
    <xdr:to>
      <xdr:col>12</xdr:col>
      <xdr:colOff>106680</xdr:colOff>
      <xdr:row>1</xdr:row>
      <xdr:rowOff>0</xdr:rowOff>
    </xdr:to>
    <xdr:sp macro="[0]!star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313420" y="129540"/>
          <a:ext cx="708660" cy="2743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1" baseline="0"/>
            <a:t>&lt;-- Start</a:t>
          </a:r>
          <a:endParaRPr lang="pl-PL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99060</xdr:colOff>
      <xdr:row>2</xdr:row>
      <xdr:rowOff>91440</xdr:rowOff>
    </xdr:to>
    <xdr:sp macro="[0]!star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135880" y="182880"/>
          <a:ext cx="708660" cy="2743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1" baseline="0"/>
            <a:t>&lt;-- Start</a:t>
          </a:r>
          <a:endParaRPr lang="pl-PL" sz="11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P P" refreshedDate="45417.594656365742" createdVersion="8" refreshedVersion="8" minRefreshableVersion="3" recordCount="4523" xr:uid="{4A778C28-1FB8-4516-B108-81B4F0366764}">
  <cacheSource type="worksheet">
    <worksheetSource name="transakcje"/>
  </cacheSource>
  <cacheFields count="9">
    <cacheField name="id" numFmtId="0">
      <sharedItems containsSemiMixedTypes="0" containsString="0" containsNumber="1" containsInteger="1" minValue="1" maxValue="4523"/>
    </cacheField>
    <cacheField name="rok" numFmtId="0">
      <sharedItems containsSemiMixedTypes="0" containsString="0" containsNumber="1" containsInteger="1" minValue="2003" maxValue="2024" count="22"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03" u="1"/>
        <n v="2004" u="1"/>
        <n v="2005" u="1"/>
        <n v="2006" u="1"/>
        <n v="2007" u="1"/>
        <n v="2008" u="1"/>
        <n v="2009" u="1"/>
      </sharedItems>
    </cacheField>
    <cacheField name="mc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zień" numFmtId="0">
      <sharedItems containsSemiMixedTypes="0" containsString="0" containsNumber="1" containsInteger="1" minValue="1" maxValue="31"/>
    </cacheField>
    <cacheField name="kwota" numFmtId="4">
      <sharedItems containsSemiMixedTypes="0" containsString="0" containsNumber="1" minValue="-800" maxValue="3000"/>
    </cacheField>
    <cacheField name="podkategoria" numFmtId="0">
      <sharedItems count="27">
        <s v="żywność"/>
        <s v="telefon"/>
        <s v="opłata bankowa"/>
        <s v="odsetki"/>
        <s v="wynagrodzenie"/>
        <s v="trzynastka"/>
        <s v="elektronika"/>
        <s v="inne"/>
        <s v="nagroda"/>
        <s v="dodatki"/>
        <s v="darowizna"/>
        <s v="ubezpieczenie mieszkania"/>
        <s v="ubezpieczenie życie"/>
        <s v="czynsz"/>
        <s v="transport miejski"/>
        <s v="meble"/>
        <s v="prąd"/>
        <s v="remonty"/>
        <s v="gaz"/>
        <s v="Internet"/>
        <s v="podatek nieruchomości"/>
        <s v="abonament"/>
        <s v="najem grunwald" u="1"/>
        <s v="koszty zakupu mieszkania" u="1"/>
        <s v="zakup mieszkania" u="1"/>
        <s v="kredyt" u="1"/>
        <s v="spłata kredytu" u="1"/>
      </sharedItems>
    </cacheField>
    <cacheField name="kategoria" numFmtId="0">
      <sharedItems count="6">
        <s v="życie"/>
        <s v="opłaty stałe"/>
        <s v="dochody pozostałe"/>
        <s v="dochody z pracy"/>
        <s v="trwałe"/>
        <s v="wydatki inne"/>
      </sharedItems>
    </cacheField>
    <cacheField name="typ" numFmtId="0">
      <sharedItems count="2">
        <s v="wydatki"/>
        <s v="dochody"/>
      </sharedItems>
    </cacheField>
    <cacheField name="kwota2" numFmtId="4">
      <sharedItems containsSemiMixedTypes="0" containsString="0" containsNumber="1" minValue="2E-3" maxValue="3000"/>
    </cacheField>
  </cacheFields>
  <extLst>
    <ext xmlns:x14="http://schemas.microsoft.com/office/spreadsheetml/2009/9/main" uri="{725AE2AE-9491-48be-B2B4-4EB974FC3084}">
      <x14:pivotCacheDefinition pivotCacheId="19748208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23">
  <r>
    <n v="1"/>
    <x v="0"/>
    <x v="0"/>
    <n v="2"/>
    <n v="-1.6600000000000001"/>
    <x v="0"/>
    <x v="0"/>
    <x v="0"/>
    <n v="1.6600000000000001"/>
  </r>
  <r>
    <n v="2"/>
    <x v="0"/>
    <x v="0"/>
    <n v="7"/>
    <n v="-10.001999999999999"/>
    <x v="1"/>
    <x v="1"/>
    <x v="0"/>
    <n v="10.001999999999999"/>
  </r>
  <r>
    <n v="3"/>
    <x v="0"/>
    <x v="0"/>
    <n v="7"/>
    <n v="-0.19800000000000001"/>
    <x v="2"/>
    <x v="1"/>
    <x v="0"/>
    <n v="0.19800000000000001"/>
  </r>
  <r>
    <n v="4"/>
    <x v="0"/>
    <x v="0"/>
    <n v="8"/>
    <n v="-19.8"/>
    <x v="0"/>
    <x v="0"/>
    <x v="0"/>
    <n v="19.8"/>
  </r>
  <r>
    <n v="5"/>
    <x v="0"/>
    <x v="0"/>
    <n v="11"/>
    <n v="-20"/>
    <x v="0"/>
    <x v="0"/>
    <x v="0"/>
    <n v="20"/>
  </r>
  <r>
    <n v="6"/>
    <x v="0"/>
    <x v="0"/>
    <n v="15"/>
    <n v="-30"/>
    <x v="0"/>
    <x v="0"/>
    <x v="0"/>
    <n v="30"/>
  </r>
  <r>
    <n v="7"/>
    <x v="0"/>
    <x v="0"/>
    <n v="15"/>
    <n v="0.04"/>
    <x v="3"/>
    <x v="2"/>
    <x v="1"/>
    <n v="0.04"/>
  </r>
  <r>
    <n v="8"/>
    <x v="0"/>
    <x v="0"/>
    <n v="15"/>
    <n v="-0.998"/>
    <x v="2"/>
    <x v="1"/>
    <x v="0"/>
    <n v="0.998"/>
  </r>
  <r>
    <n v="9"/>
    <x v="0"/>
    <x v="0"/>
    <n v="21"/>
    <n v="-20"/>
    <x v="0"/>
    <x v="0"/>
    <x v="0"/>
    <n v="20"/>
  </r>
  <r>
    <n v="10"/>
    <x v="0"/>
    <x v="0"/>
    <n v="26"/>
    <n v="382.36"/>
    <x v="4"/>
    <x v="3"/>
    <x v="1"/>
    <n v="382.36"/>
  </r>
  <r>
    <n v="11"/>
    <x v="0"/>
    <x v="1"/>
    <n v="4"/>
    <n v="369.64"/>
    <x v="5"/>
    <x v="3"/>
    <x v="1"/>
    <n v="369.64"/>
  </r>
  <r>
    <n v="12"/>
    <x v="0"/>
    <x v="1"/>
    <n v="5"/>
    <n v="-10.001999999999999"/>
    <x v="1"/>
    <x v="1"/>
    <x v="0"/>
    <n v="10.001999999999999"/>
  </r>
  <r>
    <n v="13"/>
    <x v="0"/>
    <x v="1"/>
    <n v="5"/>
    <n v="-0.19800000000000001"/>
    <x v="2"/>
    <x v="1"/>
    <x v="0"/>
    <n v="0.19800000000000001"/>
  </r>
  <r>
    <n v="14"/>
    <x v="0"/>
    <x v="1"/>
    <n v="8"/>
    <n v="-11.172000000000001"/>
    <x v="6"/>
    <x v="4"/>
    <x v="0"/>
    <n v="11.172000000000001"/>
  </r>
  <r>
    <n v="15"/>
    <x v="0"/>
    <x v="1"/>
    <n v="8"/>
    <n v="-41.701999999999998"/>
    <x v="6"/>
    <x v="4"/>
    <x v="0"/>
    <n v="41.701999999999998"/>
  </r>
  <r>
    <n v="16"/>
    <x v="0"/>
    <x v="1"/>
    <n v="8"/>
    <n v="-0.19800000000000001"/>
    <x v="2"/>
    <x v="1"/>
    <x v="0"/>
    <n v="0.19800000000000001"/>
  </r>
  <r>
    <n v="17"/>
    <x v="0"/>
    <x v="1"/>
    <n v="11"/>
    <n v="-80"/>
    <x v="0"/>
    <x v="0"/>
    <x v="0"/>
    <n v="80"/>
  </r>
  <r>
    <n v="18"/>
    <x v="0"/>
    <x v="1"/>
    <n v="15"/>
    <n v="-1.6600000000000001"/>
    <x v="7"/>
    <x v="5"/>
    <x v="0"/>
    <n v="1.6600000000000001"/>
  </r>
  <r>
    <n v="19"/>
    <x v="0"/>
    <x v="1"/>
    <n v="15"/>
    <n v="-120"/>
    <x v="7"/>
    <x v="5"/>
    <x v="0"/>
    <n v="120"/>
  </r>
  <r>
    <n v="20"/>
    <x v="0"/>
    <x v="1"/>
    <n v="15"/>
    <n v="0.05"/>
    <x v="3"/>
    <x v="2"/>
    <x v="1"/>
    <n v="0.05"/>
  </r>
  <r>
    <n v="21"/>
    <x v="0"/>
    <x v="1"/>
    <n v="15"/>
    <n v="-0.998"/>
    <x v="2"/>
    <x v="1"/>
    <x v="0"/>
    <n v="0.998"/>
  </r>
  <r>
    <n v="22"/>
    <x v="0"/>
    <x v="1"/>
    <n v="21"/>
    <n v="-160.04400000000001"/>
    <x v="7"/>
    <x v="5"/>
    <x v="0"/>
    <n v="160.04400000000001"/>
  </r>
  <r>
    <n v="23"/>
    <x v="0"/>
    <x v="1"/>
    <n v="24"/>
    <n v="-1.6"/>
    <x v="6"/>
    <x v="4"/>
    <x v="0"/>
    <n v="1.6"/>
  </r>
  <r>
    <n v="24"/>
    <x v="0"/>
    <x v="1"/>
    <n v="25"/>
    <n v="382.36"/>
    <x v="4"/>
    <x v="3"/>
    <x v="1"/>
    <n v="382.36"/>
  </r>
  <r>
    <n v="25"/>
    <x v="0"/>
    <x v="1"/>
    <n v="27"/>
    <n v="-1.6600000000000001"/>
    <x v="7"/>
    <x v="5"/>
    <x v="0"/>
    <n v="1.6600000000000001"/>
  </r>
  <r>
    <n v="26"/>
    <x v="0"/>
    <x v="2"/>
    <n v="1"/>
    <n v="-19.8"/>
    <x v="7"/>
    <x v="5"/>
    <x v="0"/>
    <n v="19.8"/>
  </r>
  <r>
    <n v="27"/>
    <x v="0"/>
    <x v="2"/>
    <n v="3"/>
    <n v="-80"/>
    <x v="0"/>
    <x v="0"/>
    <x v="0"/>
    <n v="80"/>
  </r>
  <r>
    <n v="28"/>
    <x v="0"/>
    <x v="2"/>
    <n v="4"/>
    <n v="-10.49"/>
    <x v="1"/>
    <x v="1"/>
    <x v="0"/>
    <n v="10.49"/>
  </r>
  <r>
    <n v="29"/>
    <x v="0"/>
    <x v="2"/>
    <n v="4"/>
    <n v="-0.19800000000000001"/>
    <x v="2"/>
    <x v="1"/>
    <x v="0"/>
    <n v="0.19800000000000001"/>
  </r>
  <r>
    <n v="30"/>
    <x v="0"/>
    <x v="2"/>
    <n v="15"/>
    <n v="-274.8"/>
    <x v="6"/>
    <x v="4"/>
    <x v="0"/>
    <n v="274.8"/>
  </r>
  <r>
    <n v="31"/>
    <x v="0"/>
    <x v="2"/>
    <n v="15"/>
    <n v="1.4000000000000002E-2"/>
    <x v="3"/>
    <x v="2"/>
    <x v="1"/>
    <n v="1.4000000000000002E-2"/>
  </r>
  <r>
    <n v="32"/>
    <x v="0"/>
    <x v="2"/>
    <n v="15"/>
    <n v="-0.19800000000000001"/>
    <x v="2"/>
    <x v="1"/>
    <x v="0"/>
    <n v="0.19800000000000001"/>
  </r>
  <r>
    <n v="33"/>
    <x v="0"/>
    <x v="2"/>
    <n v="15"/>
    <n v="-0.998"/>
    <x v="2"/>
    <x v="1"/>
    <x v="0"/>
    <n v="0.998"/>
  </r>
  <r>
    <n v="34"/>
    <x v="0"/>
    <x v="2"/>
    <n v="26"/>
    <n v="382.36"/>
    <x v="4"/>
    <x v="3"/>
    <x v="1"/>
    <n v="382.36"/>
  </r>
  <r>
    <n v="35"/>
    <x v="0"/>
    <x v="2"/>
    <n v="29"/>
    <n v="-18"/>
    <x v="7"/>
    <x v="5"/>
    <x v="0"/>
    <n v="18"/>
  </r>
  <r>
    <n v="36"/>
    <x v="0"/>
    <x v="3"/>
    <n v="1"/>
    <n v="-10.734"/>
    <x v="1"/>
    <x v="1"/>
    <x v="0"/>
    <n v="10.734"/>
  </r>
  <r>
    <n v="37"/>
    <x v="0"/>
    <x v="3"/>
    <n v="1"/>
    <n v="-0.19800000000000001"/>
    <x v="2"/>
    <x v="1"/>
    <x v="0"/>
    <n v="0.19800000000000001"/>
  </r>
  <r>
    <n v="38"/>
    <x v="0"/>
    <x v="3"/>
    <n v="15"/>
    <n v="6.0000000000000001E-3"/>
    <x v="3"/>
    <x v="2"/>
    <x v="1"/>
    <n v="6.0000000000000001E-3"/>
  </r>
  <r>
    <n v="39"/>
    <x v="0"/>
    <x v="3"/>
    <n v="15"/>
    <n v="-0.998"/>
    <x v="2"/>
    <x v="1"/>
    <x v="0"/>
    <n v="0.998"/>
  </r>
  <r>
    <n v="40"/>
    <x v="0"/>
    <x v="3"/>
    <n v="19"/>
    <n v="-80"/>
    <x v="0"/>
    <x v="0"/>
    <x v="0"/>
    <n v="80"/>
  </r>
  <r>
    <n v="41"/>
    <x v="0"/>
    <x v="3"/>
    <n v="21"/>
    <n v="94.792000000000002"/>
    <x v="8"/>
    <x v="3"/>
    <x v="1"/>
    <n v="94.792000000000002"/>
  </r>
  <r>
    <n v="42"/>
    <x v="0"/>
    <x v="3"/>
    <n v="22"/>
    <n v="67.445999999999998"/>
    <x v="9"/>
    <x v="3"/>
    <x v="1"/>
    <n v="67.445999999999998"/>
  </r>
  <r>
    <n v="43"/>
    <x v="0"/>
    <x v="3"/>
    <n v="26"/>
    <n v="-0.19800000000000001"/>
    <x v="2"/>
    <x v="1"/>
    <x v="0"/>
    <n v="0.19800000000000001"/>
  </r>
  <r>
    <n v="44"/>
    <x v="0"/>
    <x v="3"/>
    <n v="27"/>
    <n v="382.358"/>
    <x v="4"/>
    <x v="3"/>
    <x v="1"/>
    <n v="382.358"/>
  </r>
  <r>
    <n v="45"/>
    <x v="0"/>
    <x v="4"/>
    <n v="4"/>
    <n v="-12.126000000000001"/>
    <x v="1"/>
    <x v="1"/>
    <x v="0"/>
    <n v="12.126000000000001"/>
  </r>
  <r>
    <n v="46"/>
    <x v="0"/>
    <x v="4"/>
    <n v="4"/>
    <n v="-0.19800000000000001"/>
    <x v="2"/>
    <x v="1"/>
    <x v="0"/>
    <n v="0.19800000000000001"/>
  </r>
  <r>
    <n v="47"/>
    <x v="0"/>
    <x v="4"/>
    <n v="12"/>
    <n v="25.925999999999998"/>
    <x v="3"/>
    <x v="2"/>
    <x v="1"/>
    <n v="25.925999999999998"/>
  </r>
  <r>
    <n v="48"/>
    <x v="0"/>
    <x v="4"/>
    <n v="14"/>
    <n v="-0.19800000000000001"/>
    <x v="2"/>
    <x v="1"/>
    <x v="0"/>
    <n v="0.19800000000000001"/>
  </r>
  <r>
    <n v="49"/>
    <x v="0"/>
    <x v="4"/>
    <n v="15"/>
    <n v="2.3660000000000001"/>
    <x v="3"/>
    <x v="2"/>
    <x v="1"/>
    <n v="2.3660000000000001"/>
  </r>
  <r>
    <n v="50"/>
    <x v="0"/>
    <x v="4"/>
    <n v="15"/>
    <n v="-1.1960000000000002"/>
    <x v="2"/>
    <x v="1"/>
    <x v="0"/>
    <n v="1.1960000000000002"/>
  </r>
  <r>
    <n v="51"/>
    <x v="0"/>
    <x v="4"/>
    <n v="16"/>
    <n v="6.1840000000000002"/>
    <x v="3"/>
    <x v="2"/>
    <x v="1"/>
    <n v="6.1840000000000002"/>
  </r>
  <r>
    <n v="52"/>
    <x v="0"/>
    <x v="4"/>
    <n v="17"/>
    <n v="120"/>
    <x v="10"/>
    <x v="2"/>
    <x v="1"/>
    <n v="120"/>
  </r>
  <r>
    <n v="53"/>
    <x v="0"/>
    <x v="4"/>
    <n v="17"/>
    <n v="-0.19800000000000001"/>
    <x v="2"/>
    <x v="1"/>
    <x v="0"/>
    <n v="0.19800000000000001"/>
  </r>
  <r>
    <n v="54"/>
    <x v="0"/>
    <x v="4"/>
    <n v="18"/>
    <n v="-23.2"/>
    <x v="11"/>
    <x v="1"/>
    <x v="0"/>
    <n v="23.2"/>
  </r>
  <r>
    <n v="55"/>
    <x v="0"/>
    <x v="4"/>
    <n v="18"/>
    <n v="-46.4"/>
    <x v="12"/>
    <x v="1"/>
    <x v="0"/>
    <n v="46.4"/>
  </r>
  <r>
    <n v="56"/>
    <x v="0"/>
    <x v="4"/>
    <n v="18"/>
    <n v="-0.19800000000000001"/>
    <x v="2"/>
    <x v="1"/>
    <x v="0"/>
    <n v="0.19800000000000001"/>
  </r>
  <r>
    <n v="57"/>
    <x v="0"/>
    <x v="4"/>
    <n v="18"/>
    <n v="-0.19800000000000001"/>
    <x v="2"/>
    <x v="1"/>
    <x v="0"/>
    <n v="0.19800000000000001"/>
  </r>
  <r>
    <n v="58"/>
    <x v="0"/>
    <x v="4"/>
    <n v="18"/>
    <n v="-76.5"/>
    <x v="7"/>
    <x v="5"/>
    <x v="0"/>
    <n v="76.5"/>
  </r>
  <r>
    <n v="59"/>
    <x v="0"/>
    <x v="4"/>
    <n v="20"/>
    <n v="600"/>
    <x v="10"/>
    <x v="2"/>
    <x v="1"/>
    <n v="600"/>
  </r>
  <r>
    <n v="60"/>
    <x v="0"/>
    <x v="4"/>
    <n v="24"/>
    <n v="-44.6"/>
    <x v="7"/>
    <x v="5"/>
    <x v="0"/>
    <n v="44.6"/>
  </r>
  <r>
    <n v="61"/>
    <x v="0"/>
    <x v="4"/>
    <n v="24"/>
    <n v="-0.19800000000000001"/>
    <x v="2"/>
    <x v="1"/>
    <x v="0"/>
    <n v="0.19800000000000001"/>
  </r>
  <r>
    <n v="62"/>
    <x v="0"/>
    <x v="4"/>
    <n v="27"/>
    <n v="382.36"/>
    <x v="4"/>
    <x v="3"/>
    <x v="1"/>
    <n v="382.36"/>
  </r>
  <r>
    <n v="63"/>
    <x v="0"/>
    <x v="4"/>
    <n v="31"/>
    <n v="-0.19800000000000001"/>
    <x v="2"/>
    <x v="1"/>
    <x v="0"/>
    <n v="0.19800000000000001"/>
  </r>
  <r>
    <n v="64"/>
    <x v="0"/>
    <x v="4"/>
    <n v="31"/>
    <n v="-1.198"/>
    <x v="2"/>
    <x v="1"/>
    <x v="0"/>
    <n v="1.198"/>
  </r>
  <r>
    <n v="65"/>
    <x v="0"/>
    <x v="5"/>
    <n v="1"/>
    <n v="-20"/>
    <x v="7"/>
    <x v="5"/>
    <x v="0"/>
    <n v="20"/>
  </r>
  <r>
    <n v="66"/>
    <x v="0"/>
    <x v="5"/>
    <n v="4"/>
    <n v="-15.874000000000001"/>
    <x v="1"/>
    <x v="1"/>
    <x v="0"/>
    <n v="15.874000000000001"/>
  </r>
  <r>
    <n v="67"/>
    <x v="0"/>
    <x v="5"/>
    <n v="9"/>
    <n v="-82.6"/>
    <x v="0"/>
    <x v="0"/>
    <x v="0"/>
    <n v="82.6"/>
  </r>
  <r>
    <n v="68"/>
    <x v="0"/>
    <x v="5"/>
    <n v="9"/>
    <n v="-55.69"/>
    <x v="13"/>
    <x v="1"/>
    <x v="0"/>
    <n v="55.69"/>
  </r>
  <r>
    <n v="69"/>
    <x v="0"/>
    <x v="5"/>
    <n v="15"/>
    <n v="2.1999999999999999E-2"/>
    <x v="3"/>
    <x v="2"/>
    <x v="1"/>
    <n v="2.1999999999999999E-2"/>
  </r>
  <r>
    <n v="70"/>
    <x v="0"/>
    <x v="5"/>
    <n v="15"/>
    <n v="-0.19800000000000001"/>
    <x v="2"/>
    <x v="1"/>
    <x v="0"/>
    <n v="0.19800000000000001"/>
  </r>
  <r>
    <n v="71"/>
    <x v="0"/>
    <x v="5"/>
    <n v="16"/>
    <n v="-0.39800000000000002"/>
    <x v="2"/>
    <x v="1"/>
    <x v="0"/>
    <n v="0.39800000000000002"/>
  </r>
  <r>
    <n v="72"/>
    <x v="0"/>
    <x v="5"/>
    <n v="25"/>
    <n v="-16.2"/>
    <x v="14"/>
    <x v="1"/>
    <x v="0"/>
    <n v="16.2"/>
  </r>
  <r>
    <n v="73"/>
    <x v="0"/>
    <x v="5"/>
    <n v="25"/>
    <n v="382.36"/>
    <x v="4"/>
    <x v="3"/>
    <x v="1"/>
    <n v="382.36"/>
  </r>
  <r>
    <n v="74"/>
    <x v="0"/>
    <x v="5"/>
    <n v="29"/>
    <n v="-33.851999999999997"/>
    <x v="15"/>
    <x v="4"/>
    <x v="0"/>
    <n v="33.851999999999997"/>
  </r>
  <r>
    <n v="75"/>
    <x v="0"/>
    <x v="5"/>
    <n v="30"/>
    <n v="2E-3"/>
    <x v="3"/>
    <x v="2"/>
    <x v="1"/>
    <n v="2E-3"/>
  </r>
  <r>
    <n v="76"/>
    <x v="0"/>
    <x v="5"/>
    <n v="30"/>
    <n v="-1.198"/>
    <x v="2"/>
    <x v="1"/>
    <x v="0"/>
    <n v="1.198"/>
  </r>
  <r>
    <n v="77"/>
    <x v="0"/>
    <x v="5"/>
    <n v="30"/>
    <n v="-0.3"/>
    <x v="2"/>
    <x v="1"/>
    <x v="0"/>
    <n v="0.3"/>
  </r>
  <r>
    <n v="78"/>
    <x v="0"/>
    <x v="6"/>
    <n v="1"/>
    <n v="-216.39600000000002"/>
    <x v="7"/>
    <x v="5"/>
    <x v="0"/>
    <n v="216.39600000000002"/>
  </r>
  <r>
    <n v="79"/>
    <x v="0"/>
    <x v="6"/>
    <n v="8"/>
    <n v="3000"/>
    <x v="10"/>
    <x v="2"/>
    <x v="1"/>
    <n v="3000"/>
  </r>
  <r>
    <n v="80"/>
    <x v="0"/>
    <x v="6"/>
    <n v="9"/>
    <n v="-1.6600000000000001"/>
    <x v="7"/>
    <x v="5"/>
    <x v="0"/>
    <n v="1.6600000000000001"/>
  </r>
  <r>
    <n v="81"/>
    <x v="0"/>
    <x v="6"/>
    <n v="9"/>
    <n v="-7.6059999999999999"/>
    <x v="16"/>
    <x v="1"/>
    <x v="0"/>
    <n v="7.6059999999999999"/>
  </r>
  <r>
    <n v="82"/>
    <x v="0"/>
    <x v="6"/>
    <n v="9"/>
    <n v="-12.465999999999999"/>
    <x v="1"/>
    <x v="1"/>
    <x v="0"/>
    <n v="12.465999999999999"/>
  </r>
  <r>
    <n v="83"/>
    <x v="0"/>
    <x v="6"/>
    <n v="12"/>
    <n v="-55.698"/>
    <x v="13"/>
    <x v="1"/>
    <x v="0"/>
    <n v="55.698"/>
  </r>
  <r>
    <n v="84"/>
    <x v="0"/>
    <x v="6"/>
    <n v="14"/>
    <n v="-100"/>
    <x v="7"/>
    <x v="5"/>
    <x v="0"/>
    <n v="100"/>
  </r>
  <r>
    <n v="85"/>
    <x v="0"/>
    <x v="6"/>
    <n v="14"/>
    <n v="-4"/>
    <x v="2"/>
    <x v="1"/>
    <x v="0"/>
    <n v="4"/>
  </r>
  <r>
    <n v="86"/>
    <x v="0"/>
    <x v="6"/>
    <n v="15"/>
    <n v="-1.1960000000000002"/>
    <x v="2"/>
    <x v="1"/>
    <x v="0"/>
    <n v="1.1960000000000002"/>
  </r>
  <r>
    <n v="87"/>
    <x v="0"/>
    <x v="6"/>
    <n v="15"/>
    <n v="-0.79600000000000004"/>
    <x v="2"/>
    <x v="1"/>
    <x v="0"/>
    <n v="0.79600000000000004"/>
  </r>
  <r>
    <n v="88"/>
    <x v="0"/>
    <x v="6"/>
    <n v="19"/>
    <n v="-5"/>
    <x v="7"/>
    <x v="5"/>
    <x v="0"/>
    <n v="5"/>
  </r>
  <r>
    <n v="89"/>
    <x v="0"/>
    <x v="6"/>
    <n v="21"/>
    <n v="-119.998"/>
    <x v="15"/>
    <x v="4"/>
    <x v="0"/>
    <n v="119.998"/>
  </r>
  <r>
    <n v="90"/>
    <x v="0"/>
    <x v="6"/>
    <n v="21"/>
    <n v="-100"/>
    <x v="7"/>
    <x v="5"/>
    <x v="0"/>
    <n v="100"/>
  </r>
  <r>
    <n v="91"/>
    <x v="0"/>
    <x v="6"/>
    <n v="21"/>
    <n v="-340.55"/>
    <x v="6"/>
    <x v="4"/>
    <x v="0"/>
    <n v="340.55"/>
  </r>
  <r>
    <n v="92"/>
    <x v="0"/>
    <x v="6"/>
    <n v="23"/>
    <n v="-66.527999999999992"/>
    <x v="0"/>
    <x v="0"/>
    <x v="0"/>
    <n v="66.527999999999992"/>
  </r>
  <r>
    <n v="93"/>
    <x v="0"/>
    <x v="6"/>
    <n v="23"/>
    <n v="-100"/>
    <x v="7"/>
    <x v="5"/>
    <x v="0"/>
    <n v="100"/>
  </r>
  <r>
    <n v="94"/>
    <x v="0"/>
    <x v="6"/>
    <n v="23"/>
    <n v="-100"/>
    <x v="7"/>
    <x v="5"/>
    <x v="0"/>
    <n v="100"/>
  </r>
  <r>
    <n v="95"/>
    <x v="0"/>
    <x v="6"/>
    <n v="24"/>
    <n v="-110.39400000000001"/>
    <x v="17"/>
    <x v="4"/>
    <x v="0"/>
    <n v="110.39400000000001"/>
  </r>
  <r>
    <n v="96"/>
    <x v="0"/>
    <x v="6"/>
    <n v="24"/>
    <n v="-16.2"/>
    <x v="14"/>
    <x v="1"/>
    <x v="0"/>
    <n v="16.2"/>
  </r>
  <r>
    <n v="97"/>
    <x v="0"/>
    <x v="6"/>
    <n v="26"/>
    <n v="410.24799999999993"/>
    <x v="4"/>
    <x v="3"/>
    <x v="1"/>
    <n v="410.24799999999993"/>
  </r>
  <r>
    <n v="98"/>
    <x v="0"/>
    <x v="6"/>
    <n v="30"/>
    <n v="-77.8"/>
    <x v="6"/>
    <x v="4"/>
    <x v="0"/>
    <n v="77.8"/>
  </r>
  <r>
    <n v="99"/>
    <x v="0"/>
    <x v="6"/>
    <n v="31"/>
    <n v="-1.86"/>
    <x v="0"/>
    <x v="0"/>
    <x v="0"/>
    <n v="1.86"/>
  </r>
  <r>
    <n v="100"/>
    <x v="0"/>
    <x v="6"/>
    <n v="31"/>
    <n v="1.7999999999999999E-2"/>
    <x v="3"/>
    <x v="2"/>
    <x v="1"/>
    <n v="1.7999999999999999E-2"/>
  </r>
  <r>
    <n v="101"/>
    <x v="0"/>
    <x v="6"/>
    <n v="31"/>
    <n v="-1.198"/>
    <x v="2"/>
    <x v="1"/>
    <x v="0"/>
    <n v="1.198"/>
  </r>
  <r>
    <n v="102"/>
    <x v="0"/>
    <x v="6"/>
    <n v="31"/>
    <n v="-0.3"/>
    <x v="2"/>
    <x v="1"/>
    <x v="0"/>
    <n v="0.3"/>
  </r>
  <r>
    <n v="103"/>
    <x v="0"/>
    <x v="7"/>
    <n v="2"/>
    <n v="-33.660000000000004"/>
    <x v="15"/>
    <x v="4"/>
    <x v="0"/>
    <n v="33.660000000000004"/>
  </r>
  <r>
    <n v="104"/>
    <x v="0"/>
    <x v="7"/>
    <n v="2"/>
    <n v="-71.599999999999994"/>
    <x v="6"/>
    <x v="4"/>
    <x v="0"/>
    <n v="71.599999999999994"/>
  </r>
  <r>
    <n v="105"/>
    <x v="0"/>
    <x v="7"/>
    <n v="2"/>
    <n v="-2.8780000000000001"/>
    <x v="18"/>
    <x v="1"/>
    <x v="0"/>
    <n v="2.8780000000000001"/>
  </r>
  <r>
    <n v="106"/>
    <x v="0"/>
    <x v="7"/>
    <n v="2"/>
    <n v="-5.04"/>
    <x v="18"/>
    <x v="1"/>
    <x v="0"/>
    <n v="5.04"/>
  </r>
  <r>
    <n v="107"/>
    <x v="0"/>
    <x v="7"/>
    <n v="2"/>
    <n v="-23.161999999999999"/>
    <x v="7"/>
    <x v="5"/>
    <x v="0"/>
    <n v="23.161999999999999"/>
  </r>
  <r>
    <n v="108"/>
    <x v="0"/>
    <x v="7"/>
    <n v="3"/>
    <n v="-10"/>
    <x v="7"/>
    <x v="5"/>
    <x v="0"/>
    <n v="10"/>
  </r>
  <r>
    <n v="109"/>
    <x v="0"/>
    <x v="7"/>
    <n v="3"/>
    <n v="-15.891999999999999"/>
    <x v="0"/>
    <x v="0"/>
    <x v="0"/>
    <n v="15.891999999999999"/>
  </r>
  <r>
    <n v="110"/>
    <x v="0"/>
    <x v="7"/>
    <n v="5"/>
    <n v="-13.13"/>
    <x v="1"/>
    <x v="1"/>
    <x v="0"/>
    <n v="13.13"/>
  </r>
  <r>
    <n v="111"/>
    <x v="0"/>
    <x v="7"/>
    <n v="5"/>
    <n v="-4.9659999999999993"/>
    <x v="0"/>
    <x v="0"/>
    <x v="0"/>
    <n v="4.9659999999999993"/>
  </r>
  <r>
    <n v="112"/>
    <x v="0"/>
    <x v="7"/>
    <n v="6"/>
    <n v="-1.6600000000000001"/>
    <x v="7"/>
    <x v="5"/>
    <x v="0"/>
    <n v="1.6600000000000001"/>
  </r>
  <r>
    <n v="113"/>
    <x v="0"/>
    <x v="7"/>
    <n v="6"/>
    <n v="-7.9799999999999995"/>
    <x v="7"/>
    <x v="5"/>
    <x v="0"/>
    <n v="7.9799999999999995"/>
  </r>
  <r>
    <n v="114"/>
    <x v="0"/>
    <x v="7"/>
    <n v="7"/>
    <n v="-1.6600000000000001"/>
    <x v="7"/>
    <x v="5"/>
    <x v="0"/>
    <n v="1.6600000000000001"/>
  </r>
  <r>
    <n v="115"/>
    <x v="0"/>
    <x v="7"/>
    <n v="11"/>
    <n v="-55.69"/>
    <x v="13"/>
    <x v="1"/>
    <x v="0"/>
    <n v="55.69"/>
  </r>
  <r>
    <n v="116"/>
    <x v="0"/>
    <x v="7"/>
    <n v="11"/>
    <n v="-1.6600000000000001"/>
    <x v="7"/>
    <x v="5"/>
    <x v="0"/>
    <n v="1.6600000000000001"/>
  </r>
  <r>
    <n v="117"/>
    <x v="0"/>
    <x v="7"/>
    <n v="11"/>
    <n v="-11.224"/>
    <x v="19"/>
    <x v="1"/>
    <x v="0"/>
    <n v="11.224"/>
  </r>
  <r>
    <n v="118"/>
    <x v="0"/>
    <x v="7"/>
    <n v="13"/>
    <n v="-6.83"/>
    <x v="0"/>
    <x v="0"/>
    <x v="0"/>
    <n v="6.83"/>
  </r>
  <r>
    <n v="119"/>
    <x v="0"/>
    <x v="7"/>
    <n v="15"/>
    <n v="-1.1960000000000002"/>
    <x v="2"/>
    <x v="1"/>
    <x v="0"/>
    <n v="1.1960000000000002"/>
  </r>
  <r>
    <n v="120"/>
    <x v="0"/>
    <x v="7"/>
    <n v="19"/>
    <n v="-10"/>
    <x v="7"/>
    <x v="5"/>
    <x v="0"/>
    <n v="10"/>
  </r>
  <r>
    <n v="121"/>
    <x v="0"/>
    <x v="7"/>
    <n v="19"/>
    <n v="153.352"/>
    <x v="8"/>
    <x v="3"/>
    <x v="1"/>
    <n v="153.352"/>
  </r>
  <r>
    <n v="122"/>
    <x v="0"/>
    <x v="7"/>
    <n v="19"/>
    <n v="-0.39800000000000002"/>
    <x v="2"/>
    <x v="1"/>
    <x v="0"/>
    <n v="0.39800000000000002"/>
  </r>
  <r>
    <n v="123"/>
    <x v="0"/>
    <x v="7"/>
    <n v="19"/>
    <n v="-17.112000000000002"/>
    <x v="0"/>
    <x v="0"/>
    <x v="0"/>
    <n v="17.112000000000002"/>
  </r>
  <r>
    <n v="124"/>
    <x v="0"/>
    <x v="7"/>
    <n v="25"/>
    <n v="-21.794"/>
    <x v="7"/>
    <x v="5"/>
    <x v="0"/>
    <n v="21.794"/>
  </r>
  <r>
    <n v="125"/>
    <x v="0"/>
    <x v="7"/>
    <n v="25"/>
    <n v="410.25"/>
    <x v="4"/>
    <x v="3"/>
    <x v="1"/>
    <n v="410.25"/>
  </r>
  <r>
    <n v="126"/>
    <x v="0"/>
    <x v="7"/>
    <n v="26"/>
    <n v="-13.206"/>
    <x v="0"/>
    <x v="0"/>
    <x v="0"/>
    <n v="13.206"/>
  </r>
  <r>
    <n v="127"/>
    <x v="0"/>
    <x v="7"/>
    <n v="27"/>
    <n v="-4.6680000000000001"/>
    <x v="0"/>
    <x v="0"/>
    <x v="0"/>
    <n v="4.6680000000000001"/>
  </r>
  <r>
    <n v="128"/>
    <x v="0"/>
    <x v="7"/>
    <n v="30"/>
    <n v="-16.399999999999999"/>
    <x v="14"/>
    <x v="1"/>
    <x v="0"/>
    <n v="16.399999999999999"/>
  </r>
  <r>
    <n v="129"/>
    <x v="0"/>
    <x v="7"/>
    <n v="31"/>
    <n v="-33.660000000000004"/>
    <x v="15"/>
    <x v="4"/>
    <x v="0"/>
    <n v="33.660000000000004"/>
  </r>
  <r>
    <n v="130"/>
    <x v="0"/>
    <x v="7"/>
    <n v="31"/>
    <n v="4.0000000000000001E-3"/>
    <x v="3"/>
    <x v="2"/>
    <x v="1"/>
    <n v="4.0000000000000001E-3"/>
  </r>
  <r>
    <n v="131"/>
    <x v="0"/>
    <x v="7"/>
    <n v="31"/>
    <n v="-1.198"/>
    <x v="2"/>
    <x v="1"/>
    <x v="0"/>
    <n v="1.198"/>
  </r>
  <r>
    <n v="132"/>
    <x v="0"/>
    <x v="7"/>
    <n v="31"/>
    <n v="-1.1000000000000001"/>
    <x v="2"/>
    <x v="1"/>
    <x v="0"/>
    <n v="1.1000000000000001"/>
  </r>
  <r>
    <n v="133"/>
    <x v="0"/>
    <x v="8"/>
    <n v="1"/>
    <n v="-12.978"/>
    <x v="1"/>
    <x v="1"/>
    <x v="0"/>
    <n v="12.978"/>
  </r>
  <r>
    <n v="134"/>
    <x v="0"/>
    <x v="8"/>
    <n v="1"/>
    <n v="-54.784000000000006"/>
    <x v="13"/>
    <x v="1"/>
    <x v="0"/>
    <n v="54.784000000000006"/>
  </r>
  <r>
    <n v="135"/>
    <x v="0"/>
    <x v="8"/>
    <n v="1"/>
    <n v="-15.254"/>
    <x v="16"/>
    <x v="1"/>
    <x v="0"/>
    <n v="15.254"/>
  </r>
  <r>
    <n v="136"/>
    <x v="0"/>
    <x v="8"/>
    <n v="2"/>
    <n v="-9.6239999999999988"/>
    <x v="0"/>
    <x v="0"/>
    <x v="0"/>
    <n v="9.6239999999999988"/>
  </r>
  <r>
    <n v="137"/>
    <x v="0"/>
    <x v="8"/>
    <n v="4"/>
    <n v="2.58"/>
    <x v="3"/>
    <x v="2"/>
    <x v="1"/>
    <n v="2.58"/>
  </r>
  <r>
    <n v="138"/>
    <x v="0"/>
    <x v="8"/>
    <n v="8"/>
    <n v="-3.06"/>
    <x v="0"/>
    <x v="0"/>
    <x v="0"/>
    <n v="3.06"/>
  </r>
  <r>
    <n v="139"/>
    <x v="0"/>
    <x v="8"/>
    <n v="11"/>
    <n v="-29.8"/>
    <x v="6"/>
    <x v="4"/>
    <x v="0"/>
    <n v="29.8"/>
  </r>
  <r>
    <n v="140"/>
    <x v="0"/>
    <x v="8"/>
    <n v="11"/>
    <n v="-10.98"/>
    <x v="19"/>
    <x v="1"/>
    <x v="0"/>
    <n v="10.98"/>
  </r>
  <r>
    <n v="141"/>
    <x v="0"/>
    <x v="8"/>
    <n v="11"/>
    <n v="-0.39800000000000002"/>
    <x v="2"/>
    <x v="1"/>
    <x v="0"/>
    <n v="0.39800000000000002"/>
  </r>
  <r>
    <n v="142"/>
    <x v="0"/>
    <x v="8"/>
    <n v="11"/>
    <n v="-13.038"/>
    <x v="0"/>
    <x v="0"/>
    <x v="0"/>
    <n v="13.038"/>
  </r>
  <r>
    <n v="143"/>
    <x v="0"/>
    <x v="8"/>
    <n v="11"/>
    <n v="-23.19"/>
    <x v="0"/>
    <x v="0"/>
    <x v="0"/>
    <n v="23.19"/>
  </r>
  <r>
    <n v="144"/>
    <x v="0"/>
    <x v="8"/>
    <n v="11"/>
    <n v="-2.698"/>
    <x v="0"/>
    <x v="0"/>
    <x v="0"/>
    <n v="2.698"/>
  </r>
  <r>
    <n v="145"/>
    <x v="0"/>
    <x v="8"/>
    <n v="13"/>
    <n v="-13.6"/>
    <x v="7"/>
    <x v="5"/>
    <x v="0"/>
    <n v="13.6"/>
  </r>
  <r>
    <n v="146"/>
    <x v="0"/>
    <x v="8"/>
    <n v="13"/>
    <n v="-26.26"/>
    <x v="0"/>
    <x v="0"/>
    <x v="0"/>
    <n v="26.26"/>
  </r>
  <r>
    <n v="147"/>
    <x v="0"/>
    <x v="8"/>
    <n v="15"/>
    <n v="2E-3"/>
    <x v="3"/>
    <x v="2"/>
    <x v="1"/>
    <n v="2E-3"/>
  </r>
  <r>
    <n v="148"/>
    <x v="0"/>
    <x v="8"/>
    <n v="15"/>
    <n v="-1.1960000000000002"/>
    <x v="2"/>
    <x v="1"/>
    <x v="0"/>
    <n v="1.1960000000000002"/>
  </r>
  <r>
    <n v="149"/>
    <x v="0"/>
    <x v="8"/>
    <n v="15"/>
    <n v="-16.2"/>
    <x v="14"/>
    <x v="1"/>
    <x v="0"/>
    <n v="16.2"/>
  </r>
  <r>
    <n v="150"/>
    <x v="0"/>
    <x v="8"/>
    <n v="20"/>
    <n v="-3.9560000000000004"/>
    <x v="7"/>
    <x v="5"/>
    <x v="0"/>
    <n v="3.9560000000000004"/>
  </r>
  <r>
    <n v="151"/>
    <x v="0"/>
    <x v="8"/>
    <n v="20"/>
    <n v="-24.94"/>
    <x v="0"/>
    <x v="0"/>
    <x v="0"/>
    <n v="24.94"/>
  </r>
  <r>
    <n v="152"/>
    <x v="0"/>
    <x v="8"/>
    <n v="20"/>
    <n v="-4.718"/>
    <x v="0"/>
    <x v="0"/>
    <x v="0"/>
    <n v="4.718"/>
  </r>
  <r>
    <n v="153"/>
    <x v="0"/>
    <x v="8"/>
    <n v="24"/>
    <n v="-3.8"/>
    <x v="7"/>
    <x v="5"/>
    <x v="0"/>
    <n v="3.8"/>
  </r>
  <r>
    <n v="154"/>
    <x v="0"/>
    <x v="8"/>
    <n v="27"/>
    <n v="410.24799999999993"/>
    <x v="4"/>
    <x v="3"/>
    <x v="1"/>
    <n v="410.24799999999993"/>
  </r>
  <r>
    <n v="155"/>
    <x v="0"/>
    <x v="8"/>
    <n v="28"/>
    <n v="-4.0439999999999996"/>
    <x v="0"/>
    <x v="0"/>
    <x v="0"/>
    <n v="4.0439999999999996"/>
  </r>
  <r>
    <n v="156"/>
    <x v="0"/>
    <x v="8"/>
    <n v="30"/>
    <n v="-1.6600000000000001"/>
    <x v="7"/>
    <x v="5"/>
    <x v="0"/>
    <n v="1.6600000000000001"/>
  </r>
  <r>
    <n v="157"/>
    <x v="0"/>
    <x v="8"/>
    <n v="30"/>
    <n v="1.4000000000000002E-2"/>
    <x v="3"/>
    <x v="2"/>
    <x v="1"/>
    <n v="1.4000000000000002E-2"/>
  </r>
  <r>
    <n v="158"/>
    <x v="0"/>
    <x v="8"/>
    <n v="30"/>
    <n v="-1.198"/>
    <x v="2"/>
    <x v="1"/>
    <x v="0"/>
    <n v="1.198"/>
  </r>
  <r>
    <n v="159"/>
    <x v="0"/>
    <x v="8"/>
    <n v="30"/>
    <n v="-0.2"/>
    <x v="2"/>
    <x v="1"/>
    <x v="0"/>
    <n v="0.2"/>
  </r>
  <r>
    <n v="160"/>
    <x v="0"/>
    <x v="9"/>
    <n v="1"/>
    <n v="-5.7359999999999998"/>
    <x v="0"/>
    <x v="0"/>
    <x v="0"/>
    <n v="5.7359999999999998"/>
  </r>
  <r>
    <n v="161"/>
    <x v="0"/>
    <x v="9"/>
    <n v="2"/>
    <n v="-33.660000000000004"/>
    <x v="15"/>
    <x v="4"/>
    <x v="0"/>
    <n v="33.660000000000004"/>
  </r>
  <r>
    <n v="162"/>
    <x v="0"/>
    <x v="9"/>
    <n v="2"/>
    <n v="-54.784000000000006"/>
    <x v="13"/>
    <x v="1"/>
    <x v="0"/>
    <n v="54.784000000000006"/>
  </r>
  <r>
    <n v="163"/>
    <x v="0"/>
    <x v="9"/>
    <n v="2"/>
    <n v="-8.7319999999999993"/>
    <x v="1"/>
    <x v="1"/>
    <x v="0"/>
    <n v="8.7319999999999993"/>
  </r>
  <r>
    <n v="164"/>
    <x v="0"/>
    <x v="9"/>
    <n v="7"/>
    <n v="-15.827999999999999"/>
    <x v="0"/>
    <x v="0"/>
    <x v="0"/>
    <n v="15.827999999999999"/>
  </r>
  <r>
    <n v="165"/>
    <x v="0"/>
    <x v="9"/>
    <n v="8"/>
    <n v="-4.2939999999999996"/>
    <x v="0"/>
    <x v="0"/>
    <x v="0"/>
    <n v="4.2939999999999996"/>
  </r>
  <r>
    <n v="166"/>
    <x v="0"/>
    <x v="9"/>
    <n v="9"/>
    <n v="-0.39800000000000002"/>
    <x v="2"/>
    <x v="1"/>
    <x v="0"/>
    <n v="0.39800000000000002"/>
  </r>
  <r>
    <n v="167"/>
    <x v="0"/>
    <x v="9"/>
    <n v="11"/>
    <n v="-9.76"/>
    <x v="19"/>
    <x v="1"/>
    <x v="0"/>
    <n v="9.76"/>
  </r>
  <r>
    <n v="168"/>
    <x v="0"/>
    <x v="9"/>
    <n v="14"/>
    <n v="-11.926"/>
    <x v="0"/>
    <x v="0"/>
    <x v="0"/>
    <n v="11.926"/>
  </r>
  <r>
    <n v="169"/>
    <x v="0"/>
    <x v="9"/>
    <n v="15"/>
    <n v="-1.1960000000000002"/>
    <x v="2"/>
    <x v="1"/>
    <x v="0"/>
    <n v="1.1960000000000002"/>
  </r>
  <r>
    <n v="170"/>
    <x v="0"/>
    <x v="9"/>
    <n v="22"/>
    <n v="-37.405999999999999"/>
    <x v="0"/>
    <x v="0"/>
    <x v="0"/>
    <n v="37.405999999999999"/>
  </r>
  <r>
    <n v="171"/>
    <x v="0"/>
    <x v="9"/>
    <n v="25"/>
    <n v="-16.399999999999999"/>
    <x v="14"/>
    <x v="1"/>
    <x v="0"/>
    <n v="16.399999999999999"/>
  </r>
  <r>
    <n v="172"/>
    <x v="0"/>
    <x v="9"/>
    <n v="27"/>
    <n v="410.24799999999993"/>
    <x v="4"/>
    <x v="3"/>
    <x v="1"/>
    <n v="410.24799999999993"/>
  </r>
  <r>
    <n v="173"/>
    <x v="0"/>
    <x v="9"/>
    <n v="28"/>
    <n v="2.58"/>
    <x v="3"/>
    <x v="2"/>
    <x v="1"/>
    <n v="2.58"/>
  </r>
  <r>
    <n v="174"/>
    <x v="0"/>
    <x v="9"/>
    <n v="30"/>
    <n v="-33.660000000000004"/>
    <x v="15"/>
    <x v="4"/>
    <x v="0"/>
    <n v="33.660000000000004"/>
  </r>
  <r>
    <n v="175"/>
    <x v="0"/>
    <x v="9"/>
    <n v="30"/>
    <n v="-46.4"/>
    <x v="12"/>
    <x v="1"/>
    <x v="0"/>
    <n v="46.4"/>
  </r>
  <r>
    <n v="176"/>
    <x v="0"/>
    <x v="9"/>
    <n v="31"/>
    <n v="4.0000000000000001E-3"/>
    <x v="3"/>
    <x v="2"/>
    <x v="1"/>
    <n v="4.0000000000000001E-3"/>
  </r>
  <r>
    <n v="177"/>
    <x v="0"/>
    <x v="9"/>
    <n v="31"/>
    <n v="-1.198"/>
    <x v="2"/>
    <x v="1"/>
    <x v="0"/>
    <n v="1.198"/>
  </r>
  <r>
    <n v="178"/>
    <x v="0"/>
    <x v="9"/>
    <n v="31"/>
    <n v="-0.9"/>
    <x v="2"/>
    <x v="1"/>
    <x v="0"/>
    <n v="0.9"/>
  </r>
  <r>
    <n v="179"/>
    <x v="0"/>
    <x v="10"/>
    <n v="1"/>
    <n v="-8"/>
    <x v="1"/>
    <x v="1"/>
    <x v="0"/>
    <n v="8"/>
  </r>
  <r>
    <n v="180"/>
    <x v="0"/>
    <x v="10"/>
    <n v="1"/>
    <n v="-54.784000000000006"/>
    <x v="13"/>
    <x v="1"/>
    <x v="0"/>
    <n v="54.784000000000006"/>
  </r>
  <r>
    <n v="181"/>
    <x v="0"/>
    <x v="10"/>
    <n v="1"/>
    <n v="-15.254"/>
    <x v="16"/>
    <x v="1"/>
    <x v="0"/>
    <n v="15.254"/>
  </r>
  <r>
    <n v="182"/>
    <x v="0"/>
    <x v="10"/>
    <n v="2"/>
    <n v="-129.31800000000001"/>
    <x v="7"/>
    <x v="5"/>
    <x v="0"/>
    <n v="129.31800000000001"/>
  </r>
  <r>
    <n v="183"/>
    <x v="0"/>
    <x v="10"/>
    <n v="4"/>
    <n v="-6.0220000000000002"/>
    <x v="0"/>
    <x v="0"/>
    <x v="0"/>
    <n v="6.0220000000000002"/>
  </r>
  <r>
    <n v="184"/>
    <x v="0"/>
    <x v="10"/>
    <n v="6"/>
    <n v="-8.4640000000000004"/>
    <x v="18"/>
    <x v="1"/>
    <x v="0"/>
    <n v="8.4640000000000004"/>
  </r>
  <r>
    <n v="185"/>
    <x v="0"/>
    <x v="10"/>
    <n v="6"/>
    <n v="-10.120000000000001"/>
    <x v="18"/>
    <x v="1"/>
    <x v="0"/>
    <n v="10.120000000000001"/>
  </r>
  <r>
    <n v="186"/>
    <x v="0"/>
    <x v="10"/>
    <n v="6"/>
    <n v="-1.6600000000000001"/>
    <x v="7"/>
    <x v="5"/>
    <x v="0"/>
    <n v="1.6600000000000001"/>
  </r>
  <r>
    <n v="187"/>
    <x v="0"/>
    <x v="10"/>
    <n v="8"/>
    <n v="-18.538"/>
    <x v="0"/>
    <x v="0"/>
    <x v="0"/>
    <n v="18.538"/>
  </r>
  <r>
    <n v="188"/>
    <x v="0"/>
    <x v="10"/>
    <n v="9"/>
    <n v="102.114"/>
    <x v="8"/>
    <x v="3"/>
    <x v="1"/>
    <n v="102.114"/>
  </r>
  <r>
    <n v="189"/>
    <x v="0"/>
    <x v="10"/>
    <n v="9"/>
    <n v="-8.3260000000000005"/>
    <x v="0"/>
    <x v="0"/>
    <x v="0"/>
    <n v="8.3260000000000005"/>
  </r>
  <r>
    <n v="190"/>
    <x v="0"/>
    <x v="10"/>
    <n v="12"/>
    <n v="-9.76"/>
    <x v="19"/>
    <x v="1"/>
    <x v="0"/>
    <n v="9.76"/>
  </r>
  <r>
    <n v="191"/>
    <x v="0"/>
    <x v="10"/>
    <n v="15"/>
    <n v="-16.2"/>
    <x v="14"/>
    <x v="1"/>
    <x v="0"/>
    <n v="16.2"/>
  </r>
  <r>
    <n v="192"/>
    <x v="0"/>
    <x v="10"/>
    <n v="15"/>
    <n v="2E-3"/>
    <x v="3"/>
    <x v="2"/>
    <x v="1"/>
    <n v="2E-3"/>
  </r>
  <r>
    <n v="193"/>
    <x v="0"/>
    <x v="10"/>
    <n v="15"/>
    <n v="-1.1960000000000002"/>
    <x v="2"/>
    <x v="1"/>
    <x v="0"/>
    <n v="1.1960000000000002"/>
  </r>
  <r>
    <n v="194"/>
    <x v="0"/>
    <x v="10"/>
    <n v="18"/>
    <n v="-0.39800000000000002"/>
    <x v="2"/>
    <x v="1"/>
    <x v="0"/>
    <n v="0.39800000000000002"/>
  </r>
  <r>
    <n v="195"/>
    <x v="0"/>
    <x v="10"/>
    <n v="19"/>
    <n v="-7.6239999999999997"/>
    <x v="0"/>
    <x v="0"/>
    <x v="0"/>
    <n v="7.6239999999999997"/>
  </r>
  <r>
    <n v="196"/>
    <x v="0"/>
    <x v="10"/>
    <n v="21"/>
    <n v="-1.86"/>
    <x v="7"/>
    <x v="5"/>
    <x v="0"/>
    <n v="1.86"/>
  </r>
  <r>
    <n v="197"/>
    <x v="0"/>
    <x v="10"/>
    <n v="25"/>
    <n v="-24.4"/>
    <x v="7"/>
    <x v="5"/>
    <x v="0"/>
    <n v="24.4"/>
  </r>
  <r>
    <n v="198"/>
    <x v="0"/>
    <x v="10"/>
    <n v="26"/>
    <n v="414.03399999999999"/>
    <x v="4"/>
    <x v="3"/>
    <x v="1"/>
    <n v="414.03399999999999"/>
  </r>
  <r>
    <n v="199"/>
    <x v="0"/>
    <x v="10"/>
    <n v="26"/>
    <n v="-16.137999999999998"/>
    <x v="0"/>
    <x v="0"/>
    <x v="0"/>
    <n v="16.137999999999998"/>
  </r>
  <r>
    <n v="200"/>
    <x v="0"/>
    <x v="10"/>
    <n v="30"/>
    <n v="1.6E-2"/>
    <x v="3"/>
    <x v="2"/>
    <x v="1"/>
    <n v="1.6E-2"/>
  </r>
  <r>
    <n v="201"/>
    <x v="0"/>
    <x v="10"/>
    <n v="30"/>
    <n v="-1.198"/>
    <x v="2"/>
    <x v="1"/>
    <x v="0"/>
    <n v="1.198"/>
  </r>
  <r>
    <n v="202"/>
    <x v="0"/>
    <x v="10"/>
    <n v="30"/>
    <n v="-0.3"/>
    <x v="2"/>
    <x v="1"/>
    <x v="0"/>
    <n v="0.3"/>
  </r>
  <r>
    <n v="203"/>
    <x v="0"/>
    <x v="11"/>
    <n v="1"/>
    <n v="-9.76"/>
    <x v="19"/>
    <x v="1"/>
    <x v="0"/>
    <n v="9.76"/>
  </r>
  <r>
    <n v="204"/>
    <x v="0"/>
    <x v="11"/>
    <n v="2"/>
    <n v="-5.89"/>
    <x v="0"/>
    <x v="0"/>
    <x v="0"/>
    <n v="5.89"/>
  </r>
  <r>
    <n v="205"/>
    <x v="0"/>
    <x v="11"/>
    <n v="2"/>
    <n v="-2.4940000000000002"/>
    <x v="0"/>
    <x v="0"/>
    <x v="0"/>
    <n v="2.4940000000000002"/>
  </r>
  <r>
    <n v="206"/>
    <x v="0"/>
    <x v="11"/>
    <n v="4"/>
    <n v="-33.660000000000004"/>
    <x v="15"/>
    <x v="4"/>
    <x v="0"/>
    <n v="33.660000000000004"/>
  </r>
  <r>
    <n v="207"/>
    <x v="0"/>
    <x v="11"/>
    <n v="4"/>
    <n v="-57.570000000000007"/>
    <x v="13"/>
    <x v="1"/>
    <x v="0"/>
    <n v="57.570000000000007"/>
  </r>
  <r>
    <n v="208"/>
    <x v="0"/>
    <x v="11"/>
    <n v="4"/>
    <n v="-4"/>
    <x v="20"/>
    <x v="1"/>
    <x v="0"/>
    <n v="4"/>
  </r>
  <r>
    <n v="209"/>
    <x v="0"/>
    <x v="11"/>
    <n v="4"/>
    <n v="-8"/>
    <x v="1"/>
    <x v="1"/>
    <x v="0"/>
    <n v="8"/>
  </r>
  <r>
    <n v="210"/>
    <x v="0"/>
    <x v="11"/>
    <n v="6"/>
    <n v="-4.9640000000000004"/>
    <x v="0"/>
    <x v="0"/>
    <x v="0"/>
    <n v="4.9640000000000004"/>
  </r>
  <r>
    <n v="211"/>
    <x v="0"/>
    <x v="11"/>
    <n v="9"/>
    <n v="-10"/>
    <x v="7"/>
    <x v="5"/>
    <x v="0"/>
    <n v="10"/>
  </r>
  <r>
    <n v="212"/>
    <x v="0"/>
    <x v="11"/>
    <n v="9"/>
    <n v="-1.6600000000000001"/>
    <x v="7"/>
    <x v="5"/>
    <x v="0"/>
    <n v="1.6600000000000001"/>
  </r>
  <r>
    <n v="213"/>
    <x v="0"/>
    <x v="11"/>
    <n v="9"/>
    <n v="-22.15"/>
    <x v="0"/>
    <x v="0"/>
    <x v="0"/>
    <n v="22.15"/>
  </r>
  <r>
    <n v="214"/>
    <x v="0"/>
    <x v="11"/>
    <n v="10"/>
    <n v="-8.234"/>
    <x v="0"/>
    <x v="0"/>
    <x v="0"/>
    <n v="8.234"/>
  </r>
  <r>
    <n v="215"/>
    <x v="0"/>
    <x v="11"/>
    <n v="11"/>
    <n v="-0.39800000000000002"/>
    <x v="2"/>
    <x v="1"/>
    <x v="0"/>
    <n v="0.39800000000000002"/>
  </r>
  <r>
    <n v="216"/>
    <x v="0"/>
    <x v="11"/>
    <n v="13"/>
    <n v="-15"/>
    <x v="7"/>
    <x v="5"/>
    <x v="0"/>
    <n v="15"/>
  </r>
  <r>
    <n v="217"/>
    <x v="0"/>
    <x v="11"/>
    <n v="14"/>
    <n v="61.302"/>
    <x v="8"/>
    <x v="3"/>
    <x v="1"/>
    <n v="61.302"/>
  </r>
  <r>
    <n v="218"/>
    <x v="0"/>
    <x v="11"/>
    <n v="15"/>
    <n v="-1.1960000000000002"/>
    <x v="2"/>
    <x v="1"/>
    <x v="0"/>
    <n v="1.1960000000000002"/>
  </r>
  <r>
    <n v="219"/>
    <x v="0"/>
    <x v="11"/>
    <n v="16"/>
    <n v="-24.684000000000001"/>
    <x v="0"/>
    <x v="0"/>
    <x v="0"/>
    <n v="24.684000000000001"/>
  </r>
  <r>
    <n v="220"/>
    <x v="0"/>
    <x v="11"/>
    <n v="17"/>
    <n v="414.03399999999999"/>
    <x v="4"/>
    <x v="3"/>
    <x v="1"/>
    <n v="414.03399999999999"/>
  </r>
  <r>
    <n v="221"/>
    <x v="0"/>
    <x v="11"/>
    <n v="18"/>
    <n v="-3.996"/>
    <x v="7"/>
    <x v="5"/>
    <x v="0"/>
    <n v="3.996"/>
  </r>
  <r>
    <n v="222"/>
    <x v="0"/>
    <x v="11"/>
    <n v="18"/>
    <n v="-17.084"/>
    <x v="0"/>
    <x v="0"/>
    <x v="0"/>
    <n v="17.084"/>
  </r>
  <r>
    <n v="223"/>
    <x v="0"/>
    <x v="11"/>
    <n v="21"/>
    <n v="-24.231999999999999"/>
    <x v="17"/>
    <x v="4"/>
    <x v="0"/>
    <n v="24.231999999999999"/>
  </r>
  <r>
    <n v="224"/>
    <x v="0"/>
    <x v="11"/>
    <n v="21"/>
    <n v="26.439999999999998"/>
    <x v="8"/>
    <x v="3"/>
    <x v="1"/>
    <n v="26.439999999999998"/>
  </r>
  <r>
    <n v="225"/>
    <x v="0"/>
    <x v="11"/>
    <n v="21"/>
    <n v="-44.989999999999995"/>
    <x v="0"/>
    <x v="0"/>
    <x v="0"/>
    <n v="44.989999999999995"/>
  </r>
  <r>
    <n v="226"/>
    <x v="0"/>
    <x v="11"/>
    <n v="22"/>
    <n v="-4.5920000000000005"/>
    <x v="0"/>
    <x v="0"/>
    <x v="0"/>
    <n v="4.5920000000000005"/>
  </r>
  <r>
    <n v="227"/>
    <x v="0"/>
    <x v="11"/>
    <n v="22"/>
    <n v="-13.791999999999998"/>
    <x v="0"/>
    <x v="0"/>
    <x v="0"/>
    <n v="13.791999999999998"/>
  </r>
  <r>
    <n v="228"/>
    <x v="0"/>
    <x v="11"/>
    <n v="23"/>
    <n v="-5.46"/>
    <x v="7"/>
    <x v="5"/>
    <x v="0"/>
    <n v="5.46"/>
  </r>
  <r>
    <n v="229"/>
    <x v="0"/>
    <x v="11"/>
    <n v="28"/>
    <n v="-16.2"/>
    <x v="14"/>
    <x v="1"/>
    <x v="0"/>
    <n v="16.2"/>
  </r>
  <r>
    <n v="230"/>
    <x v="0"/>
    <x v="11"/>
    <n v="31"/>
    <n v="1.4000000000000002E-2"/>
    <x v="3"/>
    <x v="2"/>
    <x v="1"/>
    <n v="1.4000000000000002E-2"/>
  </r>
  <r>
    <n v="231"/>
    <x v="0"/>
    <x v="11"/>
    <n v="31"/>
    <n v="-1.198"/>
    <x v="2"/>
    <x v="1"/>
    <x v="0"/>
    <n v="1.198"/>
  </r>
  <r>
    <n v="232"/>
    <x v="0"/>
    <x v="11"/>
    <n v="31"/>
    <n v="-0.5"/>
    <x v="2"/>
    <x v="1"/>
    <x v="0"/>
    <n v="0.5"/>
  </r>
  <r>
    <n v="233"/>
    <x v="1"/>
    <x v="0"/>
    <n v="2"/>
    <n v="-33.660000000000004"/>
    <x v="15"/>
    <x v="4"/>
    <x v="0"/>
    <n v="33.660000000000004"/>
  </r>
  <r>
    <n v="234"/>
    <x v="1"/>
    <x v="0"/>
    <n v="2"/>
    <n v="-1.6600000000000001"/>
    <x v="0"/>
    <x v="0"/>
    <x v="0"/>
    <n v="1.6600000000000001"/>
  </r>
  <r>
    <n v="235"/>
    <x v="1"/>
    <x v="0"/>
    <n v="2"/>
    <n v="-15.846"/>
    <x v="16"/>
    <x v="1"/>
    <x v="0"/>
    <n v="15.846"/>
  </r>
  <r>
    <n v="236"/>
    <x v="1"/>
    <x v="0"/>
    <n v="2"/>
    <n v="-8"/>
    <x v="1"/>
    <x v="1"/>
    <x v="0"/>
    <n v="8"/>
  </r>
  <r>
    <n v="237"/>
    <x v="1"/>
    <x v="0"/>
    <n v="3"/>
    <n v="-17.8"/>
    <x v="6"/>
    <x v="4"/>
    <x v="0"/>
    <n v="17.8"/>
  </r>
  <r>
    <n v="238"/>
    <x v="1"/>
    <x v="0"/>
    <n v="4"/>
    <n v="-128.98399999999998"/>
    <x v="13"/>
    <x v="1"/>
    <x v="0"/>
    <n v="128.98399999999998"/>
  </r>
  <r>
    <n v="239"/>
    <x v="1"/>
    <x v="0"/>
    <n v="11"/>
    <n v="-6.6340000000000003"/>
    <x v="18"/>
    <x v="1"/>
    <x v="0"/>
    <n v="6.6340000000000003"/>
  </r>
  <r>
    <n v="240"/>
    <x v="1"/>
    <x v="0"/>
    <n v="13"/>
    <n v="-14.462"/>
    <x v="0"/>
    <x v="0"/>
    <x v="0"/>
    <n v="14.462"/>
  </r>
  <r>
    <n v="241"/>
    <x v="1"/>
    <x v="0"/>
    <n v="13"/>
    <n v="-9.76"/>
    <x v="19"/>
    <x v="1"/>
    <x v="0"/>
    <n v="9.76"/>
  </r>
  <r>
    <n v="242"/>
    <x v="1"/>
    <x v="0"/>
    <n v="14"/>
    <n v="-0.39800000000000002"/>
    <x v="2"/>
    <x v="1"/>
    <x v="0"/>
    <n v="0.39800000000000002"/>
  </r>
  <r>
    <n v="243"/>
    <x v="1"/>
    <x v="0"/>
    <n v="14"/>
    <n v="-7.57"/>
    <x v="0"/>
    <x v="0"/>
    <x v="0"/>
    <n v="7.57"/>
  </r>
  <r>
    <n v="244"/>
    <x v="1"/>
    <x v="0"/>
    <n v="15"/>
    <n v="-1.1960000000000002"/>
    <x v="2"/>
    <x v="1"/>
    <x v="0"/>
    <n v="1.1960000000000002"/>
  </r>
  <r>
    <n v="245"/>
    <x v="1"/>
    <x v="0"/>
    <n v="18"/>
    <n v="-73.962000000000003"/>
    <x v="13"/>
    <x v="1"/>
    <x v="0"/>
    <n v="73.962000000000003"/>
  </r>
  <r>
    <n v="246"/>
    <x v="1"/>
    <x v="0"/>
    <n v="18"/>
    <n v="-8.104000000000001"/>
    <x v="0"/>
    <x v="0"/>
    <x v="0"/>
    <n v="8.104000000000001"/>
  </r>
  <r>
    <n v="247"/>
    <x v="1"/>
    <x v="0"/>
    <n v="24"/>
    <n v="-5.5380000000000003"/>
    <x v="0"/>
    <x v="0"/>
    <x v="0"/>
    <n v="5.5380000000000003"/>
  </r>
  <r>
    <n v="248"/>
    <x v="1"/>
    <x v="0"/>
    <n v="25"/>
    <n v="414.03000000000003"/>
    <x v="4"/>
    <x v="3"/>
    <x v="1"/>
    <n v="414.03000000000003"/>
  </r>
  <r>
    <n v="249"/>
    <x v="1"/>
    <x v="0"/>
    <n v="27"/>
    <n v="-14.402000000000001"/>
    <x v="0"/>
    <x v="0"/>
    <x v="0"/>
    <n v="14.402000000000001"/>
  </r>
  <r>
    <n v="250"/>
    <x v="1"/>
    <x v="0"/>
    <n v="28"/>
    <n v="-16.2"/>
    <x v="14"/>
    <x v="1"/>
    <x v="0"/>
    <n v="16.2"/>
  </r>
  <r>
    <n v="251"/>
    <x v="1"/>
    <x v="0"/>
    <n v="31"/>
    <n v="1.6E-2"/>
    <x v="3"/>
    <x v="2"/>
    <x v="1"/>
    <n v="1.6E-2"/>
  </r>
  <r>
    <n v="252"/>
    <x v="1"/>
    <x v="0"/>
    <n v="31"/>
    <n v="-1.198"/>
    <x v="2"/>
    <x v="1"/>
    <x v="0"/>
    <n v="1.198"/>
  </r>
  <r>
    <n v="253"/>
    <x v="1"/>
    <x v="0"/>
    <n v="31"/>
    <n v="-0.7"/>
    <x v="2"/>
    <x v="1"/>
    <x v="0"/>
    <n v="0.7"/>
  </r>
  <r>
    <n v="254"/>
    <x v="1"/>
    <x v="0"/>
    <n v="31"/>
    <n v="-14.591999999999999"/>
    <x v="0"/>
    <x v="0"/>
    <x v="0"/>
    <n v="14.591999999999999"/>
  </r>
  <r>
    <n v="255"/>
    <x v="1"/>
    <x v="1"/>
    <n v="3"/>
    <n v="-33.660000000000004"/>
    <x v="15"/>
    <x v="4"/>
    <x v="0"/>
    <n v="33.660000000000004"/>
  </r>
  <r>
    <n v="256"/>
    <x v="1"/>
    <x v="1"/>
    <n v="3"/>
    <n v="-72.957999999999998"/>
    <x v="13"/>
    <x v="1"/>
    <x v="0"/>
    <n v="72.957999999999998"/>
  </r>
  <r>
    <n v="257"/>
    <x v="1"/>
    <x v="1"/>
    <n v="3"/>
    <n v="-7.2"/>
    <x v="20"/>
    <x v="1"/>
    <x v="0"/>
    <n v="7.2"/>
  </r>
  <r>
    <n v="258"/>
    <x v="1"/>
    <x v="1"/>
    <n v="3"/>
    <n v="-8.1159999999999997"/>
    <x v="1"/>
    <x v="1"/>
    <x v="0"/>
    <n v="8.1159999999999997"/>
  </r>
  <r>
    <n v="259"/>
    <x v="1"/>
    <x v="1"/>
    <n v="4"/>
    <n v="-5.1859999999999999"/>
    <x v="0"/>
    <x v="0"/>
    <x v="0"/>
    <n v="5.1859999999999999"/>
  </r>
  <r>
    <n v="260"/>
    <x v="1"/>
    <x v="1"/>
    <n v="6"/>
    <n v="-13.26"/>
    <x v="0"/>
    <x v="0"/>
    <x v="0"/>
    <n v="13.26"/>
  </r>
  <r>
    <n v="261"/>
    <x v="1"/>
    <x v="1"/>
    <n v="7"/>
    <n v="-9.76"/>
    <x v="19"/>
    <x v="1"/>
    <x v="0"/>
    <n v="9.76"/>
  </r>
  <r>
    <n v="262"/>
    <x v="1"/>
    <x v="1"/>
    <n v="11"/>
    <n v="-5.242"/>
    <x v="0"/>
    <x v="0"/>
    <x v="0"/>
    <n v="5.242"/>
  </r>
  <r>
    <n v="263"/>
    <x v="1"/>
    <x v="1"/>
    <n v="14"/>
    <n v="391.44600000000003"/>
    <x v="5"/>
    <x v="3"/>
    <x v="1"/>
    <n v="391.44600000000003"/>
  </r>
  <r>
    <n v="264"/>
    <x v="1"/>
    <x v="1"/>
    <n v="15"/>
    <n v="2E-3"/>
    <x v="3"/>
    <x v="2"/>
    <x v="1"/>
    <n v="2E-3"/>
  </r>
  <r>
    <n v="265"/>
    <x v="1"/>
    <x v="1"/>
    <n v="15"/>
    <n v="-1.1960000000000002"/>
    <x v="2"/>
    <x v="1"/>
    <x v="0"/>
    <n v="1.1960000000000002"/>
  </r>
  <r>
    <n v="266"/>
    <x v="1"/>
    <x v="1"/>
    <n v="17"/>
    <n v="-0.39800000000000002"/>
    <x v="2"/>
    <x v="1"/>
    <x v="0"/>
    <n v="0.39800000000000002"/>
  </r>
  <r>
    <n v="267"/>
    <x v="1"/>
    <x v="1"/>
    <n v="18"/>
    <n v="-5.3940000000000001"/>
    <x v="0"/>
    <x v="0"/>
    <x v="0"/>
    <n v="5.3940000000000001"/>
  </r>
  <r>
    <n v="268"/>
    <x v="1"/>
    <x v="1"/>
    <n v="19"/>
    <n v="-24.086000000000002"/>
    <x v="17"/>
    <x v="4"/>
    <x v="0"/>
    <n v="24.086000000000002"/>
  </r>
  <r>
    <n v="269"/>
    <x v="1"/>
    <x v="1"/>
    <n v="25"/>
    <n v="-16.2"/>
    <x v="14"/>
    <x v="1"/>
    <x v="0"/>
    <n v="16.2"/>
  </r>
  <r>
    <n v="270"/>
    <x v="1"/>
    <x v="1"/>
    <n v="25"/>
    <n v="414.03399999999999"/>
    <x v="4"/>
    <x v="3"/>
    <x v="1"/>
    <n v="414.03399999999999"/>
  </r>
  <r>
    <n v="271"/>
    <x v="1"/>
    <x v="1"/>
    <n v="25"/>
    <n v="-12.122"/>
    <x v="0"/>
    <x v="0"/>
    <x v="0"/>
    <n v="12.122"/>
  </r>
  <r>
    <n v="272"/>
    <x v="1"/>
    <x v="1"/>
    <n v="28"/>
    <n v="1.6E-2"/>
    <x v="3"/>
    <x v="2"/>
    <x v="1"/>
    <n v="1.6E-2"/>
  </r>
  <r>
    <n v="273"/>
    <x v="1"/>
    <x v="1"/>
    <n v="28"/>
    <n v="-1.198"/>
    <x v="2"/>
    <x v="1"/>
    <x v="0"/>
    <n v="1.198"/>
  </r>
  <r>
    <n v="274"/>
    <x v="1"/>
    <x v="1"/>
    <n v="28"/>
    <n v="-0.7"/>
    <x v="2"/>
    <x v="1"/>
    <x v="0"/>
    <n v="0.7"/>
  </r>
  <r>
    <n v="275"/>
    <x v="1"/>
    <x v="2"/>
    <n v="3"/>
    <n v="-33.660000000000004"/>
    <x v="15"/>
    <x v="4"/>
    <x v="0"/>
    <n v="33.660000000000004"/>
  </r>
  <r>
    <n v="276"/>
    <x v="1"/>
    <x v="2"/>
    <n v="3"/>
    <n v="-19.077999999999999"/>
    <x v="16"/>
    <x v="1"/>
    <x v="0"/>
    <n v="19.077999999999999"/>
  </r>
  <r>
    <n v="277"/>
    <x v="1"/>
    <x v="2"/>
    <n v="3"/>
    <n v="-8.0659999999999989"/>
    <x v="1"/>
    <x v="1"/>
    <x v="0"/>
    <n v="8.0659999999999989"/>
  </r>
  <r>
    <n v="278"/>
    <x v="1"/>
    <x v="2"/>
    <n v="3"/>
    <n v="-7.69"/>
    <x v="0"/>
    <x v="0"/>
    <x v="0"/>
    <n v="7.69"/>
  </r>
  <r>
    <n v="279"/>
    <x v="1"/>
    <x v="2"/>
    <n v="7"/>
    <n v="-61.958000000000006"/>
    <x v="13"/>
    <x v="1"/>
    <x v="0"/>
    <n v="61.958000000000006"/>
  </r>
  <r>
    <n v="280"/>
    <x v="1"/>
    <x v="2"/>
    <n v="7"/>
    <n v="-9.76"/>
    <x v="19"/>
    <x v="1"/>
    <x v="0"/>
    <n v="9.76"/>
  </r>
  <r>
    <n v="281"/>
    <x v="1"/>
    <x v="2"/>
    <n v="7"/>
    <n v="-2.96"/>
    <x v="0"/>
    <x v="0"/>
    <x v="0"/>
    <n v="2.96"/>
  </r>
  <r>
    <n v="282"/>
    <x v="1"/>
    <x v="2"/>
    <n v="11"/>
    <n v="-6.2460000000000004"/>
    <x v="18"/>
    <x v="1"/>
    <x v="0"/>
    <n v="6.2460000000000004"/>
  </r>
  <r>
    <n v="283"/>
    <x v="1"/>
    <x v="2"/>
    <n v="11"/>
    <n v="-2.5979999999999999"/>
    <x v="0"/>
    <x v="0"/>
    <x v="0"/>
    <n v="2.5979999999999999"/>
  </r>
  <r>
    <n v="284"/>
    <x v="1"/>
    <x v="2"/>
    <n v="15"/>
    <n v="-1.1960000000000002"/>
    <x v="2"/>
    <x v="1"/>
    <x v="0"/>
    <n v="1.1960000000000002"/>
  </r>
  <r>
    <n v="285"/>
    <x v="1"/>
    <x v="2"/>
    <n v="17"/>
    <n v="-0.39800000000000002"/>
    <x v="2"/>
    <x v="1"/>
    <x v="0"/>
    <n v="0.39800000000000002"/>
  </r>
  <r>
    <n v="286"/>
    <x v="1"/>
    <x v="2"/>
    <n v="18"/>
    <n v="-5.9859999999999998"/>
    <x v="0"/>
    <x v="0"/>
    <x v="0"/>
    <n v="5.9859999999999998"/>
  </r>
  <r>
    <n v="287"/>
    <x v="1"/>
    <x v="2"/>
    <n v="24"/>
    <n v="-16.2"/>
    <x v="14"/>
    <x v="1"/>
    <x v="0"/>
    <n v="16.2"/>
  </r>
  <r>
    <n v="288"/>
    <x v="1"/>
    <x v="2"/>
    <n v="24"/>
    <n v="-16.46"/>
    <x v="0"/>
    <x v="0"/>
    <x v="0"/>
    <n v="16.46"/>
  </r>
  <r>
    <n v="289"/>
    <x v="1"/>
    <x v="2"/>
    <n v="25"/>
    <n v="414.03000000000003"/>
    <x v="4"/>
    <x v="3"/>
    <x v="1"/>
    <n v="414.03000000000003"/>
  </r>
  <r>
    <n v="290"/>
    <x v="1"/>
    <x v="2"/>
    <n v="31"/>
    <n v="2E-3"/>
    <x v="3"/>
    <x v="2"/>
    <x v="1"/>
    <n v="2E-3"/>
  </r>
  <r>
    <n v="291"/>
    <x v="1"/>
    <x v="2"/>
    <n v="31"/>
    <n v="-1.198"/>
    <x v="2"/>
    <x v="1"/>
    <x v="0"/>
    <n v="1.198"/>
  </r>
  <r>
    <n v="292"/>
    <x v="1"/>
    <x v="2"/>
    <n v="31"/>
    <n v="-0.7"/>
    <x v="2"/>
    <x v="1"/>
    <x v="0"/>
    <n v="0.7"/>
  </r>
  <r>
    <n v="293"/>
    <x v="1"/>
    <x v="3"/>
    <n v="1"/>
    <n v="-9.782"/>
    <x v="0"/>
    <x v="0"/>
    <x v="0"/>
    <n v="9.782"/>
  </r>
  <r>
    <n v="294"/>
    <x v="1"/>
    <x v="3"/>
    <n v="2"/>
    <n v="2.9340000000000002"/>
    <x v="3"/>
    <x v="2"/>
    <x v="1"/>
    <n v="2.9340000000000002"/>
  </r>
  <r>
    <n v="295"/>
    <x v="1"/>
    <x v="3"/>
    <n v="2"/>
    <n v="-33.660000000000004"/>
    <x v="15"/>
    <x v="4"/>
    <x v="0"/>
    <n v="33.660000000000004"/>
  </r>
  <r>
    <n v="296"/>
    <x v="1"/>
    <x v="3"/>
    <n v="2"/>
    <n v="-62.967999999999996"/>
    <x v="13"/>
    <x v="1"/>
    <x v="0"/>
    <n v="62.967999999999996"/>
  </r>
  <r>
    <n v="297"/>
    <x v="1"/>
    <x v="3"/>
    <n v="2"/>
    <n v="-10.959999999999999"/>
    <x v="1"/>
    <x v="1"/>
    <x v="0"/>
    <n v="10.959999999999999"/>
  </r>
  <r>
    <n v="298"/>
    <x v="1"/>
    <x v="3"/>
    <n v="5"/>
    <n v="-5.4399999999999995"/>
    <x v="0"/>
    <x v="0"/>
    <x v="0"/>
    <n v="5.4399999999999995"/>
  </r>
  <r>
    <n v="299"/>
    <x v="1"/>
    <x v="3"/>
    <n v="6"/>
    <n v="-9.7200000000000006"/>
    <x v="19"/>
    <x v="1"/>
    <x v="0"/>
    <n v="9.7200000000000006"/>
  </r>
  <r>
    <n v="300"/>
    <x v="1"/>
    <x v="3"/>
    <n v="8"/>
    <n v="-8.4540000000000006"/>
    <x v="0"/>
    <x v="0"/>
    <x v="0"/>
    <n v="8.4540000000000006"/>
  </r>
  <r>
    <n v="301"/>
    <x v="1"/>
    <x v="3"/>
    <n v="12"/>
    <n v="-11.8"/>
    <x v="6"/>
    <x v="4"/>
    <x v="0"/>
    <n v="11.8"/>
  </r>
  <r>
    <n v="302"/>
    <x v="1"/>
    <x v="3"/>
    <n v="13"/>
    <n v="-64.8"/>
    <x v="14"/>
    <x v="1"/>
    <x v="0"/>
    <n v="64.8"/>
  </r>
  <r>
    <n v="303"/>
    <x v="1"/>
    <x v="3"/>
    <n v="15"/>
    <n v="-1.1960000000000002"/>
    <x v="2"/>
    <x v="1"/>
    <x v="0"/>
    <n v="1.1960000000000002"/>
  </r>
  <r>
    <n v="304"/>
    <x v="1"/>
    <x v="3"/>
    <n v="16"/>
    <n v="-1.984"/>
    <x v="0"/>
    <x v="0"/>
    <x v="0"/>
    <n v="1.984"/>
  </r>
  <r>
    <n v="305"/>
    <x v="1"/>
    <x v="3"/>
    <n v="20"/>
    <n v="-0.39800000000000002"/>
    <x v="2"/>
    <x v="1"/>
    <x v="0"/>
    <n v="0.39800000000000002"/>
  </r>
  <r>
    <n v="306"/>
    <x v="1"/>
    <x v="3"/>
    <n v="26"/>
    <n v="414.03000000000003"/>
    <x v="4"/>
    <x v="3"/>
    <x v="1"/>
    <n v="414.03000000000003"/>
  </r>
  <r>
    <n v="307"/>
    <x v="1"/>
    <x v="3"/>
    <n v="29"/>
    <n v="-31.4"/>
    <x v="0"/>
    <x v="0"/>
    <x v="0"/>
    <n v="31.4"/>
  </r>
  <r>
    <n v="308"/>
    <x v="1"/>
    <x v="3"/>
    <n v="30"/>
    <n v="-108.78"/>
    <x v="6"/>
    <x v="4"/>
    <x v="0"/>
    <n v="108.78"/>
  </r>
  <r>
    <n v="309"/>
    <x v="1"/>
    <x v="3"/>
    <n v="30"/>
    <n v="2E-3"/>
    <x v="3"/>
    <x v="2"/>
    <x v="1"/>
    <n v="2E-3"/>
  </r>
  <r>
    <n v="310"/>
    <x v="1"/>
    <x v="3"/>
    <n v="30"/>
    <n v="-1.198"/>
    <x v="2"/>
    <x v="1"/>
    <x v="0"/>
    <n v="1.198"/>
  </r>
  <r>
    <n v="311"/>
    <x v="1"/>
    <x v="3"/>
    <n v="30"/>
    <n v="-0.4"/>
    <x v="2"/>
    <x v="1"/>
    <x v="0"/>
    <n v="0.4"/>
  </r>
  <r>
    <n v="312"/>
    <x v="1"/>
    <x v="4"/>
    <n v="1"/>
    <n v="-62.958000000000006"/>
    <x v="13"/>
    <x v="1"/>
    <x v="0"/>
    <n v="62.958000000000006"/>
  </r>
  <r>
    <n v="313"/>
    <x v="1"/>
    <x v="4"/>
    <n v="1"/>
    <n v="-9.7200000000000006"/>
    <x v="19"/>
    <x v="1"/>
    <x v="0"/>
    <n v="9.7200000000000006"/>
  </r>
  <r>
    <n v="314"/>
    <x v="1"/>
    <x v="4"/>
    <n v="1"/>
    <n v="-13.65"/>
    <x v="16"/>
    <x v="1"/>
    <x v="0"/>
    <n v="13.65"/>
  </r>
  <r>
    <n v="315"/>
    <x v="1"/>
    <x v="4"/>
    <n v="1"/>
    <n v="-8.0659999999999989"/>
    <x v="1"/>
    <x v="1"/>
    <x v="0"/>
    <n v="8.0659999999999989"/>
  </r>
  <r>
    <n v="316"/>
    <x v="1"/>
    <x v="4"/>
    <n v="1"/>
    <n v="-46.4"/>
    <x v="12"/>
    <x v="1"/>
    <x v="0"/>
    <n v="46.4"/>
  </r>
  <r>
    <n v="317"/>
    <x v="1"/>
    <x v="4"/>
    <n v="2"/>
    <n v="-1.6600000000000001"/>
    <x v="0"/>
    <x v="0"/>
    <x v="0"/>
    <n v="1.6600000000000001"/>
  </r>
  <r>
    <n v="318"/>
    <x v="1"/>
    <x v="4"/>
    <n v="2"/>
    <n v="-23.006"/>
    <x v="17"/>
    <x v="4"/>
    <x v="0"/>
    <n v="23.006"/>
  </r>
  <r>
    <n v="319"/>
    <x v="1"/>
    <x v="4"/>
    <n v="2"/>
    <n v="-1.6600000000000001"/>
    <x v="0"/>
    <x v="0"/>
    <x v="0"/>
    <n v="1.6600000000000001"/>
  </r>
  <r>
    <n v="320"/>
    <x v="1"/>
    <x v="4"/>
    <n v="2"/>
    <n v="-1.6600000000000001"/>
    <x v="0"/>
    <x v="0"/>
    <x v="0"/>
    <n v="1.6600000000000001"/>
  </r>
  <r>
    <n v="321"/>
    <x v="1"/>
    <x v="4"/>
    <n v="2"/>
    <n v="-8.5540000000000003"/>
    <x v="0"/>
    <x v="0"/>
    <x v="0"/>
    <n v="8.5540000000000003"/>
  </r>
  <r>
    <n v="322"/>
    <x v="1"/>
    <x v="4"/>
    <n v="3"/>
    <n v="-1.6600000000000001"/>
    <x v="0"/>
    <x v="0"/>
    <x v="0"/>
    <n v="1.6600000000000001"/>
  </r>
  <r>
    <n v="323"/>
    <x v="1"/>
    <x v="4"/>
    <n v="4"/>
    <n v="-5.68"/>
    <x v="0"/>
    <x v="0"/>
    <x v="0"/>
    <n v="5.68"/>
  </r>
  <r>
    <n v="324"/>
    <x v="1"/>
    <x v="4"/>
    <n v="4"/>
    <n v="-4.9139999999999997"/>
    <x v="0"/>
    <x v="0"/>
    <x v="0"/>
    <n v="4.9139999999999997"/>
  </r>
  <r>
    <n v="325"/>
    <x v="1"/>
    <x v="4"/>
    <n v="7"/>
    <n v="-30.667999999999999"/>
    <x v="17"/>
    <x v="4"/>
    <x v="0"/>
    <n v="30.667999999999999"/>
  </r>
  <r>
    <n v="326"/>
    <x v="1"/>
    <x v="4"/>
    <n v="9"/>
    <n v="54.717999999999996"/>
    <x v="8"/>
    <x v="3"/>
    <x v="1"/>
    <n v="54.717999999999996"/>
  </r>
  <r>
    <n v="327"/>
    <x v="1"/>
    <x v="4"/>
    <n v="10"/>
    <n v="-5.0439999999999996"/>
    <x v="0"/>
    <x v="0"/>
    <x v="0"/>
    <n v="5.0439999999999996"/>
  </r>
  <r>
    <n v="328"/>
    <x v="1"/>
    <x v="4"/>
    <n v="10"/>
    <n v="-3.9119999999999999"/>
    <x v="0"/>
    <x v="0"/>
    <x v="0"/>
    <n v="3.9119999999999999"/>
  </r>
  <r>
    <n v="329"/>
    <x v="1"/>
    <x v="4"/>
    <n v="11"/>
    <n v="-5"/>
    <x v="0"/>
    <x v="0"/>
    <x v="0"/>
    <n v="5"/>
  </r>
  <r>
    <n v="330"/>
    <x v="1"/>
    <x v="4"/>
    <n v="14"/>
    <n v="-0.39800000000000002"/>
    <x v="2"/>
    <x v="1"/>
    <x v="0"/>
    <n v="0.39800000000000002"/>
  </r>
  <r>
    <n v="331"/>
    <x v="1"/>
    <x v="4"/>
    <n v="15"/>
    <n v="-45.260000000000005"/>
    <x v="7"/>
    <x v="5"/>
    <x v="0"/>
    <n v="45.260000000000005"/>
  </r>
  <r>
    <n v="332"/>
    <x v="1"/>
    <x v="4"/>
    <n v="15"/>
    <n v="-1.1960000000000002"/>
    <x v="2"/>
    <x v="1"/>
    <x v="0"/>
    <n v="1.1960000000000002"/>
  </r>
  <r>
    <n v="333"/>
    <x v="1"/>
    <x v="4"/>
    <n v="16"/>
    <n v="-3.4979999999999998"/>
    <x v="0"/>
    <x v="0"/>
    <x v="0"/>
    <n v="3.4979999999999998"/>
  </r>
  <r>
    <n v="334"/>
    <x v="1"/>
    <x v="4"/>
    <n v="20"/>
    <n v="-8.2560000000000002"/>
    <x v="0"/>
    <x v="0"/>
    <x v="0"/>
    <n v="8.2560000000000002"/>
  </r>
  <r>
    <n v="335"/>
    <x v="1"/>
    <x v="4"/>
    <n v="21"/>
    <n v="-24.4"/>
    <x v="11"/>
    <x v="1"/>
    <x v="0"/>
    <n v="24.4"/>
  </r>
  <r>
    <n v="336"/>
    <x v="1"/>
    <x v="4"/>
    <n v="25"/>
    <n v="414.03399999999999"/>
    <x v="4"/>
    <x v="3"/>
    <x v="1"/>
    <n v="414.03399999999999"/>
  </r>
  <r>
    <n v="337"/>
    <x v="1"/>
    <x v="4"/>
    <n v="27"/>
    <n v="-6.226"/>
    <x v="0"/>
    <x v="0"/>
    <x v="0"/>
    <n v="6.226"/>
  </r>
  <r>
    <n v="338"/>
    <x v="1"/>
    <x v="4"/>
    <n v="30"/>
    <n v="-16.2"/>
    <x v="0"/>
    <x v="0"/>
    <x v="0"/>
    <n v="16.2"/>
  </r>
  <r>
    <n v="339"/>
    <x v="1"/>
    <x v="4"/>
    <n v="31"/>
    <n v="2E-3"/>
    <x v="3"/>
    <x v="2"/>
    <x v="1"/>
    <n v="2E-3"/>
  </r>
  <r>
    <n v="340"/>
    <x v="1"/>
    <x v="4"/>
    <n v="31"/>
    <n v="-1.198"/>
    <x v="2"/>
    <x v="1"/>
    <x v="0"/>
    <n v="1.198"/>
  </r>
  <r>
    <n v="341"/>
    <x v="1"/>
    <x v="4"/>
    <n v="31"/>
    <n v="-0.6"/>
    <x v="2"/>
    <x v="1"/>
    <x v="0"/>
    <n v="0.6"/>
  </r>
  <r>
    <n v="342"/>
    <x v="1"/>
    <x v="5"/>
    <n v="1"/>
    <n v="9.6"/>
    <x v="9"/>
    <x v="3"/>
    <x v="1"/>
    <n v="9.6"/>
  </r>
  <r>
    <n v="343"/>
    <x v="1"/>
    <x v="5"/>
    <n v="5"/>
    <n v="-74.75800000000001"/>
    <x v="13"/>
    <x v="1"/>
    <x v="0"/>
    <n v="74.75800000000001"/>
  </r>
  <r>
    <n v="344"/>
    <x v="1"/>
    <x v="5"/>
    <n v="5"/>
    <n v="-9.7200000000000006"/>
    <x v="19"/>
    <x v="1"/>
    <x v="0"/>
    <n v="9.7200000000000006"/>
  </r>
  <r>
    <n v="345"/>
    <x v="1"/>
    <x v="5"/>
    <n v="5"/>
    <n v="-14.388"/>
    <x v="1"/>
    <x v="1"/>
    <x v="0"/>
    <n v="14.388"/>
  </r>
  <r>
    <n v="346"/>
    <x v="1"/>
    <x v="5"/>
    <n v="13"/>
    <n v="-5.33"/>
    <x v="0"/>
    <x v="0"/>
    <x v="0"/>
    <n v="5.33"/>
  </r>
  <r>
    <n v="347"/>
    <x v="1"/>
    <x v="5"/>
    <n v="14"/>
    <n v="-26.925999999999998"/>
    <x v="17"/>
    <x v="4"/>
    <x v="0"/>
    <n v="26.925999999999998"/>
  </r>
  <r>
    <n v="348"/>
    <x v="1"/>
    <x v="5"/>
    <n v="15"/>
    <n v="-1.86"/>
    <x v="0"/>
    <x v="0"/>
    <x v="0"/>
    <n v="1.86"/>
  </r>
  <r>
    <n v="349"/>
    <x v="1"/>
    <x v="5"/>
    <n v="15"/>
    <n v="2E-3"/>
    <x v="3"/>
    <x v="2"/>
    <x v="1"/>
    <n v="2E-3"/>
  </r>
  <r>
    <n v="350"/>
    <x v="1"/>
    <x v="5"/>
    <n v="15"/>
    <n v="-1.1960000000000002"/>
    <x v="2"/>
    <x v="1"/>
    <x v="0"/>
    <n v="1.1960000000000002"/>
  </r>
  <r>
    <n v="351"/>
    <x v="1"/>
    <x v="5"/>
    <n v="16"/>
    <n v="-0.39800000000000002"/>
    <x v="2"/>
    <x v="1"/>
    <x v="0"/>
    <n v="0.39800000000000002"/>
  </r>
  <r>
    <n v="352"/>
    <x v="1"/>
    <x v="5"/>
    <n v="18"/>
    <n v="-1.6600000000000001"/>
    <x v="0"/>
    <x v="0"/>
    <x v="0"/>
    <n v="1.6600000000000001"/>
  </r>
  <r>
    <n v="353"/>
    <x v="1"/>
    <x v="5"/>
    <n v="19"/>
    <n v="-26.7"/>
    <x v="0"/>
    <x v="0"/>
    <x v="0"/>
    <n v="26.7"/>
  </r>
  <r>
    <n v="354"/>
    <x v="1"/>
    <x v="5"/>
    <n v="22"/>
    <n v="-8.6840000000000011"/>
    <x v="0"/>
    <x v="0"/>
    <x v="0"/>
    <n v="8.6840000000000011"/>
  </r>
  <r>
    <n v="355"/>
    <x v="1"/>
    <x v="5"/>
    <n v="24"/>
    <n v="-4.492"/>
    <x v="0"/>
    <x v="0"/>
    <x v="0"/>
    <n v="4.492"/>
  </r>
  <r>
    <n v="356"/>
    <x v="1"/>
    <x v="5"/>
    <n v="27"/>
    <n v="414.03000000000003"/>
    <x v="4"/>
    <x v="3"/>
    <x v="1"/>
    <n v="414.03000000000003"/>
  </r>
  <r>
    <n v="357"/>
    <x v="1"/>
    <x v="5"/>
    <n v="27"/>
    <n v="-3.694"/>
    <x v="0"/>
    <x v="0"/>
    <x v="0"/>
    <n v="3.694"/>
  </r>
  <r>
    <n v="358"/>
    <x v="1"/>
    <x v="5"/>
    <n v="29"/>
    <n v="-4.1379999999999999"/>
    <x v="0"/>
    <x v="0"/>
    <x v="0"/>
    <n v="4.1379999999999999"/>
  </r>
  <r>
    <n v="359"/>
    <x v="1"/>
    <x v="5"/>
    <n v="30"/>
    <n v="2E-3"/>
    <x v="3"/>
    <x v="2"/>
    <x v="1"/>
    <n v="2E-3"/>
  </r>
  <r>
    <n v="360"/>
    <x v="1"/>
    <x v="5"/>
    <n v="30"/>
    <n v="-1.198"/>
    <x v="2"/>
    <x v="1"/>
    <x v="0"/>
    <n v="1.198"/>
  </r>
  <r>
    <n v="361"/>
    <x v="1"/>
    <x v="5"/>
    <n v="30"/>
    <n v="-0.8"/>
    <x v="2"/>
    <x v="1"/>
    <x v="0"/>
    <n v="0.8"/>
  </r>
  <r>
    <n v="362"/>
    <x v="1"/>
    <x v="6"/>
    <n v="1"/>
    <n v="-16.2"/>
    <x v="0"/>
    <x v="0"/>
    <x v="0"/>
    <n v="16.2"/>
  </r>
  <r>
    <n v="363"/>
    <x v="1"/>
    <x v="6"/>
    <n v="1"/>
    <n v="-74.75800000000001"/>
    <x v="13"/>
    <x v="1"/>
    <x v="0"/>
    <n v="74.75800000000001"/>
  </r>
  <r>
    <n v="364"/>
    <x v="1"/>
    <x v="6"/>
    <n v="1"/>
    <n v="-9.7200000000000006"/>
    <x v="19"/>
    <x v="1"/>
    <x v="0"/>
    <n v="9.7200000000000006"/>
  </r>
  <r>
    <n v="365"/>
    <x v="1"/>
    <x v="6"/>
    <n v="1"/>
    <n v="-16.713999999999999"/>
    <x v="16"/>
    <x v="1"/>
    <x v="0"/>
    <n v="16.713999999999999"/>
  </r>
  <r>
    <n v="366"/>
    <x v="1"/>
    <x v="6"/>
    <n v="1"/>
    <n v="-8.1159999999999997"/>
    <x v="1"/>
    <x v="1"/>
    <x v="0"/>
    <n v="8.1159999999999997"/>
  </r>
  <r>
    <n v="367"/>
    <x v="1"/>
    <x v="6"/>
    <n v="11"/>
    <n v="101.64400000000001"/>
    <x v="8"/>
    <x v="3"/>
    <x v="1"/>
    <n v="101.64400000000001"/>
  </r>
  <r>
    <n v="368"/>
    <x v="1"/>
    <x v="6"/>
    <n v="13"/>
    <n v="-0.39800000000000002"/>
    <x v="2"/>
    <x v="1"/>
    <x v="0"/>
    <n v="0.39800000000000002"/>
  </r>
  <r>
    <n v="369"/>
    <x v="1"/>
    <x v="6"/>
    <n v="15"/>
    <n v="-1.1960000000000002"/>
    <x v="2"/>
    <x v="1"/>
    <x v="0"/>
    <n v="1.1960000000000002"/>
  </r>
  <r>
    <n v="370"/>
    <x v="1"/>
    <x v="6"/>
    <n v="16"/>
    <n v="-4.33"/>
    <x v="0"/>
    <x v="0"/>
    <x v="0"/>
    <n v="4.33"/>
  </r>
  <r>
    <n v="371"/>
    <x v="1"/>
    <x v="6"/>
    <n v="16"/>
    <n v="-6.63"/>
    <x v="18"/>
    <x v="1"/>
    <x v="0"/>
    <n v="6.63"/>
  </r>
  <r>
    <n v="372"/>
    <x v="1"/>
    <x v="6"/>
    <n v="25"/>
    <n v="79.2"/>
    <x v="9"/>
    <x v="3"/>
    <x v="1"/>
    <n v="79.2"/>
  </r>
  <r>
    <n v="373"/>
    <x v="1"/>
    <x v="6"/>
    <n v="27"/>
    <n v="414.03000000000003"/>
    <x v="4"/>
    <x v="3"/>
    <x v="1"/>
    <n v="414.03000000000003"/>
  </r>
  <r>
    <n v="374"/>
    <x v="1"/>
    <x v="6"/>
    <n v="29"/>
    <n v="-8.7140000000000004"/>
    <x v="0"/>
    <x v="0"/>
    <x v="0"/>
    <n v="8.7140000000000004"/>
  </r>
  <r>
    <n v="375"/>
    <x v="1"/>
    <x v="6"/>
    <n v="31"/>
    <n v="2E-3"/>
    <x v="3"/>
    <x v="2"/>
    <x v="1"/>
    <n v="2E-3"/>
  </r>
  <r>
    <n v="376"/>
    <x v="1"/>
    <x v="6"/>
    <n v="31"/>
    <n v="-1.198"/>
    <x v="2"/>
    <x v="1"/>
    <x v="0"/>
    <n v="1.198"/>
  </r>
  <r>
    <n v="377"/>
    <x v="1"/>
    <x v="6"/>
    <n v="31"/>
    <n v="-0.5"/>
    <x v="2"/>
    <x v="1"/>
    <x v="0"/>
    <n v="0.5"/>
  </r>
  <r>
    <n v="378"/>
    <x v="1"/>
    <x v="7"/>
    <n v="1"/>
    <n v="-9.0400000000000009"/>
    <x v="1"/>
    <x v="1"/>
    <x v="0"/>
    <n v="9.0400000000000009"/>
  </r>
  <r>
    <n v="379"/>
    <x v="1"/>
    <x v="7"/>
    <n v="1"/>
    <n v="-74.75800000000001"/>
    <x v="13"/>
    <x v="1"/>
    <x v="0"/>
    <n v="74.75800000000001"/>
  </r>
  <r>
    <n v="380"/>
    <x v="1"/>
    <x v="7"/>
    <n v="1"/>
    <n v="-9.7200000000000006"/>
    <x v="19"/>
    <x v="1"/>
    <x v="0"/>
    <n v="9.7200000000000006"/>
  </r>
  <r>
    <n v="381"/>
    <x v="1"/>
    <x v="7"/>
    <n v="4"/>
    <n v="-20.2"/>
    <x v="0"/>
    <x v="0"/>
    <x v="0"/>
    <n v="20.2"/>
  </r>
  <r>
    <n v="382"/>
    <x v="1"/>
    <x v="7"/>
    <n v="4"/>
    <n v="-28.095999999999997"/>
    <x v="0"/>
    <x v="0"/>
    <x v="0"/>
    <n v="28.095999999999997"/>
  </r>
  <r>
    <n v="383"/>
    <x v="1"/>
    <x v="7"/>
    <n v="9"/>
    <n v="-2.25"/>
    <x v="0"/>
    <x v="0"/>
    <x v="0"/>
    <n v="2.25"/>
  </r>
  <r>
    <n v="384"/>
    <x v="1"/>
    <x v="7"/>
    <n v="9"/>
    <n v="-16.928000000000001"/>
    <x v="7"/>
    <x v="5"/>
    <x v="0"/>
    <n v="16.928000000000001"/>
  </r>
  <r>
    <n v="385"/>
    <x v="1"/>
    <x v="7"/>
    <n v="10"/>
    <n v="-6.9540000000000006"/>
    <x v="0"/>
    <x v="0"/>
    <x v="0"/>
    <n v="6.9540000000000006"/>
  </r>
  <r>
    <n v="386"/>
    <x v="1"/>
    <x v="7"/>
    <n v="11"/>
    <n v="-8.1780000000000008"/>
    <x v="0"/>
    <x v="0"/>
    <x v="0"/>
    <n v="8.1780000000000008"/>
  </r>
  <r>
    <n v="387"/>
    <x v="1"/>
    <x v="7"/>
    <n v="12"/>
    <n v="-10"/>
    <x v="0"/>
    <x v="0"/>
    <x v="0"/>
    <n v="10"/>
  </r>
  <r>
    <n v="388"/>
    <x v="1"/>
    <x v="7"/>
    <n v="15"/>
    <n v="-1.1960000000000002"/>
    <x v="2"/>
    <x v="1"/>
    <x v="0"/>
    <n v="1.1960000000000002"/>
  </r>
  <r>
    <n v="389"/>
    <x v="1"/>
    <x v="7"/>
    <n v="17"/>
    <n v="-0.79600000000000004"/>
    <x v="2"/>
    <x v="1"/>
    <x v="0"/>
    <n v="0.79600000000000004"/>
  </r>
  <r>
    <n v="390"/>
    <x v="1"/>
    <x v="7"/>
    <n v="18"/>
    <n v="-2E-3"/>
    <x v="2"/>
    <x v="1"/>
    <x v="0"/>
    <n v="2E-3"/>
  </r>
  <r>
    <n v="391"/>
    <x v="1"/>
    <x v="7"/>
    <n v="18"/>
    <n v="-5"/>
    <x v="0"/>
    <x v="0"/>
    <x v="0"/>
    <n v="5"/>
  </r>
  <r>
    <n v="392"/>
    <x v="1"/>
    <x v="7"/>
    <n v="18"/>
    <n v="-4.5419999999999998"/>
    <x v="0"/>
    <x v="0"/>
    <x v="0"/>
    <n v="4.5419999999999998"/>
  </r>
  <r>
    <n v="393"/>
    <x v="1"/>
    <x v="7"/>
    <n v="25"/>
    <n v="414.03000000000003"/>
    <x v="4"/>
    <x v="3"/>
    <x v="1"/>
    <n v="414.03000000000003"/>
  </r>
  <r>
    <n v="394"/>
    <x v="1"/>
    <x v="7"/>
    <n v="25"/>
    <n v="-11.134"/>
    <x v="0"/>
    <x v="0"/>
    <x v="0"/>
    <n v="11.134"/>
  </r>
  <r>
    <n v="395"/>
    <x v="1"/>
    <x v="7"/>
    <n v="26"/>
    <n v="-5.7299999999999995"/>
    <x v="0"/>
    <x v="0"/>
    <x v="0"/>
    <n v="5.7299999999999995"/>
  </r>
  <r>
    <n v="396"/>
    <x v="1"/>
    <x v="7"/>
    <n v="29"/>
    <n v="-16.2"/>
    <x v="14"/>
    <x v="1"/>
    <x v="0"/>
    <n v="16.2"/>
  </r>
  <r>
    <n v="397"/>
    <x v="1"/>
    <x v="7"/>
    <n v="31"/>
    <n v="2E-3"/>
    <x v="3"/>
    <x v="2"/>
    <x v="1"/>
    <n v="2E-3"/>
  </r>
  <r>
    <n v="398"/>
    <x v="1"/>
    <x v="7"/>
    <n v="31"/>
    <n v="-1.198"/>
    <x v="2"/>
    <x v="1"/>
    <x v="0"/>
    <n v="1.198"/>
  </r>
  <r>
    <n v="399"/>
    <x v="1"/>
    <x v="7"/>
    <n v="31"/>
    <n v="-0.1"/>
    <x v="2"/>
    <x v="1"/>
    <x v="0"/>
    <n v="0.1"/>
  </r>
  <r>
    <n v="400"/>
    <x v="1"/>
    <x v="8"/>
    <n v="2"/>
    <n v="-74.75800000000001"/>
    <x v="13"/>
    <x v="1"/>
    <x v="0"/>
    <n v="74.75800000000001"/>
  </r>
  <r>
    <n v="401"/>
    <x v="1"/>
    <x v="8"/>
    <n v="2"/>
    <n v="-6.63"/>
    <x v="18"/>
    <x v="1"/>
    <x v="0"/>
    <n v="6.63"/>
  </r>
  <r>
    <n v="402"/>
    <x v="1"/>
    <x v="8"/>
    <n v="2"/>
    <n v="-9.7200000000000006"/>
    <x v="19"/>
    <x v="1"/>
    <x v="0"/>
    <n v="9.7200000000000006"/>
  </r>
  <r>
    <n v="403"/>
    <x v="1"/>
    <x v="8"/>
    <n v="2"/>
    <n v="-14.180000000000001"/>
    <x v="16"/>
    <x v="1"/>
    <x v="0"/>
    <n v="14.180000000000001"/>
  </r>
  <r>
    <n v="404"/>
    <x v="1"/>
    <x v="8"/>
    <n v="2"/>
    <n v="-7.9799999999999995"/>
    <x v="1"/>
    <x v="1"/>
    <x v="0"/>
    <n v="7.9799999999999995"/>
  </r>
  <r>
    <n v="405"/>
    <x v="1"/>
    <x v="8"/>
    <n v="2"/>
    <n v="-10.398"/>
    <x v="0"/>
    <x v="0"/>
    <x v="0"/>
    <n v="10.398"/>
  </r>
  <r>
    <n v="406"/>
    <x v="1"/>
    <x v="8"/>
    <n v="3"/>
    <n v="-13"/>
    <x v="17"/>
    <x v="4"/>
    <x v="0"/>
    <n v="13"/>
  </r>
  <r>
    <n v="407"/>
    <x v="1"/>
    <x v="8"/>
    <n v="4"/>
    <n v="-8.8680000000000003"/>
    <x v="0"/>
    <x v="0"/>
    <x v="0"/>
    <n v="8.8680000000000003"/>
  </r>
  <r>
    <n v="408"/>
    <x v="1"/>
    <x v="8"/>
    <n v="12"/>
    <n v="-16.2"/>
    <x v="14"/>
    <x v="1"/>
    <x v="0"/>
    <n v="16.2"/>
  </r>
  <r>
    <n v="409"/>
    <x v="1"/>
    <x v="8"/>
    <n v="12"/>
    <n v="-35.15"/>
    <x v="0"/>
    <x v="0"/>
    <x v="0"/>
    <n v="35.15"/>
  </r>
  <r>
    <n v="410"/>
    <x v="1"/>
    <x v="8"/>
    <n v="13"/>
    <n v="-0.39800000000000002"/>
    <x v="2"/>
    <x v="1"/>
    <x v="0"/>
    <n v="0.39800000000000002"/>
  </r>
  <r>
    <n v="411"/>
    <x v="1"/>
    <x v="8"/>
    <n v="15"/>
    <n v="-1.1960000000000002"/>
    <x v="2"/>
    <x v="1"/>
    <x v="0"/>
    <n v="1.1960000000000002"/>
  </r>
  <r>
    <n v="412"/>
    <x v="1"/>
    <x v="8"/>
    <n v="26"/>
    <n v="414.03000000000003"/>
    <x v="4"/>
    <x v="3"/>
    <x v="1"/>
    <n v="414.03000000000003"/>
  </r>
  <r>
    <n v="413"/>
    <x v="1"/>
    <x v="8"/>
    <n v="29"/>
    <n v="-5.6880000000000006"/>
    <x v="0"/>
    <x v="0"/>
    <x v="0"/>
    <n v="5.6880000000000006"/>
  </r>
  <r>
    <n v="414"/>
    <x v="1"/>
    <x v="8"/>
    <n v="30"/>
    <n v="2E-3"/>
    <x v="3"/>
    <x v="2"/>
    <x v="1"/>
    <n v="2E-3"/>
  </r>
  <r>
    <n v="415"/>
    <x v="1"/>
    <x v="8"/>
    <n v="30"/>
    <n v="-1.198"/>
    <x v="2"/>
    <x v="1"/>
    <x v="0"/>
    <n v="1.198"/>
  </r>
  <r>
    <n v="416"/>
    <x v="1"/>
    <x v="8"/>
    <n v="30"/>
    <n v="-0.7"/>
    <x v="2"/>
    <x v="1"/>
    <x v="0"/>
    <n v="0.7"/>
  </r>
  <r>
    <n v="417"/>
    <x v="1"/>
    <x v="9"/>
    <n v="1"/>
    <n v="-74.75800000000001"/>
    <x v="13"/>
    <x v="1"/>
    <x v="0"/>
    <n v="74.75800000000001"/>
  </r>
  <r>
    <n v="418"/>
    <x v="1"/>
    <x v="9"/>
    <n v="1"/>
    <n v="-1.6600000000000001"/>
    <x v="0"/>
    <x v="0"/>
    <x v="0"/>
    <n v="1.6600000000000001"/>
  </r>
  <r>
    <n v="419"/>
    <x v="1"/>
    <x v="9"/>
    <n v="1"/>
    <n v="-9.7200000000000006"/>
    <x v="19"/>
    <x v="1"/>
    <x v="0"/>
    <n v="9.7200000000000006"/>
  </r>
  <r>
    <n v="420"/>
    <x v="1"/>
    <x v="9"/>
    <n v="1"/>
    <n v="-12.013999999999999"/>
    <x v="1"/>
    <x v="1"/>
    <x v="0"/>
    <n v="12.013999999999999"/>
  </r>
  <r>
    <n v="421"/>
    <x v="1"/>
    <x v="9"/>
    <n v="3"/>
    <n v="-15.512"/>
    <x v="0"/>
    <x v="0"/>
    <x v="0"/>
    <n v="15.512"/>
  </r>
  <r>
    <n v="422"/>
    <x v="1"/>
    <x v="9"/>
    <n v="5"/>
    <n v="-6.5340000000000007"/>
    <x v="0"/>
    <x v="0"/>
    <x v="0"/>
    <n v="6.5340000000000007"/>
  </r>
  <r>
    <n v="423"/>
    <x v="1"/>
    <x v="9"/>
    <n v="7"/>
    <n v="-6.032"/>
    <x v="18"/>
    <x v="1"/>
    <x v="0"/>
    <n v="6.032"/>
  </r>
  <r>
    <n v="424"/>
    <x v="1"/>
    <x v="9"/>
    <n v="14"/>
    <n v="-11.098000000000001"/>
    <x v="0"/>
    <x v="0"/>
    <x v="0"/>
    <n v="11.098000000000001"/>
  </r>
  <r>
    <n v="425"/>
    <x v="1"/>
    <x v="9"/>
    <n v="15"/>
    <n v="-1.1960000000000002"/>
    <x v="2"/>
    <x v="1"/>
    <x v="0"/>
    <n v="1.1960000000000002"/>
  </r>
  <r>
    <n v="426"/>
    <x v="1"/>
    <x v="9"/>
    <n v="17"/>
    <n v="-20.006"/>
    <x v="0"/>
    <x v="0"/>
    <x v="0"/>
    <n v="20.006"/>
  </r>
  <r>
    <n v="427"/>
    <x v="1"/>
    <x v="9"/>
    <n v="18"/>
    <n v="-0.79600000000000004"/>
    <x v="2"/>
    <x v="1"/>
    <x v="0"/>
    <n v="0.79600000000000004"/>
  </r>
  <r>
    <n v="428"/>
    <x v="1"/>
    <x v="9"/>
    <n v="20"/>
    <n v="-4.3140000000000001"/>
    <x v="0"/>
    <x v="0"/>
    <x v="0"/>
    <n v="4.3140000000000001"/>
  </r>
  <r>
    <n v="429"/>
    <x v="1"/>
    <x v="9"/>
    <n v="25"/>
    <n v="414.03000000000003"/>
    <x v="4"/>
    <x v="3"/>
    <x v="1"/>
    <n v="414.03000000000003"/>
  </r>
  <r>
    <n v="430"/>
    <x v="1"/>
    <x v="9"/>
    <n v="28"/>
    <n v="-16.2"/>
    <x v="14"/>
    <x v="1"/>
    <x v="0"/>
    <n v="16.2"/>
  </r>
  <r>
    <n v="431"/>
    <x v="1"/>
    <x v="9"/>
    <n v="28"/>
    <n v="-8.1900000000000013"/>
    <x v="0"/>
    <x v="0"/>
    <x v="0"/>
    <n v="8.1900000000000013"/>
  </r>
  <r>
    <n v="432"/>
    <x v="1"/>
    <x v="9"/>
    <n v="31"/>
    <n v="2E-3"/>
    <x v="3"/>
    <x v="2"/>
    <x v="1"/>
    <n v="2E-3"/>
  </r>
  <r>
    <n v="433"/>
    <x v="1"/>
    <x v="9"/>
    <n v="31"/>
    <n v="-1.198"/>
    <x v="2"/>
    <x v="1"/>
    <x v="0"/>
    <n v="1.198"/>
  </r>
  <r>
    <n v="434"/>
    <x v="1"/>
    <x v="9"/>
    <n v="31"/>
    <n v="-0.3"/>
    <x v="2"/>
    <x v="1"/>
    <x v="0"/>
    <n v="0.3"/>
  </r>
  <r>
    <n v="435"/>
    <x v="1"/>
    <x v="10"/>
    <n v="1"/>
    <n v="-74.75800000000001"/>
    <x v="13"/>
    <x v="1"/>
    <x v="0"/>
    <n v="74.75800000000001"/>
  </r>
  <r>
    <n v="436"/>
    <x v="1"/>
    <x v="10"/>
    <n v="1"/>
    <n v="-9.7200000000000006"/>
    <x v="19"/>
    <x v="1"/>
    <x v="0"/>
    <n v="9.7200000000000006"/>
  </r>
  <r>
    <n v="437"/>
    <x v="1"/>
    <x v="10"/>
    <n v="1"/>
    <n v="-16.922000000000001"/>
    <x v="16"/>
    <x v="1"/>
    <x v="0"/>
    <n v="16.922000000000001"/>
  </r>
  <r>
    <n v="438"/>
    <x v="1"/>
    <x v="10"/>
    <n v="1"/>
    <n v="-9.98"/>
    <x v="1"/>
    <x v="1"/>
    <x v="0"/>
    <n v="9.98"/>
  </r>
  <r>
    <n v="439"/>
    <x v="1"/>
    <x v="10"/>
    <n v="1"/>
    <n v="-46.4"/>
    <x v="12"/>
    <x v="1"/>
    <x v="0"/>
    <n v="46.4"/>
  </r>
  <r>
    <n v="440"/>
    <x v="1"/>
    <x v="10"/>
    <n v="2"/>
    <n v="-26.673999999999999"/>
    <x v="0"/>
    <x v="0"/>
    <x v="0"/>
    <n v="26.673999999999999"/>
  </r>
  <r>
    <n v="441"/>
    <x v="1"/>
    <x v="10"/>
    <n v="7"/>
    <n v="-16.55"/>
    <x v="0"/>
    <x v="0"/>
    <x v="0"/>
    <n v="16.55"/>
  </r>
  <r>
    <n v="442"/>
    <x v="1"/>
    <x v="10"/>
    <n v="8"/>
    <n v="-12.202"/>
    <x v="0"/>
    <x v="0"/>
    <x v="0"/>
    <n v="12.202"/>
  </r>
  <r>
    <n v="443"/>
    <x v="1"/>
    <x v="10"/>
    <n v="8"/>
    <n v="-4.4320000000000004"/>
    <x v="0"/>
    <x v="0"/>
    <x v="0"/>
    <n v="4.4320000000000004"/>
  </r>
  <r>
    <n v="444"/>
    <x v="1"/>
    <x v="10"/>
    <n v="9"/>
    <n v="-5.4"/>
    <x v="0"/>
    <x v="0"/>
    <x v="0"/>
    <n v="5.4"/>
  </r>
  <r>
    <n v="445"/>
    <x v="1"/>
    <x v="10"/>
    <n v="10"/>
    <n v="104.58399999999999"/>
    <x v="8"/>
    <x v="3"/>
    <x v="1"/>
    <n v="104.58399999999999"/>
  </r>
  <r>
    <n v="446"/>
    <x v="1"/>
    <x v="10"/>
    <n v="11"/>
    <n v="-1.6600000000000001"/>
    <x v="0"/>
    <x v="0"/>
    <x v="0"/>
    <n v="1.6600000000000001"/>
  </r>
  <r>
    <n v="447"/>
    <x v="1"/>
    <x v="10"/>
    <n v="14"/>
    <n v="-11.824"/>
    <x v="0"/>
    <x v="0"/>
    <x v="0"/>
    <n v="11.824"/>
  </r>
  <r>
    <n v="448"/>
    <x v="1"/>
    <x v="10"/>
    <n v="15"/>
    <n v="2E-3"/>
    <x v="3"/>
    <x v="2"/>
    <x v="1"/>
    <n v="2E-3"/>
  </r>
  <r>
    <n v="449"/>
    <x v="1"/>
    <x v="10"/>
    <n v="15"/>
    <n v="-1.1960000000000002"/>
    <x v="2"/>
    <x v="1"/>
    <x v="0"/>
    <n v="1.1960000000000002"/>
  </r>
  <r>
    <n v="450"/>
    <x v="1"/>
    <x v="10"/>
    <n v="16"/>
    <n v="-0.39800000000000002"/>
    <x v="2"/>
    <x v="1"/>
    <x v="0"/>
    <n v="0.39800000000000002"/>
  </r>
  <r>
    <n v="451"/>
    <x v="1"/>
    <x v="10"/>
    <n v="16"/>
    <n v="-2.5979999999999999"/>
    <x v="0"/>
    <x v="0"/>
    <x v="0"/>
    <n v="2.5979999999999999"/>
  </r>
  <r>
    <n v="452"/>
    <x v="1"/>
    <x v="10"/>
    <n v="16"/>
    <n v="-2.7920000000000003"/>
    <x v="0"/>
    <x v="0"/>
    <x v="0"/>
    <n v="2.7920000000000003"/>
  </r>
  <r>
    <n v="453"/>
    <x v="1"/>
    <x v="10"/>
    <n v="22"/>
    <n v="-0.318"/>
    <x v="2"/>
    <x v="1"/>
    <x v="0"/>
    <n v="0.318"/>
  </r>
  <r>
    <n v="454"/>
    <x v="1"/>
    <x v="10"/>
    <n v="25"/>
    <n v="417.81400000000002"/>
    <x v="4"/>
    <x v="3"/>
    <x v="1"/>
    <n v="417.81400000000002"/>
  </r>
  <r>
    <n v="455"/>
    <x v="1"/>
    <x v="10"/>
    <n v="25"/>
    <n v="-2.294"/>
    <x v="0"/>
    <x v="0"/>
    <x v="0"/>
    <n v="2.294"/>
  </r>
  <r>
    <n v="456"/>
    <x v="1"/>
    <x v="10"/>
    <n v="25"/>
    <n v="-1.452"/>
    <x v="0"/>
    <x v="0"/>
    <x v="0"/>
    <n v="1.452"/>
  </r>
  <r>
    <n v="457"/>
    <x v="1"/>
    <x v="10"/>
    <n v="27"/>
    <n v="-16.46"/>
    <x v="0"/>
    <x v="0"/>
    <x v="0"/>
    <n v="16.46"/>
  </r>
  <r>
    <n v="458"/>
    <x v="1"/>
    <x v="10"/>
    <n v="28"/>
    <n v="-2E-3"/>
    <x v="2"/>
    <x v="1"/>
    <x v="0"/>
    <n v="2E-3"/>
  </r>
  <r>
    <n v="459"/>
    <x v="1"/>
    <x v="10"/>
    <n v="29"/>
    <n v="-32.4"/>
    <x v="14"/>
    <x v="1"/>
    <x v="0"/>
    <n v="32.4"/>
  </r>
  <r>
    <n v="460"/>
    <x v="1"/>
    <x v="10"/>
    <n v="30"/>
    <n v="2E-3"/>
    <x v="3"/>
    <x v="2"/>
    <x v="1"/>
    <n v="2E-3"/>
  </r>
  <r>
    <n v="461"/>
    <x v="1"/>
    <x v="10"/>
    <n v="30"/>
    <n v="-1.198"/>
    <x v="2"/>
    <x v="1"/>
    <x v="0"/>
    <n v="1.198"/>
  </r>
  <r>
    <n v="462"/>
    <x v="1"/>
    <x v="10"/>
    <n v="30"/>
    <n v="-0.6"/>
    <x v="2"/>
    <x v="1"/>
    <x v="0"/>
    <n v="0.6"/>
  </r>
  <r>
    <n v="463"/>
    <x v="1"/>
    <x v="10"/>
    <n v="30"/>
    <n v="-9.5960000000000001"/>
    <x v="0"/>
    <x v="0"/>
    <x v="0"/>
    <n v="9.5960000000000001"/>
  </r>
  <r>
    <n v="464"/>
    <x v="1"/>
    <x v="10"/>
    <n v="30"/>
    <n v="-11.842000000000001"/>
    <x v="0"/>
    <x v="0"/>
    <x v="0"/>
    <n v="11.842000000000001"/>
  </r>
  <r>
    <n v="465"/>
    <x v="1"/>
    <x v="11"/>
    <n v="3"/>
    <n v="-70.957999999999998"/>
    <x v="13"/>
    <x v="1"/>
    <x v="0"/>
    <n v="70.957999999999998"/>
  </r>
  <r>
    <n v="466"/>
    <x v="1"/>
    <x v="11"/>
    <n v="3"/>
    <n v="-6.63"/>
    <x v="18"/>
    <x v="1"/>
    <x v="0"/>
    <n v="6.63"/>
  </r>
  <r>
    <n v="467"/>
    <x v="1"/>
    <x v="11"/>
    <n v="3"/>
    <n v="-9.7200000000000006"/>
    <x v="19"/>
    <x v="1"/>
    <x v="0"/>
    <n v="9.7200000000000006"/>
  </r>
  <r>
    <n v="468"/>
    <x v="1"/>
    <x v="11"/>
    <n v="3"/>
    <n v="-9.98"/>
    <x v="1"/>
    <x v="1"/>
    <x v="0"/>
    <n v="9.98"/>
  </r>
  <r>
    <n v="469"/>
    <x v="1"/>
    <x v="11"/>
    <n v="9"/>
    <n v="-7.9819999999999993"/>
    <x v="0"/>
    <x v="0"/>
    <x v="0"/>
    <n v="7.9819999999999993"/>
  </r>
  <r>
    <n v="470"/>
    <x v="1"/>
    <x v="11"/>
    <n v="13"/>
    <n v="-40"/>
    <x v="0"/>
    <x v="0"/>
    <x v="0"/>
    <n v="40"/>
  </r>
  <r>
    <n v="471"/>
    <x v="1"/>
    <x v="11"/>
    <n v="13"/>
    <n v="79.515999999999991"/>
    <x v="8"/>
    <x v="3"/>
    <x v="1"/>
    <n v="79.515999999999991"/>
  </r>
  <r>
    <n v="472"/>
    <x v="1"/>
    <x v="11"/>
    <n v="13"/>
    <n v="-0.39800000000000002"/>
    <x v="2"/>
    <x v="1"/>
    <x v="0"/>
    <n v="0.39800000000000002"/>
  </r>
  <r>
    <n v="473"/>
    <x v="1"/>
    <x v="11"/>
    <n v="14"/>
    <n v="-5.0659999999999998"/>
    <x v="0"/>
    <x v="0"/>
    <x v="0"/>
    <n v="5.0659999999999998"/>
  </r>
  <r>
    <n v="474"/>
    <x v="1"/>
    <x v="11"/>
    <n v="14"/>
    <n v="-1.9100000000000001"/>
    <x v="0"/>
    <x v="0"/>
    <x v="0"/>
    <n v="1.9100000000000001"/>
  </r>
  <r>
    <n v="475"/>
    <x v="1"/>
    <x v="11"/>
    <n v="15"/>
    <n v="-0.8"/>
    <x v="2"/>
    <x v="1"/>
    <x v="0"/>
    <n v="0.8"/>
  </r>
  <r>
    <n v="476"/>
    <x v="1"/>
    <x v="11"/>
    <n v="19"/>
    <n v="-4.8179999999999996"/>
    <x v="0"/>
    <x v="0"/>
    <x v="0"/>
    <n v="4.8179999999999996"/>
  </r>
  <r>
    <n v="477"/>
    <x v="1"/>
    <x v="11"/>
    <n v="19"/>
    <n v="-21.8"/>
    <x v="0"/>
    <x v="0"/>
    <x v="0"/>
    <n v="21.8"/>
  </r>
  <r>
    <n v="478"/>
    <x v="1"/>
    <x v="11"/>
    <n v="19"/>
    <n v="417.81400000000002"/>
    <x v="4"/>
    <x v="3"/>
    <x v="1"/>
    <n v="417.81400000000002"/>
  </r>
  <r>
    <n v="479"/>
    <x v="1"/>
    <x v="11"/>
    <n v="20"/>
    <n v="-8.8000000000000007"/>
    <x v="0"/>
    <x v="0"/>
    <x v="0"/>
    <n v="8.8000000000000007"/>
  </r>
  <r>
    <n v="480"/>
    <x v="1"/>
    <x v="11"/>
    <n v="23"/>
    <n v="29.794"/>
    <x v="8"/>
    <x v="3"/>
    <x v="1"/>
    <n v="29.794"/>
  </r>
  <r>
    <n v="481"/>
    <x v="1"/>
    <x v="11"/>
    <n v="31"/>
    <n v="2E-3"/>
    <x v="3"/>
    <x v="2"/>
    <x v="1"/>
    <n v="2E-3"/>
  </r>
  <r>
    <n v="482"/>
    <x v="1"/>
    <x v="11"/>
    <n v="31"/>
    <n v="-1.198"/>
    <x v="2"/>
    <x v="1"/>
    <x v="0"/>
    <n v="1.198"/>
  </r>
  <r>
    <n v="483"/>
    <x v="1"/>
    <x v="11"/>
    <n v="31"/>
    <n v="-0.4"/>
    <x v="2"/>
    <x v="1"/>
    <x v="0"/>
    <n v="0.4"/>
  </r>
  <r>
    <n v="484"/>
    <x v="2"/>
    <x v="0"/>
    <n v="4"/>
    <n v="-6.63"/>
    <x v="18"/>
    <x v="1"/>
    <x v="0"/>
    <n v="6.63"/>
  </r>
  <r>
    <n v="485"/>
    <x v="2"/>
    <x v="0"/>
    <n v="5"/>
    <n v="-73"/>
    <x v="6"/>
    <x v="4"/>
    <x v="0"/>
    <n v="73"/>
  </r>
  <r>
    <n v="486"/>
    <x v="2"/>
    <x v="0"/>
    <n v="6"/>
    <n v="-9.7200000000000006"/>
    <x v="19"/>
    <x v="1"/>
    <x v="0"/>
    <n v="9.7200000000000006"/>
  </r>
  <r>
    <n v="487"/>
    <x v="2"/>
    <x v="0"/>
    <n v="6"/>
    <n v="-17.558"/>
    <x v="16"/>
    <x v="1"/>
    <x v="0"/>
    <n v="17.558"/>
  </r>
  <r>
    <n v="488"/>
    <x v="2"/>
    <x v="0"/>
    <n v="6"/>
    <n v="-9.98"/>
    <x v="1"/>
    <x v="1"/>
    <x v="0"/>
    <n v="9.98"/>
  </r>
  <r>
    <n v="489"/>
    <x v="2"/>
    <x v="0"/>
    <n v="15"/>
    <n v="-0.8"/>
    <x v="2"/>
    <x v="1"/>
    <x v="0"/>
    <n v="0.8"/>
  </r>
  <r>
    <n v="490"/>
    <x v="2"/>
    <x v="0"/>
    <n v="17"/>
    <n v="-0.39800000000000002"/>
    <x v="2"/>
    <x v="1"/>
    <x v="0"/>
    <n v="0.39800000000000002"/>
  </r>
  <r>
    <n v="491"/>
    <x v="2"/>
    <x v="0"/>
    <n v="25"/>
    <n v="417.81200000000001"/>
    <x v="4"/>
    <x v="3"/>
    <x v="1"/>
    <n v="417.81200000000001"/>
  </r>
  <r>
    <n v="492"/>
    <x v="2"/>
    <x v="0"/>
    <n v="27"/>
    <n v="-8.6879999999999988"/>
    <x v="0"/>
    <x v="0"/>
    <x v="0"/>
    <n v="8.6879999999999988"/>
  </r>
  <r>
    <n v="493"/>
    <x v="2"/>
    <x v="0"/>
    <n v="28"/>
    <n v="-15.8"/>
    <x v="17"/>
    <x v="4"/>
    <x v="0"/>
    <n v="15.8"/>
  </r>
  <r>
    <n v="494"/>
    <x v="2"/>
    <x v="0"/>
    <n v="28"/>
    <n v="-46.966000000000001"/>
    <x v="17"/>
    <x v="4"/>
    <x v="0"/>
    <n v="46.966000000000001"/>
  </r>
  <r>
    <n v="495"/>
    <x v="2"/>
    <x v="0"/>
    <n v="28"/>
    <n v="-28.8"/>
    <x v="17"/>
    <x v="4"/>
    <x v="0"/>
    <n v="28.8"/>
  </r>
  <r>
    <n v="496"/>
    <x v="2"/>
    <x v="0"/>
    <n v="30"/>
    <n v="-45.2"/>
    <x v="0"/>
    <x v="0"/>
    <x v="0"/>
    <n v="45.2"/>
  </r>
  <r>
    <n v="497"/>
    <x v="2"/>
    <x v="0"/>
    <n v="30"/>
    <n v="-64.8"/>
    <x v="14"/>
    <x v="1"/>
    <x v="0"/>
    <n v="64.8"/>
  </r>
  <r>
    <n v="498"/>
    <x v="2"/>
    <x v="0"/>
    <n v="31"/>
    <n v="2E-3"/>
    <x v="3"/>
    <x v="2"/>
    <x v="1"/>
    <n v="2E-3"/>
  </r>
  <r>
    <n v="499"/>
    <x v="2"/>
    <x v="0"/>
    <n v="31"/>
    <n v="-1.198"/>
    <x v="2"/>
    <x v="1"/>
    <x v="0"/>
    <n v="1.198"/>
  </r>
  <r>
    <n v="500"/>
    <x v="2"/>
    <x v="0"/>
    <n v="31"/>
    <n v="-0.5"/>
    <x v="2"/>
    <x v="1"/>
    <x v="0"/>
    <n v="0.5"/>
  </r>
  <r>
    <n v="501"/>
    <x v="2"/>
    <x v="1"/>
    <n v="4"/>
    <n v="-9.7200000000000006"/>
    <x v="19"/>
    <x v="1"/>
    <x v="0"/>
    <n v="9.7200000000000006"/>
  </r>
  <r>
    <n v="502"/>
    <x v="2"/>
    <x v="1"/>
    <n v="4"/>
    <n v="-7.6"/>
    <x v="20"/>
    <x v="1"/>
    <x v="0"/>
    <n v="7.6"/>
  </r>
  <r>
    <n v="503"/>
    <x v="2"/>
    <x v="1"/>
    <n v="4"/>
    <n v="-7.9799999999999995"/>
    <x v="1"/>
    <x v="1"/>
    <x v="0"/>
    <n v="7.9799999999999995"/>
  </r>
  <r>
    <n v="504"/>
    <x v="2"/>
    <x v="1"/>
    <n v="6"/>
    <n v="-34.804000000000002"/>
    <x v="0"/>
    <x v="0"/>
    <x v="0"/>
    <n v="34.804000000000002"/>
  </r>
  <r>
    <n v="505"/>
    <x v="2"/>
    <x v="1"/>
    <n v="6"/>
    <n v="-37.82"/>
    <x v="0"/>
    <x v="0"/>
    <x v="0"/>
    <n v="37.82"/>
  </r>
  <r>
    <n v="506"/>
    <x v="2"/>
    <x v="1"/>
    <n v="14"/>
    <n v="-0.79600000000000004"/>
    <x v="2"/>
    <x v="1"/>
    <x v="0"/>
    <n v="0.79600000000000004"/>
  </r>
  <r>
    <n v="507"/>
    <x v="2"/>
    <x v="1"/>
    <n v="15"/>
    <n v="-0.8"/>
    <x v="2"/>
    <x v="1"/>
    <x v="0"/>
    <n v="0.8"/>
  </r>
  <r>
    <n v="508"/>
    <x v="2"/>
    <x v="1"/>
    <n v="21"/>
    <n v="409.37199999999996"/>
    <x v="5"/>
    <x v="3"/>
    <x v="1"/>
    <n v="409.37199999999996"/>
  </r>
  <r>
    <n v="509"/>
    <x v="2"/>
    <x v="1"/>
    <n v="24"/>
    <n v="417.81599999999997"/>
    <x v="4"/>
    <x v="3"/>
    <x v="1"/>
    <n v="417.81599999999997"/>
  </r>
  <r>
    <n v="510"/>
    <x v="2"/>
    <x v="1"/>
    <n v="29"/>
    <n v="2E-3"/>
    <x v="3"/>
    <x v="2"/>
    <x v="1"/>
    <n v="2E-3"/>
  </r>
  <r>
    <n v="511"/>
    <x v="2"/>
    <x v="1"/>
    <n v="29"/>
    <n v="-1.198"/>
    <x v="2"/>
    <x v="1"/>
    <x v="0"/>
    <n v="1.198"/>
  </r>
  <r>
    <n v="512"/>
    <x v="2"/>
    <x v="1"/>
    <n v="29"/>
    <n v="-0.5"/>
    <x v="2"/>
    <x v="1"/>
    <x v="0"/>
    <n v="0.5"/>
  </r>
  <r>
    <n v="513"/>
    <x v="2"/>
    <x v="2"/>
    <n v="2"/>
    <n v="-7.8620000000000001"/>
    <x v="13"/>
    <x v="1"/>
    <x v="0"/>
    <n v="7.8620000000000001"/>
  </r>
  <r>
    <n v="514"/>
    <x v="2"/>
    <x v="2"/>
    <n v="2"/>
    <n v="-9.7200000000000006"/>
    <x v="19"/>
    <x v="1"/>
    <x v="0"/>
    <n v="9.7200000000000006"/>
  </r>
  <r>
    <n v="515"/>
    <x v="2"/>
    <x v="2"/>
    <n v="2"/>
    <n v="-17.52"/>
    <x v="16"/>
    <x v="1"/>
    <x v="0"/>
    <n v="17.52"/>
  </r>
  <r>
    <n v="516"/>
    <x v="2"/>
    <x v="2"/>
    <n v="2"/>
    <n v="-7.9799999999999995"/>
    <x v="1"/>
    <x v="1"/>
    <x v="0"/>
    <n v="7.9799999999999995"/>
  </r>
  <r>
    <n v="517"/>
    <x v="2"/>
    <x v="2"/>
    <n v="6"/>
    <n v="20.8"/>
    <x v="9"/>
    <x v="3"/>
    <x v="1"/>
    <n v="20.8"/>
  </r>
  <r>
    <n v="518"/>
    <x v="2"/>
    <x v="2"/>
    <n v="9"/>
    <n v="-25.8"/>
    <x v="0"/>
    <x v="0"/>
    <x v="0"/>
    <n v="25.8"/>
  </r>
  <r>
    <n v="519"/>
    <x v="2"/>
    <x v="2"/>
    <n v="10"/>
    <n v="-77.786000000000001"/>
    <x v="6"/>
    <x v="4"/>
    <x v="0"/>
    <n v="77.786000000000001"/>
  </r>
  <r>
    <n v="520"/>
    <x v="2"/>
    <x v="2"/>
    <n v="14"/>
    <n v="-0.79600000000000004"/>
    <x v="2"/>
    <x v="1"/>
    <x v="0"/>
    <n v="0.79600000000000004"/>
  </r>
  <r>
    <n v="521"/>
    <x v="2"/>
    <x v="2"/>
    <n v="15"/>
    <n v="-0.8"/>
    <x v="2"/>
    <x v="1"/>
    <x v="0"/>
    <n v="0.8"/>
  </r>
  <r>
    <n v="522"/>
    <x v="2"/>
    <x v="2"/>
    <n v="26"/>
    <n v="417.81200000000001"/>
    <x v="4"/>
    <x v="3"/>
    <x v="1"/>
    <n v="417.81200000000001"/>
  </r>
  <r>
    <n v="523"/>
    <x v="2"/>
    <x v="2"/>
    <n v="31"/>
    <n v="2E-3"/>
    <x v="3"/>
    <x v="2"/>
    <x v="1"/>
    <n v="2E-3"/>
  </r>
  <r>
    <n v="524"/>
    <x v="2"/>
    <x v="2"/>
    <n v="31"/>
    <n v="-2E-3"/>
    <x v="2"/>
    <x v="1"/>
    <x v="0"/>
    <n v="2E-3"/>
  </r>
  <r>
    <n v="525"/>
    <x v="2"/>
    <x v="2"/>
    <n v="31"/>
    <n v="-1.198"/>
    <x v="2"/>
    <x v="1"/>
    <x v="0"/>
    <n v="1.198"/>
  </r>
  <r>
    <n v="526"/>
    <x v="2"/>
    <x v="2"/>
    <n v="31"/>
    <n v="-0.9"/>
    <x v="2"/>
    <x v="1"/>
    <x v="0"/>
    <n v="0.9"/>
  </r>
  <r>
    <n v="527"/>
    <x v="2"/>
    <x v="3"/>
    <n v="1"/>
    <n v="-33.128"/>
    <x v="0"/>
    <x v="0"/>
    <x v="0"/>
    <n v="33.128"/>
  </r>
  <r>
    <n v="528"/>
    <x v="2"/>
    <x v="3"/>
    <n v="1"/>
    <n v="-7.9799999999999995"/>
    <x v="1"/>
    <x v="1"/>
    <x v="0"/>
    <n v="7.9799999999999995"/>
  </r>
  <r>
    <n v="529"/>
    <x v="2"/>
    <x v="3"/>
    <n v="1"/>
    <n v="-58.672000000000004"/>
    <x v="13"/>
    <x v="1"/>
    <x v="0"/>
    <n v="58.672000000000004"/>
  </r>
  <r>
    <n v="530"/>
    <x v="2"/>
    <x v="3"/>
    <n v="1"/>
    <n v="-9.7200000000000006"/>
    <x v="19"/>
    <x v="1"/>
    <x v="0"/>
    <n v="9.7200000000000006"/>
  </r>
  <r>
    <n v="531"/>
    <x v="2"/>
    <x v="3"/>
    <n v="5"/>
    <n v="-2.5920000000000001"/>
    <x v="0"/>
    <x v="0"/>
    <x v="0"/>
    <n v="2.5920000000000001"/>
  </r>
  <r>
    <n v="532"/>
    <x v="2"/>
    <x v="3"/>
    <n v="15"/>
    <n v="-0.8"/>
    <x v="2"/>
    <x v="1"/>
    <x v="0"/>
    <n v="0.8"/>
  </r>
  <r>
    <n v="533"/>
    <x v="2"/>
    <x v="3"/>
    <n v="17"/>
    <n v="-0.79600000000000004"/>
    <x v="2"/>
    <x v="1"/>
    <x v="0"/>
    <n v="0.79600000000000004"/>
  </r>
  <r>
    <n v="534"/>
    <x v="2"/>
    <x v="3"/>
    <n v="21"/>
    <n v="-29.798000000000002"/>
    <x v="6"/>
    <x v="4"/>
    <x v="0"/>
    <n v="29.798000000000002"/>
  </r>
  <r>
    <n v="535"/>
    <x v="2"/>
    <x v="3"/>
    <n v="21"/>
    <n v="-1"/>
    <x v="0"/>
    <x v="0"/>
    <x v="0"/>
    <n v="1"/>
  </r>
  <r>
    <n v="536"/>
    <x v="2"/>
    <x v="3"/>
    <n v="26"/>
    <n v="417.81200000000001"/>
    <x v="4"/>
    <x v="3"/>
    <x v="1"/>
    <n v="417.81200000000001"/>
  </r>
  <r>
    <n v="537"/>
    <x v="2"/>
    <x v="3"/>
    <n v="26"/>
    <n v="-8.3099999999999987"/>
    <x v="0"/>
    <x v="0"/>
    <x v="0"/>
    <n v="8.3099999999999987"/>
  </r>
  <r>
    <n v="538"/>
    <x v="2"/>
    <x v="3"/>
    <n v="30"/>
    <n v="2E-3"/>
    <x v="3"/>
    <x v="2"/>
    <x v="1"/>
    <n v="2E-3"/>
  </r>
  <r>
    <n v="539"/>
    <x v="2"/>
    <x v="3"/>
    <n v="30"/>
    <n v="-1.198"/>
    <x v="2"/>
    <x v="1"/>
    <x v="0"/>
    <n v="1.198"/>
  </r>
  <r>
    <n v="540"/>
    <x v="2"/>
    <x v="3"/>
    <n v="30"/>
    <n v="-2E-3"/>
    <x v="2"/>
    <x v="1"/>
    <x v="0"/>
    <n v="2E-3"/>
  </r>
  <r>
    <n v="541"/>
    <x v="2"/>
    <x v="4"/>
    <n v="1"/>
    <n v="-6.1020000000000003"/>
    <x v="18"/>
    <x v="1"/>
    <x v="0"/>
    <n v="6.1020000000000003"/>
  </r>
  <r>
    <n v="542"/>
    <x v="2"/>
    <x v="4"/>
    <n v="1"/>
    <n v="-58.672000000000004"/>
    <x v="13"/>
    <x v="1"/>
    <x v="0"/>
    <n v="58.672000000000004"/>
  </r>
  <r>
    <n v="543"/>
    <x v="2"/>
    <x v="4"/>
    <n v="1"/>
    <n v="-9.7200000000000006"/>
    <x v="19"/>
    <x v="1"/>
    <x v="0"/>
    <n v="9.7200000000000006"/>
  </r>
  <r>
    <n v="544"/>
    <x v="2"/>
    <x v="4"/>
    <n v="1"/>
    <n v="-17.826000000000001"/>
    <x v="16"/>
    <x v="1"/>
    <x v="0"/>
    <n v="17.826000000000001"/>
  </r>
  <r>
    <n v="545"/>
    <x v="2"/>
    <x v="4"/>
    <n v="1"/>
    <n v="-8.4719999999999995"/>
    <x v="1"/>
    <x v="1"/>
    <x v="0"/>
    <n v="8.4719999999999995"/>
  </r>
  <r>
    <n v="546"/>
    <x v="2"/>
    <x v="4"/>
    <n v="1"/>
    <n v="-46.4"/>
    <x v="12"/>
    <x v="1"/>
    <x v="0"/>
    <n v="46.4"/>
  </r>
  <r>
    <n v="547"/>
    <x v="2"/>
    <x v="4"/>
    <n v="1"/>
    <n v="-4.37"/>
    <x v="0"/>
    <x v="0"/>
    <x v="0"/>
    <n v="4.37"/>
  </r>
  <r>
    <n v="548"/>
    <x v="2"/>
    <x v="4"/>
    <n v="2"/>
    <n v="-3.246"/>
    <x v="0"/>
    <x v="0"/>
    <x v="0"/>
    <n v="3.246"/>
  </r>
  <r>
    <n v="549"/>
    <x v="2"/>
    <x v="4"/>
    <n v="4"/>
    <n v="-33.700000000000003"/>
    <x v="0"/>
    <x v="0"/>
    <x v="0"/>
    <n v="33.700000000000003"/>
  </r>
  <r>
    <n v="550"/>
    <x v="2"/>
    <x v="4"/>
    <n v="4"/>
    <n v="-18"/>
    <x v="0"/>
    <x v="0"/>
    <x v="0"/>
    <n v="18"/>
  </r>
  <r>
    <n v="551"/>
    <x v="2"/>
    <x v="4"/>
    <n v="4"/>
    <n v="-3.492"/>
    <x v="0"/>
    <x v="0"/>
    <x v="0"/>
    <n v="3.492"/>
  </r>
  <r>
    <n v="552"/>
    <x v="2"/>
    <x v="4"/>
    <n v="5"/>
    <n v="-7.9799999999999995"/>
    <x v="0"/>
    <x v="0"/>
    <x v="0"/>
    <n v="7.9799999999999995"/>
  </r>
  <r>
    <n v="553"/>
    <x v="2"/>
    <x v="4"/>
    <n v="11"/>
    <n v="-13.98"/>
    <x v="6"/>
    <x v="4"/>
    <x v="0"/>
    <n v="13.98"/>
  </r>
  <r>
    <n v="554"/>
    <x v="2"/>
    <x v="4"/>
    <n v="11"/>
    <n v="111.43800000000002"/>
    <x v="8"/>
    <x v="3"/>
    <x v="1"/>
    <n v="111.43800000000002"/>
  </r>
  <r>
    <n v="555"/>
    <x v="2"/>
    <x v="4"/>
    <n v="14"/>
    <n v="-0.39800000000000002"/>
    <x v="2"/>
    <x v="1"/>
    <x v="0"/>
    <n v="0.39800000000000002"/>
  </r>
  <r>
    <n v="556"/>
    <x v="2"/>
    <x v="4"/>
    <n v="15"/>
    <n v="-0.8"/>
    <x v="2"/>
    <x v="1"/>
    <x v="0"/>
    <n v="0.8"/>
  </r>
  <r>
    <n v="557"/>
    <x v="2"/>
    <x v="4"/>
    <n v="17"/>
    <n v="-8.3140000000000001"/>
    <x v="0"/>
    <x v="0"/>
    <x v="0"/>
    <n v="8.3140000000000001"/>
  </r>
  <r>
    <n v="558"/>
    <x v="2"/>
    <x v="4"/>
    <n v="18"/>
    <n v="-64.8"/>
    <x v="14"/>
    <x v="1"/>
    <x v="0"/>
    <n v="64.8"/>
  </r>
  <r>
    <n v="559"/>
    <x v="2"/>
    <x v="4"/>
    <n v="19"/>
    <n v="-399.8"/>
    <x v="6"/>
    <x v="4"/>
    <x v="0"/>
    <n v="399.8"/>
  </r>
  <r>
    <n v="560"/>
    <x v="2"/>
    <x v="4"/>
    <n v="22"/>
    <n v="-7.6579999999999995"/>
    <x v="0"/>
    <x v="0"/>
    <x v="0"/>
    <n v="7.6579999999999995"/>
  </r>
  <r>
    <n v="561"/>
    <x v="2"/>
    <x v="4"/>
    <n v="23"/>
    <n v="-11.528"/>
    <x v="0"/>
    <x v="0"/>
    <x v="0"/>
    <n v="11.528"/>
  </r>
  <r>
    <n v="562"/>
    <x v="2"/>
    <x v="4"/>
    <n v="25"/>
    <n v="417.81200000000001"/>
    <x v="4"/>
    <x v="3"/>
    <x v="1"/>
    <n v="417.81200000000001"/>
  </r>
  <r>
    <n v="563"/>
    <x v="2"/>
    <x v="4"/>
    <n v="26"/>
    <n v="-26.8"/>
    <x v="11"/>
    <x v="1"/>
    <x v="0"/>
    <n v="26.8"/>
  </r>
  <r>
    <n v="564"/>
    <x v="2"/>
    <x v="4"/>
    <n v="28"/>
    <n v="-4.3420000000000005"/>
    <x v="0"/>
    <x v="0"/>
    <x v="0"/>
    <n v="4.3420000000000005"/>
  </r>
  <r>
    <n v="565"/>
    <x v="2"/>
    <x v="4"/>
    <n v="31"/>
    <n v="2E-3"/>
    <x v="3"/>
    <x v="2"/>
    <x v="1"/>
    <n v="2E-3"/>
  </r>
  <r>
    <n v="566"/>
    <x v="2"/>
    <x v="4"/>
    <n v="31"/>
    <n v="-1.198"/>
    <x v="2"/>
    <x v="1"/>
    <x v="0"/>
    <n v="1.198"/>
  </r>
  <r>
    <n v="567"/>
    <x v="2"/>
    <x v="4"/>
    <n v="31"/>
    <n v="-0.5"/>
    <x v="2"/>
    <x v="1"/>
    <x v="0"/>
    <n v="0.5"/>
  </r>
  <r>
    <n v="568"/>
    <x v="2"/>
    <x v="4"/>
    <n v="31"/>
    <n v="-2E-3"/>
    <x v="2"/>
    <x v="1"/>
    <x v="0"/>
    <n v="2E-3"/>
  </r>
  <r>
    <n v="569"/>
    <x v="2"/>
    <x v="4"/>
    <n v="31"/>
    <n v="-4.5920000000000005"/>
    <x v="0"/>
    <x v="0"/>
    <x v="0"/>
    <n v="4.5920000000000005"/>
  </r>
  <r>
    <n v="570"/>
    <x v="2"/>
    <x v="5"/>
    <n v="1"/>
    <n v="-3.7"/>
    <x v="0"/>
    <x v="0"/>
    <x v="0"/>
    <n v="3.7"/>
  </r>
  <r>
    <n v="571"/>
    <x v="2"/>
    <x v="5"/>
    <n v="2"/>
    <n v="-48.076000000000001"/>
    <x v="13"/>
    <x v="1"/>
    <x v="0"/>
    <n v="48.076000000000001"/>
  </r>
  <r>
    <n v="572"/>
    <x v="2"/>
    <x v="5"/>
    <n v="2"/>
    <n v="-9.7200000000000006"/>
    <x v="19"/>
    <x v="1"/>
    <x v="0"/>
    <n v="9.7200000000000006"/>
  </r>
  <r>
    <n v="573"/>
    <x v="2"/>
    <x v="5"/>
    <n v="2"/>
    <n v="-7.9799999999999995"/>
    <x v="1"/>
    <x v="1"/>
    <x v="0"/>
    <n v="7.9799999999999995"/>
  </r>
  <r>
    <n v="574"/>
    <x v="2"/>
    <x v="5"/>
    <n v="4"/>
    <n v="-2.02"/>
    <x v="0"/>
    <x v="0"/>
    <x v="0"/>
    <n v="2.02"/>
  </r>
  <r>
    <n v="575"/>
    <x v="2"/>
    <x v="5"/>
    <n v="6"/>
    <n v="-4.7159999999999993"/>
    <x v="0"/>
    <x v="0"/>
    <x v="0"/>
    <n v="4.7159999999999993"/>
  </r>
  <r>
    <n v="576"/>
    <x v="2"/>
    <x v="5"/>
    <n v="11"/>
    <n v="-20"/>
    <x v="0"/>
    <x v="0"/>
    <x v="0"/>
    <n v="20"/>
  </r>
  <r>
    <n v="577"/>
    <x v="2"/>
    <x v="5"/>
    <n v="11"/>
    <n v="-7.1959999999999997"/>
    <x v="0"/>
    <x v="0"/>
    <x v="0"/>
    <n v="7.1959999999999997"/>
  </r>
  <r>
    <n v="578"/>
    <x v="2"/>
    <x v="5"/>
    <n v="12"/>
    <n v="-9.5560000000000009"/>
    <x v="7"/>
    <x v="5"/>
    <x v="0"/>
    <n v="9.5560000000000009"/>
  </r>
  <r>
    <n v="579"/>
    <x v="2"/>
    <x v="5"/>
    <n v="15"/>
    <n v="-0.8"/>
    <x v="2"/>
    <x v="1"/>
    <x v="0"/>
    <n v="0.8"/>
  </r>
  <r>
    <n v="580"/>
    <x v="2"/>
    <x v="5"/>
    <n v="20"/>
    <n v="-0.39800000000000002"/>
    <x v="2"/>
    <x v="1"/>
    <x v="0"/>
    <n v="0.39800000000000002"/>
  </r>
  <r>
    <n v="581"/>
    <x v="2"/>
    <x v="5"/>
    <n v="21"/>
    <n v="-2.3980000000000001"/>
    <x v="0"/>
    <x v="0"/>
    <x v="0"/>
    <n v="2.3980000000000001"/>
  </r>
  <r>
    <n v="582"/>
    <x v="2"/>
    <x v="5"/>
    <n v="21"/>
    <n v="-14.424000000000001"/>
    <x v="0"/>
    <x v="0"/>
    <x v="0"/>
    <n v="14.424000000000001"/>
  </r>
  <r>
    <n v="583"/>
    <x v="2"/>
    <x v="4"/>
    <n v="25"/>
    <n v="-6.5"/>
    <x v="7"/>
    <x v="5"/>
    <x v="0"/>
    <n v="6.5"/>
  </r>
  <r>
    <n v="584"/>
    <x v="2"/>
    <x v="5"/>
    <n v="25"/>
    <n v="417.81200000000001"/>
    <x v="4"/>
    <x v="3"/>
    <x v="1"/>
    <n v="417.81200000000001"/>
  </r>
  <r>
    <n v="585"/>
    <x v="2"/>
    <x v="5"/>
    <n v="27"/>
    <n v="-2.12"/>
    <x v="0"/>
    <x v="0"/>
    <x v="0"/>
    <n v="2.12"/>
  </r>
  <r>
    <n v="586"/>
    <x v="2"/>
    <x v="5"/>
    <n v="27"/>
    <n v="-3.2979999999999996"/>
    <x v="0"/>
    <x v="0"/>
    <x v="0"/>
    <n v="3.2979999999999996"/>
  </r>
  <r>
    <n v="587"/>
    <x v="2"/>
    <x v="5"/>
    <n v="29"/>
    <n v="-9.0079999999999991"/>
    <x v="0"/>
    <x v="0"/>
    <x v="0"/>
    <n v="9.0079999999999991"/>
  </r>
  <r>
    <n v="588"/>
    <x v="2"/>
    <x v="5"/>
    <n v="30"/>
    <n v="2E-3"/>
    <x v="3"/>
    <x v="2"/>
    <x v="1"/>
    <n v="2E-3"/>
  </r>
  <r>
    <n v="589"/>
    <x v="2"/>
    <x v="5"/>
    <n v="30"/>
    <n v="-1.198"/>
    <x v="2"/>
    <x v="1"/>
    <x v="0"/>
    <n v="1.198"/>
  </r>
  <r>
    <n v="590"/>
    <x v="2"/>
    <x v="5"/>
    <n v="30"/>
    <n v="-0.9"/>
    <x v="2"/>
    <x v="1"/>
    <x v="0"/>
    <n v="0.9"/>
  </r>
  <r>
    <n v="591"/>
    <x v="2"/>
    <x v="5"/>
    <n v="30"/>
    <n v="-2E-3"/>
    <x v="2"/>
    <x v="1"/>
    <x v="0"/>
    <n v="2E-3"/>
  </r>
  <r>
    <n v="592"/>
    <x v="2"/>
    <x v="6"/>
    <n v="1"/>
    <n v="-8.4719999999999995"/>
    <x v="1"/>
    <x v="1"/>
    <x v="0"/>
    <n v="8.4719999999999995"/>
  </r>
  <r>
    <n v="593"/>
    <x v="2"/>
    <x v="6"/>
    <n v="1"/>
    <n v="-48.076000000000001"/>
    <x v="13"/>
    <x v="1"/>
    <x v="0"/>
    <n v="48.076000000000001"/>
  </r>
  <r>
    <n v="594"/>
    <x v="2"/>
    <x v="6"/>
    <n v="1"/>
    <n v="-6.5680000000000005"/>
    <x v="18"/>
    <x v="1"/>
    <x v="0"/>
    <n v="6.5680000000000005"/>
  </r>
  <r>
    <n v="595"/>
    <x v="2"/>
    <x v="6"/>
    <n v="1"/>
    <n v="-9.7200000000000006"/>
    <x v="19"/>
    <x v="1"/>
    <x v="0"/>
    <n v="9.7200000000000006"/>
  </r>
  <r>
    <n v="596"/>
    <x v="2"/>
    <x v="6"/>
    <n v="1"/>
    <n v="-15.475999999999999"/>
    <x v="16"/>
    <x v="1"/>
    <x v="0"/>
    <n v="15.475999999999999"/>
  </r>
  <r>
    <n v="597"/>
    <x v="2"/>
    <x v="6"/>
    <n v="3"/>
    <n v="-9.1999999999999993"/>
    <x v="0"/>
    <x v="0"/>
    <x v="0"/>
    <n v="9.1999999999999993"/>
  </r>
  <r>
    <n v="598"/>
    <x v="2"/>
    <x v="6"/>
    <n v="4"/>
    <n v="-34"/>
    <x v="0"/>
    <x v="0"/>
    <x v="0"/>
    <n v="34"/>
  </r>
  <r>
    <n v="599"/>
    <x v="2"/>
    <x v="6"/>
    <n v="4"/>
    <n v="-5.71"/>
    <x v="0"/>
    <x v="0"/>
    <x v="0"/>
    <n v="5.71"/>
  </r>
  <r>
    <n v="600"/>
    <x v="2"/>
    <x v="6"/>
    <n v="15"/>
    <n v="-0.8"/>
    <x v="2"/>
    <x v="1"/>
    <x v="0"/>
    <n v="0.8"/>
  </r>
  <r>
    <n v="601"/>
    <x v="2"/>
    <x v="6"/>
    <n v="17"/>
    <n v="-1"/>
    <x v="7"/>
    <x v="5"/>
    <x v="0"/>
    <n v="1"/>
  </r>
  <r>
    <n v="602"/>
    <x v="2"/>
    <x v="6"/>
    <n v="17"/>
    <n v="-2"/>
    <x v="7"/>
    <x v="5"/>
    <x v="0"/>
    <n v="2"/>
  </r>
  <r>
    <n v="603"/>
    <x v="2"/>
    <x v="6"/>
    <n v="17"/>
    <n v="-0.39800000000000002"/>
    <x v="2"/>
    <x v="1"/>
    <x v="0"/>
    <n v="0.39800000000000002"/>
  </r>
  <r>
    <n v="604"/>
    <x v="2"/>
    <x v="6"/>
    <n v="19"/>
    <n v="-18.844000000000001"/>
    <x v="0"/>
    <x v="0"/>
    <x v="0"/>
    <n v="18.844000000000001"/>
  </r>
  <r>
    <n v="605"/>
    <x v="2"/>
    <x v="6"/>
    <n v="20"/>
    <n v="-3.3540000000000001"/>
    <x v="0"/>
    <x v="0"/>
    <x v="0"/>
    <n v="3.3540000000000001"/>
  </r>
  <r>
    <n v="606"/>
    <x v="2"/>
    <x v="6"/>
    <n v="24"/>
    <n v="-10.045999999999999"/>
    <x v="0"/>
    <x v="0"/>
    <x v="0"/>
    <n v="10.045999999999999"/>
  </r>
  <r>
    <n v="607"/>
    <x v="2"/>
    <x v="6"/>
    <n v="25"/>
    <n v="417.81200000000001"/>
    <x v="4"/>
    <x v="3"/>
    <x v="1"/>
    <n v="417.81200000000001"/>
  </r>
  <r>
    <n v="608"/>
    <x v="2"/>
    <x v="6"/>
    <n v="26"/>
    <n v="-4.484"/>
    <x v="0"/>
    <x v="0"/>
    <x v="0"/>
    <n v="4.484"/>
  </r>
  <r>
    <n v="609"/>
    <x v="2"/>
    <x v="6"/>
    <n v="31"/>
    <n v="2E-3"/>
    <x v="3"/>
    <x v="2"/>
    <x v="1"/>
    <n v="2E-3"/>
  </r>
  <r>
    <n v="610"/>
    <x v="2"/>
    <x v="6"/>
    <n v="31"/>
    <n v="-1.198"/>
    <x v="2"/>
    <x v="1"/>
    <x v="0"/>
    <n v="1.198"/>
  </r>
  <r>
    <n v="611"/>
    <x v="2"/>
    <x v="6"/>
    <n v="31"/>
    <n v="-2E-3"/>
    <x v="2"/>
    <x v="1"/>
    <x v="0"/>
    <n v="2E-3"/>
  </r>
  <r>
    <n v="612"/>
    <x v="2"/>
    <x v="7"/>
    <n v="1"/>
    <n v="-7.9959999999999996"/>
    <x v="7"/>
    <x v="5"/>
    <x v="0"/>
    <n v="7.9959999999999996"/>
  </r>
  <r>
    <n v="613"/>
    <x v="2"/>
    <x v="7"/>
    <n v="1"/>
    <n v="-10.518000000000001"/>
    <x v="0"/>
    <x v="0"/>
    <x v="0"/>
    <n v="10.518000000000001"/>
  </r>
  <r>
    <n v="614"/>
    <x v="2"/>
    <x v="7"/>
    <n v="4"/>
    <n v="-48.076000000000001"/>
    <x v="13"/>
    <x v="1"/>
    <x v="0"/>
    <n v="48.076000000000001"/>
  </r>
  <r>
    <n v="615"/>
    <x v="2"/>
    <x v="7"/>
    <n v="4"/>
    <n v="-9.7200000000000006"/>
    <x v="19"/>
    <x v="1"/>
    <x v="0"/>
    <n v="9.7200000000000006"/>
  </r>
  <r>
    <n v="616"/>
    <x v="2"/>
    <x v="7"/>
    <n v="4"/>
    <n v="-7.9799999999999995"/>
    <x v="1"/>
    <x v="1"/>
    <x v="0"/>
    <n v="7.9799999999999995"/>
  </r>
  <r>
    <n v="617"/>
    <x v="2"/>
    <x v="7"/>
    <n v="5"/>
    <n v="-4.8"/>
    <x v="7"/>
    <x v="5"/>
    <x v="0"/>
    <n v="4.8"/>
  </r>
  <r>
    <n v="618"/>
    <x v="2"/>
    <x v="7"/>
    <n v="6"/>
    <n v="155.46600000000001"/>
    <x v="8"/>
    <x v="3"/>
    <x v="1"/>
    <n v="155.46600000000001"/>
  </r>
  <r>
    <n v="619"/>
    <x v="2"/>
    <x v="7"/>
    <n v="6"/>
    <n v="-5.2119999999999997"/>
    <x v="0"/>
    <x v="0"/>
    <x v="0"/>
    <n v="5.2119999999999997"/>
  </r>
  <r>
    <n v="620"/>
    <x v="2"/>
    <x v="7"/>
    <n v="7"/>
    <n v="-5.88"/>
    <x v="0"/>
    <x v="0"/>
    <x v="0"/>
    <n v="5.88"/>
  </r>
  <r>
    <n v="621"/>
    <x v="2"/>
    <x v="7"/>
    <n v="10"/>
    <n v="-4.444"/>
    <x v="0"/>
    <x v="0"/>
    <x v="0"/>
    <n v="4.444"/>
  </r>
  <r>
    <n v="622"/>
    <x v="2"/>
    <x v="7"/>
    <n v="13"/>
    <n v="-5.5880000000000001"/>
    <x v="0"/>
    <x v="0"/>
    <x v="0"/>
    <n v="5.5880000000000001"/>
  </r>
  <r>
    <n v="623"/>
    <x v="2"/>
    <x v="7"/>
    <n v="14"/>
    <n v="-0.39800000000000002"/>
    <x v="2"/>
    <x v="1"/>
    <x v="0"/>
    <n v="0.39800000000000002"/>
  </r>
  <r>
    <n v="624"/>
    <x v="2"/>
    <x v="7"/>
    <n v="15"/>
    <n v="-0.8"/>
    <x v="2"/>
    <x v="1"/>
    <x v="0"/>
    <n v="0.8"/>
  </r>
  <r>
    <n v="625"/>
    <x v="2"/>
    <x v="7"/>
    <n v="16"/>
    <n v="-7.9799999999999995"/>
    <x v="7"/>
    <x v="5"/>
    <x v="0"/>
    <n v="7.9799999999999995"/>
  </r>
  <r>
    <n v="626"/>
    <x v="2"/>
    <x v="7"/>
    <n v="19"/>
    <n v="-4"/>
    <x v="7"/>
    <x v="5"/>
    <x v="0"/>
    <n v="4"/>
  </r>
  <r>
    <n v="627"/>
    <x v="2"/>
    <x v="7"/>
    <n v="20"/>
    <n v="-5"/>
    <x v="7"/>
    <x v="5"/>
    <x v="0"/>
    <n v="5"/>
  </r>
  <r>
    <n v="628"/>
    <x v="2"/>
    <x v="7"/>
    <n v="20"/>
    <n v="-10.157999999999999"/>
    <x v="0"/>
    <x v="0"/>
    <x v="0"/>
    <n v="10.157999999999999"/>
  </r>
  <r>
    <n v="629"/>
    <x v="2"/>
    <x v="7"/>
    <n v="21"/>
    <n v="-3.3899999999999997"/>
    <x v="0"/>
    <x v="0"/>
    <x v="0"/>
    <n v="3.3899999999999997"/>
  </r>
  <r>
    <n v="630"/>
    <x v="2"/>
    <x v="7"/>
    <n v="24"/>
    <n v="-17.088000000000001"/>
    <x v="0"/>
    <x v="0"/>
    <x v="0"/>
    <n v="17.088000000000001"/>
  </r>
  <r>
    <n v="631"/>
    <x v="2"/>
    <x v="7"/>
    <n v="27"/>
    <n v="-30"/>
    <x v="7"/>
    <x v="5"/>
    <x v="0"/>
    <n v="30"/>
  </r>
  <r>
    <n v="632"/>
    <x v="2"/>
    <x v="7"/>
    <n v="27"/>
    <n v="417.81200000000001"/>
    <x v="4"/>
    <x v="3"/>
    <x v="1"/>
    <n v="417.81200000000001"/>
  </r>
  <r>
    <n v="633"/>
    <x v="2"/>
    <x v="7"/>
    <n v="30"/>
    <n v="-4"/>
    <x v="7"/>
    <x v="5"/>
    <x v="0"/>
    <n v="4"/>
  </r>
  <r>
    <n v="634"/>
    <x v="2"/>
    <x v="7"/>
    <n v="31"/>
    <n v="2E-3"/>
    <x v="3"/>
    <x v="2"/>
    <x v="1"/>
    <n v="2E-3"/>
  </r>
  <r>
    <n v="635"/>
    <x v="2"/>
    <x v="7"/>
    <n v="31"/>
    <n v="-1.198"/>
    <x v="2"/>
    <x v="1"/>
    <x v="0"/>
    <n v="1.198"/>
  </r>
  <r>
    <n v="636"/>
    <x v="2"/>
    <x v="7"/>
    <n v="31"/>
    <n v="-0.3"/>
    <x v="2"/>
    <x v="1"/>
    <x v="0"/>
    <n v="0.3"/>
  </r>
  <r>
    <n v="637"/>
    <x v="2"/>
    <x v="7"/>
    <n v="31"/>
    <n v="-2E-3"/>
    <x v="2"/>
    <x v="1"/>
    <x v="0"/>
    <n v="2E-3"/>
  </r>
  <r>
    <n v="638"/>
    <x v="2"/>
    <x v="7"/>
    <n v="31"/>
    <n v="-2.3739999999999997"/>
    <x v="0"/>
    <x v="0"/>
    <x v="0"/>
    <n v="2.3739999999999997"/>
  </r>
  <r>
    <n v="639"/>
    <x v="2"/>
    <x v="8"/>
    <n v="2"/>
    <n v="-48.076000000000001"/>
    <x v="13"/>
    <x v="1"/>
    <x v="0"/>
    <n v="48.076000000000001"/>
  </r>
  <r>
    <n v="640"/>
    <x v="2"/>
    <x v="8"/>
    <n v="2"/>
    <n v="-9.7200000000000006"/>
    <x v="19"/>
    <x v="1"/>
    <x v="0"/>
    <n v="9.7200000000000006"/>
  </r>
  <r>
    <n v="641"/>
    <x v="2"/>
    <x v="8"/>
    <n v="2"/>
    <n v="-15.809999999999999"/>
    <x v="16"/>
    <x v="1"/>
    <x v="0"/>
    <n v="15.809999999999999"/>
  </r>
  <r>
    <n v="642"/>
    <x v="2"/>
    <x v="8"/>
    <n v="2"/>
    <n v="-7.9799999999999995"/>
    <x v="1"/>
    <x v="1"/>
    <x v="0"/>
    <n v="7.9799999999999995"/>
  </r>
  <r>
    <n v="643"/>
    <x v="2"/>
    <x v="8"/>
    <n v="5"/>
    <n v="-2.15"/>
    <x v="0"/>
    <x v="0"/>
    <x v="0"/>
    <n v="2.15"/>
  </r>
  <r>
    <n v="644"/>
    <x v="2"/>
    <x v="8"/>
    <n v="5"/>
    <n v="-0.85"/>
    <x v="0"/>
    <x v="0"/>
    <x v="0"/>
    <n v="0.85"/>
  </r>
  <r>
    <n v="645"/>
    <x v="2"/>
    <x v="8"/>
    <n v="6"/>
    <n v="-20"/>
    <x v="7"/>
    <x v="5"/>
    <x v="0"/>
    <n v="20"/>
  </r>
  <r>
    <n v="646"/>
    <x v="2"/>
    <x v="8"/>
    <n v="6"/>
    <n v="-4"/>
    <x v="7"/>
    <x v="5"/>
    <x v="0"/>
    <n v="4"/>
  </r>
  <r>
    <n v="647"/>
    <x v="2"/>
    <x v="8"/>
    <n v="6"/>
    <n v="-4.0119999999999996"/>
    <x v="0"/>
    <x v="0"/>
    <x v="0"/>
    <n v="4.0119999999999996"/>
  </r>
  <r>
    <n v="648"/>
    <x v="2"/>
    <x v="8"/>
    <n v="7"/>
    <n v="-6.4"/>
    <x v="0"/>
    <x v="0"/>
    <x v="0"/>
    <n v="6.4"/>
  </r>
  <r>
    <n v="649"/>
    <x v="2"/>
    <x v="8"/>
    <n v="8"/>
    <n v="-22.547999999999998"/>
    <x v="7"/>
    <x v="5"/>
    <x v="0"/>
    <n v="22.547999999999998"/>
  </r>
  <r>
    <n v="650"/>
    <x v="2"/>
    <x v="8"/>
    <n v="12"/>
    <n v="-1.6600000000000001"/>
    <x v="0"/>
    <x v="0"/>
    <x v="0"/>
    <n v="1.6600000000000001"/>
  </r>
  <r>
    <n v="651"/>
    <x v="2"/>
    <x v="8"/>
    <n v="12"/>
    <n v="-1.6600000000000001"/>
    <x v="0"/>
    <x v="0"/>
    <x v="0"/>
    <n v="1.6600000000000001"/>
  </r>
  <r>
    <n v="652"/>
    <x v="2"/>
    <x v="8"/>
    <n v="12"/>
    <n v="-19.277999999999999"/>
    <x v="0"/>
    <x v="0"/>
    <x v="0"/>
    <n v="19.277999999999999"/>
  </r>
  <r>
    <n v="653"/>
    <x v="2"/>
    <x v="8"/>
    <n v="13"/>
    <n v="-14.866"/>
    <x v="17"/>
    <x v="4"/>
    <x v="0"/>
    <n v="14.866"/>
  </r>
  <r>
    <n v="654"/>
    <x v="2"/>
    <x v="8"/>
    <n v="14"/>
    <n v="-23.8"/>
    <x v="6"/>
    <x v="4"/>
    <x v="0"/>
    <n v="23.8"/>
  </r>
  <r>
    <n v="655"/>
    <x v="2"/>
    <x v="8"/>
    <n v="14"/>
    <n v="-13.821999999999999"/>
    <x v="0"/>
    <x v="0"/>
    <x v="0"/>
    <n v="13.821999999999999"/>
  </r>
  <r>
    <n v="656"/>
    <x v="2"/>
    <x v="8"/>
    <n v="15"/>
    <n v="-0.8"/>
    <x v="2"/>
    <x v="1"/>
    <x v="0"/>
    <n v="0.8"/>
  </r>
  <r>
    <n v="657"/>
    <x v="2"/>
    <x v="8"/>
    <n v="17"/>
    <n v="-29.442"/>
    <x v="0"/>
    <x v="0"/>
    <x v="0"/>
    <n v="29.442"/>
  </r>
  <r>
    <n v="658"/>
    <x v="2"/>
    <x v="8"/>
    <n v="18"/>
    <n v="-0.39800000000000002"/>
    <x v="2"/>
    <x v="1"/>
    <x v="0"/>
    <n v="0.39800000000000002"/>
  </r>
  <r>
    <n v="659"/>
    <x v="2"/>
    <x v="8"/>
    <n v="22"/>
    <n v="-33.998000000000005"/>
    <x v="7"/>
    <x v="5"/>
    <x v="0"/>
    <n v="33.998000000000005"/>
  </r>
  <r>
    <n v="660"/>
    <x v="2"/>
    <x v="8"/>
    <n v="25"/>
    <n v="417.81200000000001"/>
    <x v="4"/>
    <x v="3"/>
    <x v="1"/>
    <n v="417.81200000000001"/>
  </r>
  <r>
    <n v="661"/>
    <x v="2"/>
    <x v="8"/>
    <n v="27"/>
    <n v="-16.2"/>
    <x v="14"/>
    <x v="1"/>
    <x v="0"/>
    <n v="16.2"/>
  </r>
  <r>
    <n v="662"/>
    <x v="2"/>
    <x v="8"/>
    <n v="30"/>
    <n v="2E-3"/>
    <x v="3"/>
    <x v="2"/>
    <x v="1"/>
    <n v="2E-3"/>
  </r>
  <r>
    <n v="663"/>
    <x v="2"/>
    <x v="8"/>
    <n v="30"/>
    <n v="-1.198"/>
    <x v="2"/>
    <x v="1"/>
    <x v="0"/>
    <n v="1.198"/>
  </r>
  <r>
    <n v="664"/>
    <x v="2"/>
    <x v="8"/>
    <n v="30"/>
    <n v="-0.4"/>
    <x v="2"/>
    <x v="1"/>
    <x v="0"/>
    <n v="0.4"/>
  </r>
  <r>
    <n v="665"/>
    <x v="2"/>
    <x v="8"/>
    <n v="30"/>
    <n v="-2E-3"/>
    <x v="2"/>
    <x v="1"/>
    <x v="0"/>
    <n v="2E-3"/>
  </r>
  <r>
    <n v="666"/>
    <x v="2"/>
    <x v="9"/>
    <n v="1"/>
    <n v="-7.9799999999999995"/>
    <x v="1"/>
    <x v="1"/>
    <x v="0"/>
    <n v="7.9799999999999995"/>
  </r>
  <r>
    <n v="667"/>
    <x v="2"/>
    <x v="9"/>
    <n v="1"/>
    <n v="-48.076000000000001"/>
    <x v="13"/>
    <x v="1"/>
    <x v="0"/>
    <n v="48.076000000000001"/>
  </r>
  <r>
    <n v="668"/>
    <x v="2"/>
    <x v="9"/>
    <n v="1"/>
    <n v="-6.5680000000000005"/>
    <x v="18"/>
    <x v="1"/>
    <x v="0"/>
    <n v="6.5680000000000005"/>
  </r>
  <r>
    <n v="669"/>
    <x v="2"/>
    <x v="9"/>
    <n v="1"/>
    <n v="-9.7200000000000006"/>
    <x v="19"/>
    <x v="1"/>
    <x v="0"/>
    <n v="9.7200000000000006"/>
  </r>
  <r>
    <n v="670"/>
    <x v="2"/>
    <x v="9"/>
    <n v="3"/>
    <n v="-3.1059999999999999"/>
    <x v="0"/>
    <x v="0"/>
    <x v="0"/>
    <n v="3.1059999999999999"/>
  </r>
  <r>
    <n v="671"/>
    <x v="2"/>
    <x v="9"/>
    <n v="4"/>
    <n v="-7.3659999999999997"/>
    <x v="0"/>
    <x v="0"/>
    <x v="0"/>
    <n v="7.3659999999999997"/>
  </r>
  <r>
    <n v="672"/>
    <x v="2"/>
    <x v="9"/>
    <n v="7"/>
    <n v="-1.6600000000000001"/>
    <x v="0"/>
    <x v="0"/>
    <x v="0"/>
    <n v="1.6600000000000001"/>
  </r>
  <r>
    <n v="673"/>
    <x v="2"/>
    <x v="9"/>
    <n v="8"/>
    <n v="-6.92"/>
    <x v="0"/>
    <x v="0"/>
    <x v="0"/>
    <n v="6.92"/>
  </r>
  <r>
    <n v="674"/>
    <x v="2"/>
    <x v="9"/>
    <n v="8"/>
    <n v="-40"/>
    <x v="7"/>
    <x v="5"/>
    <x v="0"/>
    <n v="40"/>
  </r>
  <r>
    <n v="675"/>
    <x v="2"/>
    <x v="9"/>
    <n v="8"/>
    <n v="-4.5979999999999999"/>
    <x v="0"/>
    <x v="0"/>
    <x v="0"/>
    <n v="4.5979999999999999"/>
  </r>
  <r>
    <n v="676"/>
    <x v="2"/>
    <x v="9"/>
    <n v="12"/>
    <n v="-4.8959999999999999"/>
    <x v="0"/>
    <x v="0"/>
    <x v="0"/>
    <n v="4.8959999999999999"/>
  </r>
  <r>
    <n v="677"/>
    <x v="2"/>
    <x v="9"/>
    <n v="15"/>
    <n v="-0.8"/>
    <x v="2"/>
    <x v="1"/>
    <x v="0"/>
    <n v="0.8"/>
  </r>
  <r>
    <n v="678"/>
    <x v="2"/>
    <x v="9"/>
    <n v="16"/>
    <n v="-0.39800000000000002"/>
    <x v="2"/>
    <x v="1"/>
    <x v="0"/>
    <n v="0.39800000000000002"/>
  </r>
  <r>
    <n v="679"/>
    <x v="2"/>
    <x v="9"/>
    <n v="17"/>
    <n v="-16.641999999999999"/>
    <x v="0"/>
    <x v="0"/>
    <x v="0"/>
    <n v="16.641999999999999"/>
  </r>
  <r>
    <n v="680"/>
    <x v="2"/>
    <x v="9"/>
    <n v="25"/>
    <n v="600"/>
    <x v="10"/>
    <x v="2"/>
    <x v="1"/>
    <n v="600"/>
  </r>
  <r>
    <n v="681"/>
    <x v="2"/>
    <x v="9"/>
    <n v="25"/>
    <n v="417.81200000000001"/>
    <x v="4"/>
    <x v="3"/>
    <x v="1"/>
    <n v="417.81200000000001"/>
  </r>
  <r>
    <n v="682"/>
    <x v="2"/>
    <x v="9"/>
    <n v="27"/>
    <n v="-1.6600000000000001"/>
    <x v="0"/>
    <x v="0"/>
    <x v="0"/>
    <n v="1.6600000000000001"/>
  </r>
  <r>
    <n v="683"/>
    <x v="2"/>
    <x v="9"/>
    <n v="27"/>
    <n v="-46.4"/>
    <x v="12"/>
    <x v="1"/>
    <x v="0"/>
    <n v="46.4"/>
  </r>
  <r>
    <n v="684"/>
    <x v="2"/>
    <x v="9"/>
    <n v="29"/>
    <n v="-16.2"/>
    <x v="14"/>
    <x v="1"/>
    <x v="0"/>
    <n v="16.2"/>
  </r>
  <r>
    <n v="685"/>
    <x v="2"/>
    <x v="9"/>
    <n v="31"/>
    <n v="2E-3"/>
    <x v="3"/>
    <x v="2"/>
    <x v="1"/>
    <n v="2E-3"/>
  </r>
  <r>
    <n v="686"/>
    <x v="2"/>
    <x v="9"/>
    <n v="31"/>
    <n v="-1.198"/>
    <x v="2"/>
    <x v="1"/>
    <x v="0"/>
    <n v="1.198"/>
  </r>
  <r>
    <n v="687"/>
    <x v="2"/>
    <x v="9"/>
    <n v="31"/>
    <n v="-0.8"/>
    <x v="2"/>
    <x v="1"/>
    <x v="0"/>
    <n v="0.8"/>
  </r>
  <r>
    <n v="688"/>
    <x v="2"/>
    <x v="9"/>
    <n v="31"/>
    <n v="-2E-3"/>
    <x v="2"/>
    <x v="1"/>
    <x v="0"/>
    <n v="2E-3"/>
  </r>
  <r>
    <n v="689"/>
    <x v="2"/>
    <x v="10"/>
    <n v="1"/>
    <n v="-7.9799999999999995"/>
    <x v="1"/>
    <x v="1"/>
    <x v="0"/>
    <n v="7.9799999999999995"/>
  </r>
  <r>
    <n v="690"/>
    <x v="2"/>
    <x v="10"/>
    <n v="1"/>
    <n v="-48.076000000000001"/>
    <x v="13"/>
    <x v="1"/>
    <x v="0"/>
    <n v="48.076000000000001"/>
  </r>
  <r>
    <n v="691"/>
    <x v="2"/>
    <x v="10"/>
    <n v="1"/>
    <n v="-6.5680000000000005"/>
    <x v="18"/>
    <x v="1"/>
    <x v="0"/>
    <n v="6.5680000000000005"/>
  </r>
  <r>
    <n v="692"/>
    <x v="2"/>
    <x v="10"/>
    <n v="1"/>
    <n v="-9.7200000000000006"/>
    <x v="19"/>
    <x v="1"/>
    <x v="0"/>
    <n v="9.7200000000000006"/>
  </r>
  <r>
    <n v="693"/>
    <x v="2"/>
    <x v="10"/>
    <n v="1"/>
    <n v="-18.05"/>
    <x v="16"/>
    <x v="1"/>
    <x v="0"/>
    <n v="18.05"/>
  </r>
  <r>
    <n v="694"/>
    <x v="2"/>
    <x v="10"/>
    <n v="2"/>
    <n v="-19.997999999999998"/>
    <x v="7"/>
    <x v="5"/>
    <x v="0"/>
    <n v="19.997999999999998"/>
  </r>
  <r>
    <n v="695"/>
    <x v="2"/>
    <x v="10"/>
    <n v="6"/>
    <n v="75.205999999999989"/>
    <x v="8"/>
    <x v="3"/>
    <x v="1"/>
    <n v="75.205999999999989"/>
  </r>
  <r>
    <n v="696"/>
    <x v="2"/>
    <x v="10"/>
    <n v="6"/>
    <n v="-9.33"/>
    <x v="0"/>
    <x v="0"/>
    <x v="0"/>
    <n v="9.33"/>
  </r>
  <r>
    <n v="697"/>
    <x v="2"/>
    <x v="10"/>
    <n v="7"/>
    <n v="-18.234000000000002"/>
    <x v="0"/>
    <x v="0"/>
    <x v="0"/>
    <n v="18.234000000000002"/>
  </r>
  <r>
    <n v="698"/>
    <x v="2"/>
    <x v="10"/>
    <n v="9"/>
    <n v="-7"/>
    <x v="0"/>
    <x v="0"/>
    <x v="0"/>
    <n v="7"/>
  </r>
  <r>
    <n v="699"/>
    <x v="2"/>
    <x v="10"/>
    <n v="12"/>
    <n v="-0.39800000000000002"/>
    <x v="2"/>
    <x v="1"/>
    <x v="0"/>
    <n v="0.39800000000000002"/>
  </r>
  <r>
    <n v="700"/>
    <x v="2"/>
    <x v="10"/>
    <n v="15"/>
    <n v="-0.8"/>
    <x v="2"/>
    <x v="1"/>
    <x v="0"/>
    <n v="0.8"/>
  </r>
  <r>
    <n v="701"/>
    <x v="2"/>
    <x v="10"/>
    <n v="15"/>
    <n v="-16.875999999999998"/>
    <x v="7"/>
    <x v="5"/>
    <x v="0"/>
    <n v="16.875999999999998"/>
  </r>
  <r>
    <n v="702"/>
    <x v="2"/>
    <x v="10"/>
    <n v="17"/>
    <n v="-7"/>
    <x v="0"/>
    <x v="0"/>
    <x v="0"/>
    <n v="7"/>
  </r>
  <r>
    <n v="703"/>
    <x v="2"/>
    <x v="10"/>
    <n v="21"/>
    <n v="-37.989999999999995"/>
    <x v="0"/>
    <x v="0"/>
    <x v="0"/>
    <n v="37.989999999999995"/>
  </r>
  <r>
    <n v="704"/>
    <x v="2"/>
    <x v="10"/>
    <n v="22"/>
    <n v="-6.1959999999999997"/>
    <x v="18"/>
    <x v="1"/>
    <x v="0"/>
    <n v="6.1959999999999997"/>
  </r>
  <r>
    <n v="705"/>
    <x v="2"/>
    <x v="10"/>
    <n v="26"/>
    <n v="-8"/>
    <x v="0"/>
    <x v="0"/>
    <x v="0"/>
    <n v="8"/>
  </r>
  <r>
    <n v="706"/>
    <x v="2"/>
    <x v="10"/>
    <n v="26"/>
    <n v="421.392"/>
    <x v="4"/>
    <x v="3"/>
    <x v="1"/>
    <n v="421.392"/>
  </r>
  <r>
    <n v="707"/>
    <x v="2"/>
    <x v="10"/>
    <n v="27"/>
    <n v="-32.4"/>
    <x v="14"/>
    <x v="1"/>
    <x v="0"/>
    <n v="32.4"/>
  </r>
  <r>
    <n v="708"/>
    <x v="2"/>
    <x v="10"/>
    <n v="27"/>
    <n v="-12.934000000000001"/>
    <x v="0"/>
    <x v="0"/>
    <x v="0"/>
    <n v="12.934000000000001"/>
  </r>
  <r>
    <n v="709"/>
    <x v="2"/>
    <x v="10"/>
    <n v="30"/>
    <n v="2E-3"/>
    <x v="3"/>
    <x v="2"/>
    <x v="1"/>
    <n v="2E-3"/>
  </r>
  <r>
    <n v="710"/>
    <x v="2"/>
    <x v="10"/>
    <n v="30"/>
    <n v="-1.198"/>
    <x v="2"/>
    <x v="1"/>
    <x v="0"/>
    <n v="1.198"/>
  </r>
  <r>
    <n v="711"/>
    <x v="2"/>
    <x v="10"/>
    <n v="30"/>
    <n v="-0.2"/>
    <x v="2"/>
    <x v="1"/>
    <x v="0"/>
    <n v="0.2"/>
  </r>
  <r>
    <n v="712"/>
    <x v="2"/>
    <x v="10"/>
    <n v="30"/>
    <n v="-2E-3"/>
    <x v="2"/>
    <x v="1"/>
    <x v="0"/>
    <n v="2E-3"/>
  </r>
  <r>
    <n v="713"/>
    <x v="2"/>
    <x v="11"/>
    <n v="1"/>
    <n v="-48.076000000000001"/>
    <x v="13"/>
    <x v="1"/>
    <x v="0"/>
    <n v="48.076000000000001"/>
  </r>
  <r>
    <n v="714"/>
    <x v="2"/>
    <x v="11"/>
    <n v="1"/>
    <n v="-9.7200000000000006"/>
    <x v="19"/>
    <x v="1"/>
    <x v="0"/>
    <n v="9.7200000000000006"/>
  </r>
  <r>
    <n v="715"/>
    <x v="2"/>
    <x v="11"/>
    <n v="1"/>
    <n v="-3.9899999999999998"/>
    <x v="1"/>
    <x v="1"/>
    <x v="0"/>
    <n v="3.9899999999999998"/>
  </r>
  <r>
    <n v="716"/>
    <x v="2"/>
    <x v="11"/>
    <n v="3"/>
    <n v="22.240000000000002"/>
    <x v="3"/>
    <x v="2"/>
    <x v="1"/>
    <n v="22.240000000000002"/>
  </r>
  <r>
    <n v="717"/>
    <x v="2"/>
    <x v="11"/>
    <n v="5"/>
    <n v="-5"/>
    <x v="0"/>
    <x v="0"/>
    <x v="0"/>
    <n v="5"/>
  </r>
  <r>
    <n v="718"/>
    <x v="2"/>
    <x v="11"/>
    <n v="7"/>
    <n v="-6.7439999999999998"/>
    <x v="0"/>
    <x v="0"/>
    <x v="0"/>
    <n v="6.7439999999999998"/>
  </r>
  <r>
    <n v="719"/>
    <x v="2"/>
    <x v="11"/>
    <n v="7"/>
    <n v="-2.8780000000000001"/>
    <x v="0"/>
    <x v="0"/>
    <x v="0"/>
    <n v="2.8780000000000001"/>
  </r>
  <r>
    <n v="720"/>
    <x v="2"/>
    <x v="11"/>
    <n v="10"/>
    <n v="-10.926"/>
    <x v="0"/>
    <x v="0"/>
    <x v="0"/>
    <n v="10.926"/>
  </r>
  <r>
    <n v="721"/>
    <x v="2"/>
    <x v="11"/>
    <n v="10"/>
    <n v="-3.6040000000000001"/>
    <x v="0"/>
    <x v="0"/>
    <x v="0"/>
    <n v="3.6040000000000001"/>
  </r>
  <r>
    <n v="722"/>
    <x v="2"/>
    <x v="11"/>
    <n v="14"/>
    <n v="421.392"/>
    <x v="4"/>
    <x v="3"/>
    <x v="1"/>
    <n v="421.392"/>
  </r>
  <r>
    <n v="723"/>
    <x v="2"/>
    <x v="11"/>
    <n v="15"/>
    <n v="-4"/>
    <x v="0"/>
    <x v="0"/>
    <x v="0"/>
    <n v="4"/>
  </r>
  <r>
    <n v="724"/>
    <x v="2"/>
    <x v="11"/>
    <n v="15"/>
    <n v="-0.8"/>
    <x v="2"/>
    <x v="1"/>
    <x v="0"/>
    <n v="0.8"/>
  </r>
  <r>
    <n v="725"/>
    <x v="2"/>
    <x v="11"/>
    <n v="17"/>
    <n v="-10.606"/>
    <x v="0"/>
    <x v="0"/>
    <x v="0"/>
    <n v="10.606"/>
  </r>
  <r>
    <n v="726"/>
    <x v="2"/>
    <x v="11"/>
    <n v="17"/>
    <n v="-18.148"/>
    <x v="0"/>
    <x v="0"/>
    <x v="0"/>
    <n v="18.148"/>
  </r>
  <r>
    <n v="727"/>
    <x v="2"/>
    <x v="11"/>
    <n v="18"/>
    <n v="-0.39800000000000002"/>
    <x v="2"/>
    <x v="1"/>
    <x v="0"/>
    <n v="0.39800000000000002"/>
  </r>
  <r>
    <n v="728"/>
    <x v="2"/>
    <x v="11"/>
    <n v="19"/>
    <n v="114.06400000000001"/>
    <x v="8"/>
    <x v="3"/>
    <x v="1"/>
    <n v="114.06400000000001"/>
  </r>
  <r>
    <n v="729"/>
    <x v="2"/>
    <x v="11"/>
    <n v="20"/>
    <n v="62.672000000000004"/>
    <x v="9"/>
    <x v="3"/>
    <x v="1"/>
    <n v="62.672000000000004"/>
  </r>
  <r>
    <n v="730"/>
    <x v="2"/>
    <x v="11"/>
    <n v="28"/>
    <n v="-10.7"/>
    <x v="17"/>
    <x v="4"/>
    <x v="0"/>
    <n v="10.7"/>
  </r>
  <r>
    <n v="731"/>
    <x v="2"/>
    <x v="11"/>
    <n v="31"/>
    <n v="2E-3"/>
    <x v="3"/>
    <x v="2"/>
    <x v="1"/>
    <n v="2E-3"/>
  </r>
  <r>
    <n v="732"/>
    <x v="2"/>
    <x v="11"/>
    <n v="31"/>
    <n v="-1.198"/>
    <x v="2"/>
    <x v="1"/>
    <x v="0"/>
    <n v="1.198"/>
  </r>
  <r>
    <n v="733"/>
    <x v="2"/>
    <x v="11"/>
    <n v="31"/>
    <n v="-0.4"/>
    <x v="2"/>
    <x v="1"/>
    <x v="0"/>
    <n v="0.4"/>
  </r>
  <r>
    <n v="734"/>
    <x v="2"/>
    <x v="11"/>
    <n v="31"/>
    <n v="-2E-3"/>
    <x v="2"/>
    <x v="1"/>
    <x v="0"/>
    <n v="2E-3"/>
  </r>
  <r>
    <n v="735"/>
    <x v="3"/>
    <x v="0"/>
    <n v="1"/>
    <n v="-9.7200000000000006"/>
    <x v="19"/>
    <x v="1"/>
    <x v="0"/>
    <n v="9.7200000000000006"/>
  </r>
  <r>
    <n v="736"/>
    <x v="3"/>
    <x v="0"/>
    <n v="1"/>
    <n v="-16.372"/>
    <x v="16"/>
    <x v="1"/>
    <x v="0"/>
    <n v="16.372"/>
  </r>
  <r>
    <n v="737"/>
    <x v="3"/>
    <x v="0"/>
    <n v="1"/>
    <n v="-3.9899999999999998"/>
    <x v="1"/>
    <x v="1"/>
    <x v="0"/>
    <n v="3.9899999999999998"/>
  </r>
  <r>
    <n v="738"/>
    <x v="3"/>
    <x v="0"/>
    <n v="2"/>
    <n v="-57.798000000000002"/>
    <x v="0"/>
    <x v="0"/>
    <x v="0"/>
    <n v="57.798000000000002"/>
  </r>
  <r>
    <n v="739"/>
    <x v="3"/>
    <x v="0"/>
    <n v="2"/>
    <n v="-6.5680000000000005"/>
    <x v="18"/>
    <x v="1"/>
    <x v="0"/>
    <n v="6.5680000000000005"/>
  </r>
  <r>
    <n v="740"/>
    <x v="3"/>
    <x v="0"/>
    <n v="9"/>
    <n v="-14.1"/>
    <x v="7"/>
    <x v="5"/>
    <x v="0"/>
    <n v="14.1"/>
  </r>
  <r>
    <n v="741"/>
    <x v="3"/>
    <x v="0"/>
    <n v="10"/>
    <n v="-2.6"/>
    <x v="0"/>
    <x v="0"/>
    <x v="0"/>
    <n v="2.6"/>
  </r>
  <r>
    <n v="742"/>
    <x v="3"/>
    <x v="0"/>
    <n v="15"/>
    <n v="-0.8"/>
    <x v="2"/>
    <x v="1"/>
    <x v="0"/>
    <n v="0.8"/>
  </r>
  <r>
    <n v="743"/>
    <x v="3"/>
    <x v="0"/>
    <n v="15"/>
    <n v="-0.39800000000000002"/>
    <x v="2"/>
    <x v="1"/>
    <x v="0"/>
    <n v="0.39800000000000002"/>
  </r>
  <r>
    <n v="744"/>
    <x v="3"/>
    <x v="0"/>
    <n v="18"/>
    <n v="-3.63"/>
    <x v="0"/>
    <x v="0"/>
    <x v="0"/>
    <n v="3.63"/>
  </r>
  <r>
    <n v="745"/>
    <x v="3"/>
    <x v="0"/>
    <n v="23"/>
    <n v="-16.2"/>
    <x v="14"/>
    <x v="1"/>
    <x v="0"/>
    <n v="16.2"/>
  </r>
  <r>
    <n v="746"/>
    <x v="3"/>
    <x v="0"/>
    <n v="24"/>
    <n v="-4.7840000000000007"/>
    <x v="0"/>
    <x v="0"/>
    <x v="0"/>
    <n v="4.7840000000000007"/>
  </r>
  <r>
    <n v="747"/>
    <x v="3"/>
    <x v="0"/>
    <n v="25"/>
    <n v="421.392"/>
    <x v="4"/>
    <x v="3"/>
    <x v="1"/>
    <n v="421.392"/>
  </r>
  <r>
    <n v="748"/>
    <x v="3"/>
    <x v="0"/>
    <n v="25"/>
    <n v="-2.5920000000000001"/>
    <x v="0"/>
    <x v="0"/>
    <x v="0"/>
    <n v="2.5920000000000001"/>
  </r>
  <r>
    <n v="749"/>
    <x v="3"/>
    <x v="0"/>
    <n v="28"/>
    <n v="-3.4619999999999997"/>
    <x v="0"/>
    <x v="0"/>
    <x v="0"/>
    <n v="3.4619999999999997"/>
  </r>
  <r>
    <n v="750"/>
    <x v="3"/>
    <x v="0"/>
    <n v="31"/>
    <n v="2E-3"/>
    <x v="3"/>
    <x v="2"/>
    <x v="1"/>
    <n v="2E-3"/>
  </r>
  <r>
    <n v="751"/>
    <x v="3"/>
    <x v="0"/>
    <n v="31"/>
    <n v="-1.198"/>
    <x v="2"/>
    <x v="1"/>
    <x v="0"/>
    <n v="1.198"/>
  </r>
  <r>
    <n v="752"/>
    <x v="3"/>
    <x v="0"/>
    <n v="31"/>
    <n v="-0.3"/>
    <x v="2"/>
    <x v="1"/>
    <x v="0"/>
    <n v="0.3"/>
  </r>
  <r>
    <n v="753"/>
    <x v="3"/>
    <x v="0"/>
    <n v="31"/>
    <n v="-2E-3"/>
    <x v="2"/>
    <x v="1"/>
    <x v="0"/>
    <n v="2E-3"/>
  </r>
  <r>
    <n v="754"/>
    <x v="3"/>
    <x v="1"/>
    <n v="1"/>
    <n v="-6.0619999999999994"/>
    <x v="0"/>
    <x v="0"/>
    <x v="0"/>
    <n v="6.0619999999999994"/>
  </r>
  <r>
    <n v="755"/>
    <x v="3"/>
    <x v="1"/>
    <n v="2"/>
    <n v="-5.2759999999999998"/>
    <x v="13"/>
    <x v="1"/>
    <x v="0"/>
    <n v="5.2759999999999998"/>
  </r>
  <r>
    <n v="756"/>
    <x v="3"/>
    <x v="1"/>
    <n v="2"/>
    <n v="-9.7200000000000006"/>
    <x v="19"/>
    <x v="1"/>
    <x v="0"/>
    <n v="9.7200000000000006"/>
  </r>
  <r>
    <n v="757"/>
    <x v="3"/>
    <x v="1"/>
    <n v="2"/>
    <n v="-3.9899999999999998"/>
    <x v="1"/>
    <x v="1"/>
    <x v="0"/>
    <n v="3.9899999999999998"/>
  </r>
  <r>
    <n v="758"/>
    <x v="3"/>
    <x v="1"/>
    <n v="5"/>
    <n v="413.23999999999995"/>
    <x v="5"/>
    <x v="3"/>
    <x v="1"/>
    <n v="413.23999999999995"/>
  </r>
  <r>
    <n v="759"/>
    <x v="3"/>
    <x v="1"/>
    <n v="6"/>
    <n v="20.6"/>
    <x v="9"/>
    <x v="3"/>
    <x v="1"/>
    <n v="20.6"/>
  </r>
  <r>
    <n v="760"/>
    <x v="3"/>
    <x v="1"/>
    <n v="7"/>
    <n v="-6.806"/>
    <x v="0"/>
    <x v="0"/>
    <x v="0"/>
    <n v="6.806"/>
  </r>
  <r>
    <n v="761"/>
    <x v="3"/>
    <x v="1"/>
    <n v="13"/>
    <n v="-5.9060000000000006"/>
    <x v="0"/>
    <x v="0"/>
    <x v="0"/>
    <n v="5.9060000000000006"/>
  </r>
  <r>
    <n v="762"/>
    <x v="3"/>
    <x v="1"/>
    <n v="14"/>
    <n v="-1.98"/>
    <x v="0"/>
    <x v="0"/>
    <x v="0"/>
    <n v="1.98"/>
  </r>
  <r>
    <n v="763"/>
    <x v="3"/>
    <x v="1"/>
    <n v="15"/>
    <n v="-0.8"/>
    <x v="2"/>
    <x v="1"/>
    <x v="0"/>
    <n v="0.8"/>
  </r>
  <r>
    <n v="764"/>
    <x v="3"/>
    <x v="1"/>
    <n v="16"/>
    <n v="-7.8"/>
    <x v="20"/>
    <x v="1"/>
    <x v="0"/>
    <n v="7.8"/>
  </r>
  <r>
    <n v="765"/>
    <x v="3"/>
    <x v="1"/>
    <n v="18"/>
    <n v="-16.2"/>
    <x v="14"/>
    <x v="1"/>
    <x v="0"/>
    <n v="16.2"/>
  </r>
  <r>
    <n v="766"/>
    <x v="3"/>
    <x v="1"/>
    <n v="18"/>
    <n v="-31.268000000000001"/>
    <x v="0"/>
    <x v="0"/>
    <x v="0"/>
    <n v="31.268000000000001"/>
  </r>
  <r>
    <n v="767"/>
    <x v="3"/>
    <x v="1"/>
    <n v="19"/>
    <n v="-0.39800000000000002"/>
    <x v="2"/>
    <x v="1"/>
    <x v="0"/>
    <n v="0.39800000000000002"/>
  </r>
  <r>
    <n v="768"/>
    <x v="3"/>
    <x v="1"/>
    <n v="19"/>
    <n v="-10.040000000000001"/>
    <x v="0"/>
    <x v="0"/>
    <x v="0"/>
    <n v="10.040000000000001"/>
  </r>
  <r>
    <n v="769"/>
    <x v="3"/>
    <x v="1"/>
    <n v="19"/>
    <n v="-8.4060000000000006"/>
    <x v="0"/>
    <x v="0"/>
    <x v="0"/>
    <n v="8.4060000000000006"/>
  </r>
  <r>
    <n v="770"/>
    <x v="3"/>
    <x v="1"/>
    <n v="26"/>
    <n v="421.392"/>
    <x v="4"/>
    <x v="3"/>
    <x v="1"/>
    <n v="421.392"/>
  </r>
  <r>
    <n v="771"/>
    <x v="3"/>
    <x v="1"/>
    <n v="26"/>
    <n v="-23.07"/>
    <x v="0"/>
    <x v="0"/>
    <x v="0"/>
    <n v="23.07"/>
  </r>
  <r>
    <n v="772"/>
    <x v="3"/>
    <x v="1"/>
    <n v="28"/>
    <n v="2E-3"/>
    <x v="3"/>
    <x v="2"/>
    <x v="1"/>
    <n v="2E-3"/>
  </r>
  <r>
    <n v="773"/>
    <x v="3"/>
    <x v="1"/>
    <n v="28"/>
    <n v="-1.198"/>
    <x v="2"/>
    <x v="1"/>
    <x v="0"/>
    <n v="1.198"/>
  </r>
  <r>
    <n v="774"/>
    <x v="3"/>
    <x v="1"/>
    <n v="28"/>
    <n v="-0.6"/>
    <x v="2"/>
    <x v="1"/>
    <x v="0"/>
    <n v="0.6"/>
  </r>
  <r>
    <n v="775"/>
    <x v="3"/>
    <x v="1"/>
    <n v="28"/>
    <n v="-2E-3"/>
    <x v="2"/>
    <x v="1"/>
    <x v="0"/>
    <n v="2E-3"/>
  </r>
  <r>
    <n v="776"/>
    <x v="3"/>
    <x v="2"/>
    <n v="1"/>
    <n v="-52.152000000000001"/>
    <x v="13"/>
    <x v="1"/>
    <x v="0"/>
    <n v="52.152000000000001"/>
  </r>
  <r>
    <n v="777"/>
    <x v="3"/>
    <x v="2"/>
    <n v="1"/>
    <n v="-9.7200000000000006"/>
    <x v="19"/>
    <x v="1"/>
    <x v="0"/>
    <n v="9.7200000000000006"/>
  </r>
  <r>
    <n v="778"/>
    <x v="3"/>
    <x v="2"/>
    <n v="1"/>
    <n v="-24.16"/>
    <x v="16"/>
    <x v="1"/>
    <x v="0"/>
    <n v="24.16"/>
  </r>
  <r>
    <n v="779"/>
    <x v="3"/>
    <x v="2"/>
    <n v="1"/>
    <n v="-3.9899999999999998"/>
    <x v="1"/>
    <x v="1"/>
    <x v="0"/>
    <n v="3.9899999999999998"/>
  </r>
  <r>
    <n v="780"/>
    <x v="3"/>
    <x v="2"/>
    <n v="2"/>
    <n v="-6.5680000000000005"/>
    <x v="18"/>
    <x v="1"/>
    <x v="0"/>
    <n v="6.5680000000000005"/>
  </r>
  <r>
    <n v="781"/>
    <x v="3"/>
    <x v="2"/>
    <n v="4"/>
    <n v="-4.01"/>
    <x v="0"/>
    <x v="0"/>
    <x v="0"/>
    <n v="4.01"/>
  </r>
  <r>
    <n v="782"/>
    <x v="3"/>
    <x v="2"/>
    <n v="8"/>
    <n v="-4.9539999999999997"/>
    <x v="0"/>
    <x v="0"/>
    <x v="0"/>
    <n v="4.9539999999999997"/>
  </r>
  <r>
    <n v="783"/>
    <x v="3"/>
    <x v="2"/>
    <n v="8"/>
    <n v="-5.6020000000000003"/>
    <x v="0"/>
    <x v="0"/>
    <x v="0"/>
    <n v="5.6020000000000003"/>
  </r>
  <r>
    <n v="784"/>
    <x v="3"/>
    <x v="2"/>
    <n v="10"/>
    <n v="7.1959999999999997"/>
    <x v="3"/>
    <x v="2"/>
    <x v="1"/>
    <n v="7.1959999999999997"/>
  </r>
  <r>
    <n v="785"/>
    <x v="3"/>
    <x v="2"/>
    <n v="11"/>
    <n v="-1.1960000000000002"/>
    <x v="0"/>
    <x v="0"/>
    <x v="0"/>
    <n v="1.1960000000000002"/>
  </r>
  <r>
    <n v="786"/>
    <x v="3"/>
    <x v="2"/>
    <n v="12"/>
    <n v="-5.6779999999999999"/>
    <x v="0"/>
    <x v="0"/>
    <x v="0"/>
    <n v="5.6779999999999999"/>
  </r>
  <r>
    <n v="787"/>
    <x v="3"/>
    <x v="2"/>
    <n v="14"/>
    <n v="-16.2"/>
    <x v="14"/>
    <x v="1"/>
    <x v="0"/>
    <n v="16.2"/>
  </r>
  <r>
    <n v="788"/>
    <x v="3"/>
    <x v="2"/>
    <n v="15"/>
    <n v="-0.8"/>
    <x v="2"/>
    <x v="1"/>
    <x v="0"/>
    <n v="0.8"/>
  </r>
  <r>
    <n v="789"/>
    <x v="3"/>
    <x v="2"/>
    <n v="19"/>
    <n v="-0.39800000000000002"/>
    <x v="2"/>
    <x v="1"/>
    <x v="0"/>
    <n v="0.39800000000000002"/>
  </r>
  <r>
    <n v="790"/>
    <x v="3"/>
    <x v="2"/>
    <n v="22"/>
    <n v="-2.456"/>
    <x v="0"/>
    <x v="0"/>
    <x v="0"/>
    <n v="2.456"/>
  </r>
  <r>
    <n v="791"/>
    <x v="3"/>
    <x v="2"/>
    <n v="25"/>
    <n v="421.392"/>
    <x v="4"/>
    <x v="3"/>
    <x v="1"/>
    <n v="421.392"/>
  </r>
  <r>
    <n v="792"/>
    <x v="3"/>
    <x v="2"/>
    <n v="28"/>
    <n v="-43.8"/>
    <x v="0"/>
    <x v="0"/>
    <x v="0"/>
    <n v="43.8"/>
  </r>
  <r>
    <n v="793"/>
    <x v="3"/>
    <x v="2"/>
    <n v="28"/>
    <n v="-16.2"/>
    <x v="14"/>
    <x v="1"/>
    <x v="0"/>
    <n v="16.2"/>
  </r>
  <r>
    <n v="794"/>
    <x v="3"/>
    <x v="2"/>
    <n v="31"/>
    <n v="4.0000000000000001E-3"/>
    <x v="3"/>
    <x v="2"/>
    <x v="1"/>
    <n v="4.0000000000000001E-3"/>
  </r>
  <r>
    <n v="795"/>
    <x v="3"/>
    <x v="2"/>
    <n v="31"/>
    <n v="-1.198"/>
    <x v="2"/>
    <x v="1"/>
    <x v="0"/>
    <n v="1.198"/>
  </r>
  <r>
    <n v="796"/>
    <x v="3"/>
    <x v="2"/>
    <n v="31"/>
    <n v="-0.4"/>
    <x v="2"/>
    <x v="1"/>
    <x v="0"/>
    <n v="0.4"/>
  </r>
  <r>
    <n v="797"/>
    <x v="3"/>
    <x v="2"/>
    <n v="31"/>
    <n v="-2E-3"/>
    <x v="2"/>
    <x v="1"/>
    <x v="0"/>
    <n v="2E-3"/>
  </r>
  <r>
    <n v="798"/>
    <x v="3"/>
    <x v="3"/>
    <n v="5"/>
    <n v="-5.3140000000000001"/>
    <x v="0"/>
    <x v="0"/>
    <x v="0"/>
    <n v="5.3140000000000001"/>
  </r>
  <r>
    <n v="799"/>
    <x v="3"/>
    <x v="3"/>
    <n v="6"/>
    <n v="-52.152000000000001"/>
    <x v="13"/>
    <x v="1"/>
    <x v="0"/>
    <n v="52.152000000000001"/>
  </r>
  <r>
    <n v="800"/>
    <x v="3"/>
    <x v="3"/>
    <n v="6"/>
    <n v="-9.7200000000000006"/>
    <x v="19"/>
    <x v="1"/>
    <x v="0"/>
    <n v="9.7200000000000006"/>
  </r>
  <r>
    <n v="801"/>
    <x v="3"/>
    <x v="3"/>
    <n v="6"/>
    <n v="-3.9899999999999998"/>
    <x v="1"/>
    <x v="1"/>
    <x v="0"/>
    <n v="3.9899999999999998"/>
  </r>
  <r>
    <n v="802"/>
    <x v="3"/>
    <x v="3"/>
    <n v="8"/>
    <n v="-14.268000000000001"/>
    <x v="0"/>
    <x v="0"/>
    <x v="0"/>
    <n v="14.268000000000001"/>
  </r>
  <r>
    <n v="803"/>
    <x v="3"/>
    <x v="3"/>
    <n v="9"/>
    <n v="-9.0120000000000005"/>
    <x v="0"/>
    <x v="0"/>
    <x v="0"/>
    <n v="9.0120000000000005"/>
  </r>
  <r>
    <n v="804"/>
    <x v="3"/>
    <x v="3"/>
    <n v="12"/>
    <n v="-3.8759999999999999"/>
    <x v="0"/>
    <x v="0"/>
    <x v="0"/>
    <n v="3.8759999999999999"/>
  </r>
  <r>
    <n v="805"/>
    <x v="3"/>
    <x v="3"/>
    <n v="15"/>
    <n v="-0.8"/>
    <x v="2"/>
    <x v="1"/>
    <x v="0"/>
    <n v="0.8"/>
  </r>
  <r>
    <n v="806"/>
    <x v="3"/>
    <x v="3"/>
    <n v="15"/>
    <n v="-3.8520000000000003"/>
    <x v="0"/>
    <x v="0"/>
    <x v="0"/>
    <n v="3.8520000000000003"/>
  </r>
  <r>
    <n v="807"/>
    <x v="3"/>
    <x v="3"/>
    <n v="16"/>
    <n v="-0.39800000000000002"/>
    <x v="2"/>
    <x v="1"/>
    <x v="0"/>
    <n v="0.39800000000000002"/>
  </r>
  <r>
    <n v="808"/>
    <x v="3"/>
    <x v="3"/>
    <n v="19"/>
    <n v="-4.1440000000000001"/>
    <x v="0"/>
    <x v="0"/>
    <x v="0"/>
    <n v="4.1440000000000001"/>
  </r>
  <r>
    <n v="809"/>
    <x v="3"/>
    <x v="3"/>
    <n v="24"/>
    <n v="-15.8"/>
    <x v="0"/>
    <x v="0"/>
    <x v="0"/>
    <n v="15.8"/>
  </r>
  <r>
    <n v="810"/>
    <x v="3"/>
    <x v="3"/>
    <n v="24"/>
    <n v="-7.9060000000000006"/>
    <x v="0"/>
    <x v="0"/>
    <x v="0"/>
    <n v="7.9060000000000006"/>
  </r>
  <r>
    <n v="811"/>
    <x v="3"/>
    <x v="3"/>
    <n v="25"/>
    <n v="421.392"/>
    <x v="4"/>
    <x v="3"/>
    <x v="1"/>
    <n v="421.392"/>
  </r>
  <r>
    <n v="812"/>
    <x v="3"/>
    <x v="3"/>
    <n v="29"/>
    <n v="-8.0359999999999996"/>
    <x v="0"/>
    <x v="0"/>
    <x v="0"/>
    <n v="8.0359999999999996"/>
  </r>
  <r>
    <n v="813"/>
    <x v="3"/>
    <x v="3"/>
    <n v="30"/>
    <n v="4.0000000000000001E-3"/>
    <x v="3"/>
    <x v="2"/>
    <x v="1"/>
    <n v="4.0000000000000001E-3"/>
  </r>
  <r>
    <n v="814"/>
    <x v="3"/>
    <x v="3"/>
    <n v="30"/>
    <n v="-1.198"/>
    <x v="2"/>
    <x v="1"/>
    <x v="0"/>
    <n v="1.198"/>
  </r>
  <r>
    <n v="815"/>
    <x v="3"/>
    <x v="3"/>
    <n v="30"/>
    <n v="-0.3"/>
    <x v="2"/>
    <x v="1"/>
    <x v="0"/>
    <n v="0.3"/>
  </r>
  <r>
    <n v="816"/>
    <x v="3"/>
    <x v="3"/>
    <n v="30"/>
    <n v="-2E-3"/>
    <x v="2"/>
    <x v="1"/>
    <x v="0"/>
    <n v="2E-3"/>
  </r>
  <r>
    <n v="817"/>
    <x v="3"/>
    <x v="4"/>
    <n v="1"/>
    <n v="-52.152000000000001"/>
    <x v="13"/>
    <x v="1"/>
    <x v="0"/>
    <n v="52.152000000000001"/>
  </r>
  <r>
    <n v="818"/>
    <x v="3"/>
    <x v="4"/>
    <n v="1"/>
    <n v="-9.7200000000000006"/>
    <x v="19"/>
    <x v="1"/>
    <x v="0"/>
    <n v="9.7200000000000006"/>
  </r>
  <r>
    <n v="819"/>
    <x v="3"/>
    <x v="4"/>
    <n v="1"/>
    <n v="-14.040000000000001"/>
    <x v="16"/>
    <x v="1"/>
    <x v="0"/>
    <n v="14.040000000000001"/>
  </r>
  <r>
    <n v="820"/>
    <x v="3"/>
    <x v="4"/>
    <n v="1"/>
    <n v="-3.9899999999999998"/>
    <x v="1"/>
    <x v="1"/>
    <x v="0"/>
    <n v="3.9899999999999998"/>
  </r>
  <r>
    <n v="821"/>
    <x v="3"/>
    <x v="4"/>
    <n v="1"/>
    <n v="-39.58"/>
    <x v="17"/>
    <x v="4"/>
    <x v="0"/>
    <n v="39.58"/>
  </r>
  <r>
    <n v="822"/>
    <x v="3"/>
    <x v="4"/>
    <n v="2"/>
    <n v="-46.4"/>
    <x v="12"/>
    <x v="1"/>
    <x v="0"/>
    <n v="46.4"/>
  </r>
  <r>
    <n v="823"/>
    <x v="3"/>
    <x v="4"/>
    <n v="10"/>
    <n v="72.465999999999994"/>
    <x v="8"/>
    <x v="3"/>
    <x v="1"/>
    <n v="72.465999999999994"/>
  </r>
  <r>
    <n v="824"/>
    <x v="3"/>
    <x v="4"/>
    <n v="10"/>
    <n v="-32.799999999999997"/>
    <x v="11"/>
    <x v="1"/>
    <x v="0"/>
    <n v="32.799999999999997"/>
  </r>
  <r>
    <n v="825"/>
    <x v="3"/>
    <x v="4"/>
    <n v="10"/>
    <n v="-10.098000000000001"/>
    <x v="0"/>
    <x v="0"/>
    <x v="0"/>
    <n v="10.098000000000001"/>
  </r>
  <r>
    <n v="826"/>
    <x v="3"/>
    <x v="4"/>
    <n v="13"/>
    <n v="-4.7219999999999995"/>
    <x v="0"/>
    <x v="0"/>
    <x v="0"/>
    <n v="4.7219999999999995"/>
  </r>
  <r>
    <n v="827"/>
    <x v="3"/>
    <x v="4"/>
    <n v="14"/>
    <n v="-0.39800000000000002"/>
    <x v="2"/>
    <x v="1"/>
    <x v="0"/>
    <n v="0.39800000000000002"/>
  </r>
  <r>
    <n v="828"/>
    <x v="3"/>
    <x v="4"/>
    <n v="14"/>
    <n v="-31.03"/>
    <x v="0"/>
    <x v="0"/>
    <x v="0"/>
    <n v="31.03"/>
  </r>
  <r>
    <n v="829"/>
    <x v="3"/>
    <x v="4"/>
    <n v="15"/>
    <n v="-0.8"/>
    <x v="2"/>
    <x v="1"/>
    <x v="0"/>
    <n v="0.8"/>
  </r>
  <r>
    <n v="830"/>
    <x v="3"/>
    <x v="4"/>
    <n v="15"/>
    <n v="-27.463999999999999"/>
    <x v="7"/>
    <x v="5"/>
    <x v="0"/>
    <n v="27.463999999999999"/>
  </r>
  <r>
    <n v="831"/>
    <x v="3"/>
    <x v="4"/>
    <n v="21"/>
    <n v="-5.8819999999999997"/>
    <x v="0"/>
    <x v="0"/>
    <x v="0"/>
    <n v="5.8819999999999997"/>
  </r>
  <r>
    <n v="832"/>
    <x v="3"/>
    <x v="4"/>
    <n v="21"/>
    <n v="-9.57"/>
    <x v="0"/>
    <x v="0"/>
    <x v="0"/>
    <n v="9.57"/>
  </r>
  <r>
    <n v="833"/>
    <x v="3"/>
    <x v="4"/>
    <n v="22"/>
    <n v="-4.7799999999999994"/>
    <x v="0"/>
    <x v="0"/>
    <x v="0"/>
    <n v="4.7799999999999994"/>
  </r>
  <r>
    <n v="834"/>
    <x v="3"/>
    <x v="4"/>
    <n v="23"/>
    <n v="-2.9859999999999998"/>
    <x v="0"/>
    <x v="0"/>
    <x v="0"/>
    <n v="2.9859999999999998"/>
  </r>
  <r>
    <n v="835"/>
    <x v="3"/>
    <x v="4"/>
    <n v="27"/>
    <n v="-16.2"/>
    <x v="14"/>
    <x v="1"/>
    <x v="0"/>
    <n v="16.2"/>
  </r>
  <r>
    <n v="836"/>
    <x v="3"/>
    <x v="4"/>
    <n v="27"/>
    <n v="-13.8"/>
    <x v="0"/>
    <x v="0"/>
    <x v="0"/>
    <n v="13.8"/>
  </r>
  <r>
    <n v="837"/>
    <x v="3"/>
    <x v="4"/>
    <n v="27"/>
    <n v="421.392"/>
    <x v="4"/>
    <x v="3"/>
    <x v="1"/>
    <n v="421.392"/>
  </r>
  <r>
    <n v="838"/>
    <x v="3"/>
    <x v="4"/>
    <n v="27"/>
    <n v="-3.5979999999999999"/>
    <x v="0"/>
    <x v="0"/>
    <x v="0"/>
    <n v="3.5979999999999999"/>
  </r>
  <r>
    <n v="839"/>
    <x v="3"/>
    <x v="4"/>
    <n v="28"/>
    <n v="-6.3579999999999997"/>
    <x v="18"/>
    <x v="1"/>
    <x v="0"/>
    <n v="6.3579999999999997"/>
  </r>
  <r>
    <n v="840"/>
    <x v="3"/>
    <x v="4"/>
    <n v="31"/>
    <n v="4.0000000000000001E-3"/>
    <x v="3"/>
    <x v="2"/>
    <x v="1"/>
    <n v="4.0000000000000001E-3"/>
  </r>
  <r>
    <n v="841"/>
    <x v="3"/>
    <x v="4"/>
    <n v="31"/>
    <n v="-1.198"/>
    <x v="2"/>
    <x v="1"/>
    <x v="0"/>
    <n v="1.198"/>
  </r>
  <r>
    <n v="842"/>
    <x v="3"/>
    <x v="4"/>
    <n v="31"/>
    <n v="-0.6"/>
    <x v="2"/>
    <x v="1"/>
    <x v="0"/>
    <n v="0.6"/>
  </r>
  <r>
    <n v="843"/>
    <x v="3"/>
    <x v="4"/>
    <n v="31"/>
    <n v="-2E-3"/>
    <x v="2"/>
    <x v="1"/>
    <x v="0"/>
    <n v="2E-3"/>
  </r>
  <r>
    <n v="844"/>
    <x v="3"/>
    <x v="5"/>
    <n v="1"/>
    <n v="-28.93"/>
    <x v="17"/>
    <x v="4"/>
    <x v="0"/>
    <n v="28.93"/>
  </r>
  <r>
    <n v="845"/>
    <x v="3"/>
    <x v="5"/>
    <n v="1"/>
    <n v="-52.152000000000001"/>
    <x v="13"/>
    <x v="1"/>
    <x v="0"/>
    <n v="52.152000000000001"/>
  </r>
  <r>
    <n v="846"/>
    <x v="3"/>
    <x v="5"/>
    <n v="1"/>
    <n v="-9.7200000000000006"/>
    <x v="19"/>
    <x v="1"/>
    <x v="0"/>
    <n v="9.7200000000000006"/>
  </r>
  <r>
    <n v="847"/>
    <x v="3"/>
    <x v="5"/>
    <n v="1"/>
    <n v="-9.379999999999999"/>
    <x v="0"/>
    <x v="0"/>
    <x v="0"/>
    <n v="9.379999999999999"/>
  </r>
  <r>
    <n v="848"/>
    <x v="3"/>
    <x v="5"/>
    <n v="5"/>
    <n v="-3.7439999999999998"/>
    <x v="0"/>
    <x v="0"/>
    <x v="0"/>
    <n v="3.7439999999999998"/>
  </r>
  <r>
    <n v="849"/>
    <x v="3"/>
    <x v="5"/>
    <n v="7"/>
    <n v="-5.8079999999999998"/>
    <x v="1"/>
    <x v="1"/>
    <x v="0"/>
    <n v="5.8079999999999998"/>
  </r>
  <r>
    <n v="850"/>
    <x v="3"/>
    <x v="5"/>
    <n v="8"/>
    <n v="-35.792000000000002"/>
    <x v="17"/>
    <x v="4"/>
    <x v="0"/>
    <n v="35.792000000000002"/>
  </r>
  <r>
    <n v="851"/>
    <x v="3"/>
    <x v="5"/>
    <n v="8"/>
    <n v="-60.664000000000001"/>
    <x v="17"/>
    <x v="4"/>
    <x v="0"/>
    <n v="60.664000000000001"/>
  </r>
  <r>
    <n v="852"/>
    <x v="3"/>
    <x v="5"/>
    <n v="11"/>
    <n v="-16.2"/>
    <x v="14"/>
    <x v="1"/>
    <x v="0"/>
    <n v="16.2"/>
  </r>
  <r>
    <n v="853"/>
    <x v="3"/>
    <x v="5"/>
    <n v="11"/>
    <n v="-0.39800000000000002"/>
    <x v="2"/>
    <x v="1"/>
    <x v="0"/>
    <n v="0.39800000000000002"/>
  </r>
  <r>
    <n v="854"/>
    <x v="3"/>
    <x v="5"/>
    <n v="15"/>
    <n v="-16.622"/>
    <x v="17"/>
    <x v="4"/>
    <x v="0"/>
    <n v="16.622"/>
  </r>
  <r>
    <n v="855"/>
    <x v="3"/>
    <x v="5"/>
    <n v="15"/>
    <n v="-0.8"/>
    <x v="2"/>
    <x v="1"/>
    <x v="0"/>
    <n v="0.8"/>
  </r>
  <r>
    <n v="856"/>
    <x v="3"/>
    <x v="5"/>
    <n v="16"/>
    <n v="-5.1760000000000002"/>
    <x v="0"/>
    <x v="0"/>
    <x v="0"/>
    <n v="5.1760000000000002"/>
  </r>
  <r>
    <n v="857"/>
    <x v="3"/>
    <x v="5"/>
    <n v="19"/>
    <n v="-16.8"/>
    <x v="15"/>
    <x v="4"/>
    <x v="0"/>
    <n v="16.8"/>
  </r>
  <r>
    <n v="858"/>
    <x v="3"/>
    <x v="5"/>
    <n v="25"/>
    <n v="421.392"/>
    <x v="4"/>
    <x v="3"/>
    <x v="1"/>
    <n v="421.392"/>
  </r>
  <r>
    <n v="859"/>
    <x v="3"/>
    <x v="5"/>
    <n v="26"/>
    <n v="-19.731999999999999"/>
    <x v="0"/>
    <x v="0"/>
    <x v="0"/>
    <n v="19.731999999999999"/>
  </r>
  <r>
    <n v="860"/>
    <x v="3"/>
    <x v="5"/>
    <n v="28"/>
    <n v="-9.9540000000000006"/>
    <x v="0"/>
    <x v="0"/>
    <x v="0"/>
    <n v="9.9540000000000006"/>
  </r>
  <r>
    <n v="861"/>
    <x v="3"/>
    <x v="5"/>
    <n v="29"/>
    <n v="-39.091999999999999"/>
    <x v="7"/>
    <x v="5"/>
    <x v="0"/>
    <n v="39.091999999999999"/>
  </r>
  <r>
    <n v="862"/>
    <x v="3"/>
    <x v="5"/>
    <n v="30"/>
    <n v="4.0000000000000001E-3"/>
    <x v="3"/>
    <x v="2"/>
    <x v="1"/>
    <n v="4.0000000000000001E-3"/>
  </r>
  <r>
    <n v="863"/>
    <x v="3"/>
    <x v="5"/>
    <n v="30"/>
    <n v="-1.198"/>
    <x v="2"/>
    <x v="1"/>
    <x v="0"/>
    <n v="1.198"/>
  </r>
  <r>
    <n v="864"/>
    <x v="3"/>
    <x v="5"/>
    <n v="30"/>
    <n v="-0.8"/>
    <x v="2"/>
    <x v="1"/>
    <x v="0"/>
    <n v="0.8"/>
  </r>
  <r>
    <n v="865"/>
    <x v="3"/>
    <x v="5"/>
    <n v="30"/>
    <n v="-2E-3"/>
    <x v="2"/>
    <x v="1"/>
    <x v="0"/>
    <n v="2E-3"/>
  </r>
  <r>
    <n v="866"/>
    <x v="3"/>
    <x v="6"/>
    <n v="1"/>
    <n v="-6.806"/>
    <x v="1"/>
    <x v="1"/>
    <x v="0"/>
    <n v="6.806"/>
  </r>
  <r>
    <n v="867"/>
    <x v="3"/>
    <x v="6"/>
    <n v="1"/>
    <n v="-52.152000000000001"/>
    <x v="13"/>
    <x v="1"/>
    <x v="0"/>
    <n v="52.152000000000001"/>
  </r>
  <r>
    <n v="868"/>
    <x v="3"/>
    <x v="6"/>
    <n v="1"/>
    <n v="-7.0980000000000008"/>
    <x v="18"/>
    <x v="1"/>
    <x v="0"/>
    <n v="7.0980000000000008"/>
  </r>
  <r>
    <n v="869"/>
    <x v="3"/>
    <x v="6"/>
    <n v="1"/>
    <n v="-9.7200000000000006"/>
    <x v="19"/>
    <x v="1"/>
    <x v="0"/>
    <n v="9.7200000000000006"/>
  </r>
  <r>
    <n v="870"/>
    <x v="3"/>
    <x v="6"/>
    <n v="1"/>
    <n v="-46.8"/>
    <x v="7"/>
    <x v="5"/>
    <x v="0"/>
    <n v="46.8"/>
  </r>
  <r>
    <n v="871"/>
    <x v="3"/>
    <x v="6"/>
    <n v="1"/>
    <n v="-17.137999999999998"/>
    <x v="16"/>
    <x v="1"/>
    <x v="0"/>
    <n v="17.137999999999998"/>
  </r>
  <r>
    <n v="872"/>
    <x v="3"/>
    <x v="6"/>
    <n v="4"/>
    <n v="-97.2"/>
    <x v="14"/>
    <x v="1"/>
    <x v="0"/>
    <n v="97.2"/>
  </r>
  <r>
    <n v="873"/>
    <x v="3"/>
    <x v="6"/>
    <n v="5"/>
    <n v="-14.386000000000001"/>
    <x v="0"/>
    <x v="0"/>
    <x v="0"/>
    <n v="14.386000000000001"/>
  </r>
  <r>
    <n v="874"/>
    <x v="3"/>
    <x v="6"/>
    <n v="10"/>
    <n v="37"/>
    <x v="9"/>
    <x v="3"/>
    <x v="1"/>
    <n v="37"/>
  </r>
  <r>
    <n v="875"/>
    <x v="3"/>
    <x v="6"/>
    <n v="12"/>
    <n v="-2.4379999999999997"/>
    <x v="0"/>
    <x v="0"/>
    <x v="0"/>
    <n v="2.4379999999999997"/>
  </r>
  <r>
    <n v="876"/>
    <x v="3"/>
    <x v="6"/>
    <n v="12"/>
    <n v="-1.8719999999999999"/>
    <x v="0"/>
    <x v="0"/>
    <x v="0"/>
    <n v="1.8719999999999999"/>
  </r>
  <r>
    <n v="877"/>
    <x v="3"/>
    <x v="6"/>
    <n v="13"/>
    <n v="-3.9799999999999995"/>
    <x v="0"/>
    <x v="0"/>
    <x v="0"/>
    <n v="3.9799999999999995"/>
  </r>
  <r>
    <n v="878"/>
    <x v="3"/>
    <x v="6"/>
    <n v="14"/>
    <n v="-6"/>
    <x v="0"/>
    <x v="0"/>
    <x v="0"/>
    <n v="6"/>
  </r>
  <r>
    <n v="879"/>
    <x v="3"/>
    <x v="6"/>
    <n v="15"/>
    <n v="-39.799999999999997"/>
    <x v="6"/>
    <x v="4"/>
    <x v="0"/>
    <n v="39.799999999999997"/>
  </r>
  <r>
    <n v="880"/>
    <x v="3"/>
    <x v="6"/>
    <n v="15"/>
    <n v="-0.8"/>
    <x v="2"/>
    <x v="1"/>
    <x v="0"/>
    <n v="0.8"/>
  </r>
  <r>
    <n v="881"/>
    <x v="3"/>
    <x v="6"/>
    <n v="18"/>
    <n v="-0.39800000000000002"/>
    <x v="2"/>
    <x v="1"/>
    <x v="0"/>
    <n v="0.39800000000000002"/>
  </r>
  <r>
    <n v="882"/>
    <x v="3"/>
    <x v="6"/>
    <n v="19"/>
    <n v="-9.6720000000000006"/>
    <x v="0"/>
    <x v="0"/>
    <x v="0"/>
    <n v="9.6720000000000006"/>
  </r>
  <r>
    <n v="883"/>
    <x v="3"/>
    <x v="6"/>
    <n v="23"/>
    <n v="-10"/>
    <x v="0"/>
    <x v="0"/>
    <x v="0"/>
    <n v="10"/>
  </r>
  <r>
    <n v="884"/>
    <x v="3"/>
    <x v="6"/>
    <n v="23"/>
    <n v="-17.065999999999999"/>
    <x v="0"/>
    <x v="0"/>
    <x v="0"/>
    <n v="17.065999999999999"/>
  </r>
  <r>
    <n v="885"/>
    <x v="3"/>
    <x v="6"/>
    <n v="25"/>
    <n v="421.392"/>
    <x v="4"/>
    <x v="3"/>
    <x v="1"/>
    <n v="421.392"/>
  </r>
  <r>
    <n v="886"/>
    <x v="3"/>
    <x v="6"/>
    <n v="25"/>
    <n v="-6.1899999999999995"/>
    <x v="0"/>
    <x v="0"/>
    <x v="0"/>
    <n v="6.1899999999999995"/>
  </r>
  <r>
    <n v="887"/>
    <x v="3"/>
    <x v="6"/>
    <n v="30"/>
    <n v="-4.484"/>
    <x v="0"/>
    <x v="0"/>
    <x v="0"/>
    <n v="4.484"/>
  </r>
  <r>
    <n v="888"/>
    <x v="3"/>
    <x v="6"/>
    <n v="31"/>
    <n v="-47.938000000000002"/>
    <x v="6"/>
    <x v="4"/>
    <x v="0"/>
    <n v="47.938000000000002"/>
  </r>
  <r>
    <n v="889"/>
    <x v="3"/>
    <x v="6"/>
    <n v="31"/>
    <n v="2E-3"/>
    <x v="3"/>
    <x v="2"/>
    <x v="1"/>
    <n v="2E-3"/>
  </r>
  <r>
    <n v="890"/>
    <x v="3"/>
    <x v="6"/>
    <n v="31"/>
    <n v="-1.198"/>
    <x v="2"/>
    <x v="1"/>
    <x v="0"/>
    <n v="1.198"/>
  </r>
  <r>
    <n v="891"/>
    <x v="3"/>
    <x v="6"/>
    <n v="31"/>
    <n v="-0.5"/>
    <x v="2"/>
    <x v="1"/>
    <x v="0"/>
    <n v="0.5"/>
  </r>
  <r>
    <n v="892"/>
    <x v="3"/>
    <x v="6"/>
    <n v="31"/>
    <n v="-2E-3"/>
    <x v="2"/>
    <x v="1"/>
    <x v="0"/>
    <n v="2E-3"/>
  </r>
  <r>
    <n v="893"/>
    <x v="3"/>
    <x v="6"/>
    <n v="31"/>
    <n v="-4.8"/>
    <x v="13"/>
    <x v="1"/>
    <x v="0"/>
    <n v="4.8"/>
  </r>
  <r>
    <n v="894"/>
    <x v="3"/>
    <x v="7"/>
    <n v="1"/>
    <n v="-8.02"/>
    <x v="1"/>
    <x v="1"/>
    <x v="0"/>
    <n v="8.02"/>
  </r>
  <r>
    <n v="895"/>
    <x v="3"/>
    <x v="7"/>
    <n v="1"/>
    <n v="-49.392000000000003"/>
    <x v="13"/>
    <x v="1"/>
    <x v="0"/>
    <n v="49.392000000000003"/>
  </r>
  <r>
    <n v="896"/>
    <x v="3"/>
    <x v="7"/>
    <n v="1"/>
    <n v="-9.7200000000000006"/>
    <x v="19"/>
    <x v="1"/>
    <x v="0"/>
    <n v="9.7200000000000006"/>
  </r>
  <r>
    <n v="897"/>
    <x v="3"/>
    <x v="7"/>
    <n v="1"/>
    <n v="-4.4539999999999997"/>
    <x v="0"/>
    <x v="0"/>
    <x v="0"/>
    <n v="4.4539999999999997"/>
  </r>
  <r>
    <n v="898"/>
    <x v="3"/>
    <x v="7"/>
    <n v="2"/>
    <n v="-4.0780000000000003"/>
    <x v="0"/>
    <x v="0"/>
    <x v="0"/>
    <n v="4.0780000000000003"/>
  </r>
  <r>
    <n v="899"/>
    <x v="3"/>
    <x v="7"/>
    <n v="5"/>
    <n v="-5"/>
    <x v="7"/>
    <x v="5"/>
    <x v="0"/>
    <n v="5"/>
  </r>
  <r>
    <n v="900"/>
    <x v="3"/>
    <x v="7"/>
    <n v="6"/>
    <n v="-1.1179999999999999"/>
    <x v="0"/>
    <x v="0"/>
    <x v="0"/>
    <n v="1.1179999999999999"/>
  </r>
  <r>
    <n v="901"/>
    <x v="3"/>
    <x v="7"/>
    <n v="7"/>
    <n v="-3.7679999999999998"/>
    <x v="0"/>
    <x v="0"/>
    <x v="0"/>
    <n v="3.7679999999999998"/>
  </r>
  <r>
    <n v="902"/>
    <x v="3"/>
    <x v="7"/>
    <n v="9"/>
    <n v="73.834000000000003"/>
    <x v="8"/>
    <x v="3"/>
    <x v="1"/>
    <n v="73.834000000000003"/>
  </r>
  <r>
    <n v="903"/>
    <x v="3"/>
    <x v="7"/>
    <n v="9"/>
    <n v="-7.5579999999999998"/>
    <x v="0"/>
    <x v="0"/>
    <x v="0"/>
    <n v="7.5579999999999998"/>
  </r>
  <r>
    <n v="904"/>
    <x v="3"/>
    <x v="7"/>
    <n v="13"/>
    <n v="-0.39800000000000002"/>
    <x v="2"/>
    <x v="1"/>
    <x v="0"/>
    <n v="0.39800000000000002"/>
  </r>
  <r>
    <n v="905"/>
    <x v="3"/>
    <x v="7"/>
    <n v="14"/>
    <n v="-2.0140000000000002"/>
    <x v="0"/>
    <x v="0"/>
    <x v="0"/>
    <n v="2.0140000000000002"/>
  </r>
  <r>
    <n v="906"/>
    <x v="3"/>
    <x v="7"/>
    <n v="14"/>
    <n v="-2.6440000000000001"/>
    <x v="0"/>
    <x v="0"/>
    <x v="0"/>
    <n v="2.6440000000000001"/>
  </r>
  <r>
    <n v="907"/>
    <x v="3"/>
    <x v="7"/>
    <n v="15"/>
    <n v="-0.8"/>
    <x v="2"/>
    <x v="1"/>
    <x v="0"/>
    <n v="0.8"/>
  </r>
  <r>
    <n v="908"/>
    <x v="3"/>
    <x v="7"/>
    <n v="19"/>
    <n v="-50"/>
    <x v="7"/>
    <x v="5"/>
    <x v="0"/>
    <n v="50"/>
  </r>
  <r>
    <n v="909"/>
    <x v="3"/>
    <x v="7"/>
    <n v="19"/>
    <n v="-6"/>
    <x v="7"/>
    <x v="5"/>
    <x v="0"/>
    <n v="6"/>
  </r>
  <r>
    <n v="910"/>
    <x v="3"/>
    <x v="7"/>
    <n v="19"/>
    <n v="-11.342000000000001"/>
    <x v="0"/>
    <x v="0"/>
    <x v="0"/>
    <n v="11.342000000000001"/>
  </r>
  <r>
    <n v="911"/>
    <x v="3"/>
    <x v="7"/>
    <n v="20"/>
    <n v="-2.4279999999999999"/>
    <x v="0"/>
    <x v="0"/>
    <x v="0"/>
    <n v="2.4279999999999999"/>
  </r>
  <r>
    <n v="912"/>
    <x v="3"/>
    <x v="7"/>
    <n v="21"/>
    <n v="-59.8"/>
    <x v="6"/>
    <x v="4"/>
    <x v="0"/>
    <n v="59.8"/>
  </r>
  <r>
    <n v="913"/>
    <x v="3"/>
    <x v="7"/>
    <n v="26"/>
    <n v="421.392"/>
    <x v="4"/>
    <x v="3"/>
    <x v="1"/>
    <n v="421.392"/>
  </r>
  <r>
    <n v="914"/>
    <x v="3"/>
    <x v="7"/>
    <n v="26"/>
    <n v="-7.6540000000000008"/>
    <x v="0"/>
    <x v="0"/>
    <x v="0"/>
    <n v="7.6540000000000008"/>
  </r>
  <r>
    <n v="915"/>
    <x v="3"/>
    <x v="7"/>
    <n v="26"/>
    <n v="-1.458"/>
    <x v="0"/>
    <x v="0"/>
    <x v="0"/>
    <n v="1.458"/>
  </r>
  <r>
    <n v="916"/>
    <x v="3"/>
    <x v="7"/>
    <n v="28"/>
    <n v="-4.2460000000000004"/>
    <x v="0"/>
    <x v="0"/>
    <x v="0"/>
    <n v="4.2460000000000004"/>
  </r>
  <r>
    <n v="917"/>
    <x v="3"/>
    <x v="7"/>
    <n v="28"/>
    <n v="-7.5579999999999998"/>
    <x v="0"/>
    <x v="0"/>
    <x v="0"/>
    <n v="7.5579999999999998"/>
  </r>
  <r>
    <n v="918"/>
    <x v="3"/>
    <x v="7"/>
    <n v="29"/>
    <n v="-20"/>
    <x v="7"/>
    <x v="5"/>
    <x v="0"/>
    <n v="20"/>
  </r>
  <r>
    <n v="919"/>
    <x v="3"/>
    <x v="7"/>
    <n v="29"/>
    <n v="-14.613999999999999"/>
    <x v="0"/>
    <x v="0"/>
    <x v="0"/>
    <n v="14.613999999999999"/>
  </r>
  <r>
    <n v="920"/>
    <x v="3"/>
    <x v="7"/>
    <n v="30"/>
    <n v="-47.938000000000002"/>
    <x v="6"/>
    <x v="4"/>
    <x v="0"/>
    <n v="47.938000000000002"/>
  </r>
  <r>
    <n v="921"/>
    <x v="3"/>
    <x v="7"/>
    <n v="30"/>
    <n v="-4"/>
    <x v="0"/>
    <x v="0"/>
    <x v="0"/>
    <n v="4"/>
  </r>
  <r>
    <n v="922"/>
    <x v="3"/>
    <x v="7"/>
    <n v="30"/>
    <n v="-1.784"/>
    <x v="0"/>
    <x v="0"/>
    <x v="0"/>
    <n v="1.784"/>
  </r>
  <r>
    <n v="923"/>
    <x v="3"/>
    <x v="7"/>
    <n v="31"/>
    <n v="2E-3"/>
    <x v="3"/>
    <x v="2"/>
    <x v="1"/>
    <n v="2E-3"/>
  </r>
  <r>
    <n v="924"/>
    <x v="3"/>
    <x v="7"/>
    <n v="31"/>
    <n v="-1.198"/>
    <x v="2"/>
    <x v="1"/>
    <x v="0"/>
    <n v="1.198"/>
  </r>
  <r>
    <n v="925"/>
    <x v="3"/>
    <x v="7"/>
    <n v="31"/>
    <n v="-0.8"/>
    <x v="2"/>
    <x v="1"/>
    <x v="0"/>
    <n v="0.8"/>
  </r>
  <r>
    <n v="926"/>
    <x v="3"/>
    <x v="7"/>
    <n v="31"/>
    <n v="-2E-3"/>
    <x v="2"/>
    <x v="1"/>
    <x v="0"/>
    <n v="2E-3"/>
  </r>
  <r>
    <n v="927"/>
    <x v="3"/>
    <x v="8"/>
    <n v="1"/>
    <n v="-7.9799999999999995"/>
    <x v="1"/>
    <x v="1"/>
    <x v="0"/>
    <n v="7.9799999999999995"/>
  </r>
  <r>
    <n v="928"/>
    <x v="3"/>
    <x v="8"/>
    <n v="1"/>
    <n v="-46.4"/>
    <x v="12"/>
    <x v="1"/>
    <x v="0"/>
    <n v="46.4"/>
  </r>
  <r>
    <n v="929"/>
    <x v="3"/>
    <x v="8"/>
    <n v="1"/>
    <n v="-50.772000000000006"/>
    <x v="13"/>
    <x v="1"/>
    <x v="0"/>
    <n v="50.772000000000006"/>
  </r>
  <r>
    <n v="930"/>
    <x v="3"/>
    <x v="8"/>
    <n v="1"/>
    <n v="-6.0039999999999996"/>
    <x v="18"/>
    <x v="1"/>
    <x v="0"/>
    <n v="6.0039999999999996"/>
  </r>
  <r>
    <n v="931"/>
    <x v="3"/>
    <x v="8"/>
    <n v="1"/>
    <n v="-9.7200000000000006"/>
    <x v="19"/>
    <x v="1"/>
    <x v="0"/>
    <n v="9.7200000000000006"/>
  </r>
  <r>
    <n v="932"/>
    <x v="3"/>
    <x v="8"/>
    <n v="1"/>
    <n v="-16.806000000000001"/>
    <x v="16"/>
    <x v="1"/>
    <x v="0"/>
    <n v="16.806000000000001"/>
  </r>
  <r>
    <n v="933"/>
    <x v="3"/>
    <x v="8"/>
    <n v="2"/>
    <n v="-3.968"/>
    <x v="0"/>
    <x v="0"/>
    <x v="0"/>
    <n v="3.968"/>
  </r>
  <r>
    <n v="934"/>
    <x v="3"/>
    <x v="8"/>
    <n v="9"/>
    <n v="-3.718"/>
    <x v="0"/>
    <x v="0"/>
    <x v="0"/>
    <n v="3.718"/>
  </r>
  <r>
    <n v="935"/>
    <x v="3"/>
    <x v="8"/>
    <n v="11"/>
    <n v="-2.8079999999999998"/>
    <x v="0"/>
    <x v="0"/>
    <x v="0"/>
    <n v="2.8079999999999998"/>
  </r>
  <r>
    <n v="936"/>
    <x v="3"/>
    <x v="8"/>
    <n v="13"/>
    <n v="-3.9799999999999995"/>
    <x v="0"/>
    <x v="0"/>
    <x v="0"/>
    <n v="3.9799999999999995"/>
  </r>
  <r>
    <n v="937"/>
    <x v="3"/>
    <x v="8"/>
    <n v="13"/>
    <n v="-3.6520000000000001"/>
    <x v="0"/>
    <x v="0"/>
    <x v="0"/>
    <n v="3.6520000000000001"/>
  </r>
  <r>
    <n v="938"/>
    <x v="3"/>
    <x v="8"/>
    <n v="16"/>
    <n v="-33.311999999999998"/>
    <x v="0"/>
    <x v="0"/>
    <x v="0"/>
    <n v="33.311999999999998"/>
  </r>
  <r>
    <n v="939"/>
    <x v="3"/>
    <x v="8"/>
    <n v="17"/>
    <n v="-0.39800000000000002"/>
    <x v="2"/>
    <x v="1"/>
    <x v="0"/>
    <n v="0.39800000000000002"/>
  </r>
  <r>
    <n v="940"/>
    <x v="3"/>
    <x v="8"/>
    <n v="17"/>
    <n v="-3.5979999999999999"/>
    <x v="0"/>
    <x v="0"/>
    <x v="0"/>
    <n v="3.5979999999999999"/>
  </r>
  <r>
    <n v="941"/>
    <x v="3"/>
    <x v="8"/>
    <n v="25"/>
    <n v="87.4"/>
    <x v="9"/>
    <x v="3"/>
    <x v="1"/>
    <n v="87.4"/>
  </r>
  <r>
    <n v="942"/>
    <x v="3"/>
    <x v="8"/>
    <n v="25"/>
    <n v="421.392"/>
    <x v="4"/>
    <x v="3"/>
    <x v="1"/>
    <n v="421.392"/>
  </r>
  <r>
    <n v="943"/>
    <x v="3"/>
    <x v="8"/>
    <n v="27"/>
    <n v="-5.9799999999999995"/>
    <x v="0"/>
    <x v="0"/>
    <x v="0"/>
    <n v="5.9799999999999995"/>
  </r>
  <r>
    <n v="944"/>
    <x v="3"/>
    <x v="8"/>
    <n v="30"/>
    <n v="2E-3"/>
    <x v="3"/>
    <x v="2"/>
    <x v="1"/>
    <n v="2E-3"/>
  </r>
  <r>
    <n v="945"/>
    <x v="3"/>
    <x v="8"/>
    <n v="30"/>
    <n v="-1.198"/>
    <x v="2"/>
    <x v="1"/>
    <x v="0"/>
    <n v="1.198"/>
  </r>
  <r>
    <n v="946"/>
    <x v="3"/>
    <x v="8"/>
    <n v="30"/>
    <n v="-0.1"/>
    <x v="2"/>
    <x v="1"/>
    <x v="0"/>
    <n v="0.1"/>
  </r>
  <r>
    <n v="947"/>
    <x v="3"/>
    <x v="8"/>
    <n v="30"/>
    <n v="-2E-3"/>
    <x v="2"/>
    <x v="1"/>
    <x v="0"/>
    <n v="2E-3"/>
  </r>
  <r>
    <n v="948"/>
    <x v="3"/>
    <x v="9"/>
    <n v="1"/>
    <n v="-50.772000000000006"/>
    <x v="13"/>
    <x v="1"/>
    <x v="0"/>
    <n v="50.772000000000006"/>
  </r>
  <r>
    <n v="949"/>
    <x v="3"/>
    <x v="9"/>
    <n v="1"/>
    <n v="-47.938000000000002"/>
    <x v="6"/>
    <x v="4"/>
    <x v="0"/>
    <n v="47.938000000000002"/>
  </r>
  <r>
    <n v="950"/>
    <x v="3"/>
    <x v="9"/>
    <n v="1"/>
    <n v="-9.7200000000000006"/>
    <x v="19"/>
    <x v="1"/>
    <x v="0"/>
    <n v="9.7200000000000006"/>
  </r>
  <r>
    <n v="951"/>
    <x v="3"/>
    <x v="9"/>
    <n v="1"/>
    <n v="-4.8"/>
    <x v="13"/>
    <x v="1"/>
    <x v="0"/>
    <n v="4.8"/>
  </r>
  <r>
    <n v="952"/>
    <x v="3"/>
    <x v="9"/>
    <n v="1"/>
    <n v="-7.9799999999999995"/>
    <x v="1"/>
    <x v="1"/>
    <x v="0"/>
    <n v="7.9799999999999995"/>
  </r>
  <r>
    <n v="953"/>
    <x v="3"/>
    <x v="9"/>
    <n v="4"/>
    <n v="-7.2080000000000002"/>
    <x v="0"/>
    <x v="0"/>
    <x v="0"/>
    <n v="7.2080000000000002"/>
  </r>
  <r>
    <n v="954"/>
    <x v="3"/>
    <x v="9"/>
    <n v="9"/>
    <n v="-9.1939999999999991"/>
    <x v="0"/>
    <x v="0"/>
    <x v="0"/>
    <n v="9.1939999999999991"/>
  </r>
  <r>
    <n v="955"/>
    <x v="3"/>
    <x v="9"/>
    <n v="9"/>
    <n v="-8.4819999999999993"/>
    <x v="0"/>
    <x v="0"/>
    <x v="0"/>
    <n v="8.4819999999999993"/>
  </r>
  <r>
    <n v="956"/>
    <x v="3"/>
    <x v="9"/>
    <n v="11"/>
    <n v="-0.39800000000000002"/>
    <x v="2"/>
    <x v="1"/>
    <x v="0"/>
    <n v="0.39800000000000002"/>
  </r>
  <r>
    <n v="957"/>
    <x v="3"/>
    <x v="9"/>
    <n v="16"/>
    <n v="-0.8"/>
    <x v="2"/>
    <x v="1"/>
    <x v="0"/>
    <n v="0.8"/>
  </r>
  <r>
    <n v="958"/>
    <x v="3"/>
    <x v="9"/>
    <n v="18"/>
    <n v="-7.9799999999999995"/>
    <x v="7"/>
    <x v="5"/>
    <x v="0"/>
    <n v="7.9799999999999995"/>
  </r>
  <r>
    <n v="959"/>
    <x v="3"/>
    <x v="9"/>
    <n v="22"/>
    <n v="-5.35"/>
    <x v="0"/>
    <x v="0"/>
    <x v="0"/>
    <n v="5.35"/>
  </r>
  <r>
    <n v="960"/>
    <x v="3"/>
    <x v="9"/>
    <n v="22"/>
    <n v="-4.702"/>
    <x v="0"/>
    <x v="0"/>
    <x v="0"/>
    <n v="4.702"/>
  </r>
  <r>
    <n v="961"/>
    <x v="3"/>
    <x v="9"/>
    <n v="25"/>
    <n v="-3.9799999999999995"/>
    <x v="0"/>
    <x v="0"/>
    <x v="0"/>
    <n v="3.9799999999999995"/>
  </r>
  <r>
    <n v="962"/>
    <x v="3"/>
    <x v="9"/>
    <n v="25"/>
    <n v="-30"/>
    <x v="0"/>
    <x v="0"/>
    <x v="0"/>
    <n v="30"/>
  </r>
  <r>
    <n v="963"/>
    <x v="3"/>
    <x v="9"/>
    <n v="25"/>
    <n v="421.392"/>
    <x v="4"/>
    <x v="3"/>
    <x v="1"/>
    <n v="421.392"/>
  </r>
  <r>
    <n v="964"/>
    <x v="3"/>
    <x v="9"/>
    <n v="28"/>
    <n v="-3.7939999999999996"/>
    <x v="0"/>
    <x v="0"/>
    <x v="0"/>
    <n v="3.7939999999999996"/>
  </r>
  <r>
    <n v="965"/>
    <x v="3"/>
    <x v="9"/>
    <n v="29"/>
    <n v="-0.32999999999999996"/>
    <x v="0"/>
    <x v="0"/>
    <x v="0"/>
    <n v="0.32999999999999996"/>
  </r>
  <r>
    <n v="966"/>
    <x v="3"/>
    <x v="9"/>
    <n v="29"/>
    <n v="-5.4079999999999995"/>
    <x v="0"/>
    <x v="0"/>
    <x v="0"/>
    <n v="5.4079999999999995"/>
  </r>
  <r>
    <n v="967"/>
    <x v="3"/>
    <x v="9"/>
    <n v="31"/>
    <n v="4.0000000000000001E-3"/>
    <x v="3"/>
    <x v="2"/>
    <x v="1"/>
    <n v="4.0000000000000001E-3"/>
  </r>
  <r>
    <n v="968"/>
    <x v="3"/>
    <x v="9"/>
    <n v="31"/>
    <n v="-1.198"/>
    <x v="2"/>
    <x v="1"/>
    <x v="0"/>
    <n v="1.198"/>
  </r>
  <r>
    <n v="969"/>
    <x v="3"/>
    <x v="9"/>
    <n v="31"/>
    <n v="-0.6"/>
    <x v="2"/>
    <x v="1"/>
    <x v="0"/>
    <n v="0.6"/>
  </r>
  <r>
    <n v="970"/>
    <x v="3"/>
    <x v="9"/>
    <n v="31"/>
    <n v="-2E-3"/>
    <x v="2"/>
    <x v="1"/>
    <x v="0"/>
    <n v="2E-3"/>
  </r>
  <r>
    <n v="971"/>
    <x v="3"/>
    <x v="10"/>
    <n v="1"/>
    <n v="-6.0039999999999996"/>
    <x v="18"/>
    <x v="1"/>
    <x v="0"/>
    <n v="6.0039999999999996"/>
  </r>
  <r>
    <n v="972"/>
    <x v="3"/>
    <x v="10"/>
    <n v="1"/>
    <n v="-50.772000000000006"/>
    <x v="13"/>
    <x v="1"/>
    <x v="0"/>
    <n v="50.772000000000006"/>
  </r>
  <r>
    <n v="973"/>
    <x v="3"/>
    <x v="10"/>
    <n v="1"/>
    <n v="-47.938000000000002"/>
    <x v="6"/>
    <x v="4"/>
    <x v="0"/>
    <n v="47.938000000000002"/>
  </r>
  <r>
    <n v="974"/>
    <x v="3"/>
    <x v="10"/>
    <n v="1"/>
    <n v="-9.7200000000000006"/>
    <x v="19"/>
    <x v="1"/>
    <x v="0"/>
    <n v="9.7200000000000006"/>
  </r>
  <r>
    <n v="975"/>
    <x v="3"/>
    <x v="10"/>
    <n v="1"/>
    <n v="-17.990000000000002"/>
    <x v="16"/>
    <x v="1"/>
    <x v="0"/>
    <n v="17.990000000000002"/>
  </r>
  <r>
    <n v="976"/>
    <x v="3"/>
    <x v="10"/>
    <n v="1"/>
    <n v="-7.9799999999999995"/>
    <x v="1"/>
    <x v="1"/>
    <x v="0"/>
    <n v="7.9799999999999995"/>
  </r>
  <r>
    <n v="977"/>
    <x v="3"/>
    <x v="10"/>
    <n v="4"/>
    <n v="-2.38"/>
    <x v="7"/>
    <x v="5"/>
    <x v="0"/>
    <n v="2.38"/>
  </r>
  <r>
    <n v="978"/>
    <x v="3"/>
    <x v="10"/>
    <n v="4"/>
    <n v="-40"/>
    <x v="7"/>
    <x v="5"/>
    <x v="0"/>
    <n v="40"/>
  </r>
  <r>
    <n v="979"/>
    <x v="3"/>
    <x v="10"/>
    <n v="5"/>
    <n v="-4.1639999999999997"/>
    <x v="0"/>
    <x v="0"/>
    <x v="0"/>
    <n v="4.1639999999999997"/>
  </r>
  <r>
    <n v="980"/>
    <x v="3"/>
    <x v="10"/>
    <n v="7"/>
    <n v="-6.92"/>
    <x v="0"/>
    <x v="0"/>
    <x v="0"/>
    <n v="6.92"/>
  </r>
  <r>
    <n v="981"/>
    <x v="3"/>
    <x v="10"/>
    <n v="8"/>
    <n v="-80"/>
    <x v="7"/>
    <x v="5"/>
    <x v="0"/>
    <n v="80"/>
  </r>
  <r>
    <n v="982"/>
    <x v="3"/>
    <x v="10"/>
    <n v="8"/>
    <n v="71.878"/>
    <x v="8"/>
    <x v="3"/>
    <x v="1"/>
    <n v="71.878"/>
  </r>
  <r>
    <n v="983"/>
    <x v="3"/>
    <x v="10"/>
    <n v="12"/>
    <n v="-10.184000000000001"/>
    <x v="0"/>
    <x v="0"/>
    <x v="0"/>
    <n v="10.184000000000001"/>
  </r>
  <r>
    <n v="984"/>
    <x v="3"/>
    <x v="10"/>
    <n v="14"/>
    <n v="-20"/>
    <x v="7"/>
    <x v="5"/>
    <x v="0"/>
    <n v="20"/>
  </r>
  <r>
    <n v="985"/>
    <x v="3"/>
    <x v="10"/>
    <n v="14"/>
    <n v="-0.39800000000000002"/>
    <x v="2"/>
    <x v="1"/>
    <x v="0"/>
    <n v="0.39800000000000002"/>
  </r>
  <r>
    <n v="986"/>
    <x v="3"/>
    <x v="10"/>
    <n v="15"/>
    <n v="22.552"/>
    <x v="3"/>
    <x v="2"/>
    <x v="1"/>
    <n v="22.552"/>
  </r>
  <r>
    <n v="987"/>
    <x v="3"/>
    <x v="10"/>
    <n v="15"/>
    <n v="-7.3659999999999997"/>
    <x v="0"/>
    <x v="0"/>
    <x v="0"/>
    <n v="7.3659999999999997"/>
  </r>
  <r>
    <n v="988"/>
    <x v="3"/>
    <x v="10"/>
    <n v="16"/>
    <n v="-0.8"/>
    <x v="2"/>
    <x v="1"/>
    <x v="0"/>
    <n v="0.8"/>
  </r>
  <r>
    <n v="989"/>
    <x v="3"/>
    <x v="10"/>
    <n v="18"/>
    <n v="-8.4939999999999998"/>
    <x v="0"/>
    <x v="0"/>
    <x v="0"/>
    <n v="8.4939999999999998"/>
  </r>
  <r>
    <n v="990"/>
    <x v="3"/>
    <x v="10"/>
    <n v="25"/>
    <n v="-139.80000000000001"/>
    <x v="15"/>
    <x v="4"/>
    <x v="0"/>
    <n v="139.80000000000001"/>
  </r>
  <r>
    <n v="991"/>
    <x v="3"/>
    <x v="10"/>
    <n v="26"/>
    <n v="-48"/>
    <x v="7"/>
    <x v="5"/>
    <x v="0"/>
    <n v="48"/>
  </r>
  <r>
    <n v="992"/>
    <x v="3"/>
    <x v="10"/>
    <n v="26"/>
    <n v="425.178"/>
    <x v="4"/>
    <x v="3"/>
    <x v="1"/>
    <n v="425.178"/>
  </r>
  <r>
    <n v="993"/>
    <x v="3"/>
    <x v="10"/>
    <n v="26"/>
    <n v="-29.93"/>
    <x v="0"/>
    <x v="0"/>
    <x v="0"/>
    <n v="29.93"/>
  </r>
  <r>
    <n v="994"/>
    <x v="3"/>
    <x v="10"/>
    <n v="30"/>
    <n v="-47.938000000000002"/>
    <x v="6"/>
    <x v="4"/>
    <x v="0"/>
    <n v="47.938000000000002"/>
  </r>
  <r>
    <n v="995"/>
    <x v="3"/>
    <x v="10"/>
    <n v="30"/>
    <n v="4.0000000000000001E-3"/>
    <x v="3"/>
    <x v="2"/>
    <x v="1"/>
    <n v="4.0000000000000001E-3"/>
  </r>
  <r>
    <n v="996"/>
    <x v="3"/>
    <x v="10"/>
    <n v="30"/>
    <n v="-1.198"/>
    <x v="2"/>
    <x v="1"/>
    <x v="0"/>
    <n v="1.198"/>
  </r>
  <r>
    <n v="997"/>
    <x v="3"/>
    <x v="10"/>
    <n v="30"/>
    <n v="-1"/>
    <x v="2"/>
    <x v="1"/>
    <x v="0"/>
    <n v="1"/>
  </r>
  <r>
    <n v="998"/>
    <x v="3"/>
    <x v="10"/>
    <n v="30"/>
    <n v="-2E-3"/>
    <x v="2"/>
    <x v="1"/>
    <x v="0"/>
    <n v="2E-3"/>
  </r>
  <r>
    <n v="999"/>
    <x v="3"/>
    <x v="10"/>
    <n v="30"/>
    <n v="-4.8"/>
    <x v="13"/>
    <x v="1"/>
    <x v="0"/>
    <n v="4.8"/>
  </r>
  <r>
    <n v="1000"/>
    <x v="3"/>
    <x v="11"/>
    <n v="1"/>
    <n v="-8.18"/>
    <x v="1"/>
    <x v="1"/>
    <x v="0"/>
    <n v="8.18"/>
  </r>
  <r>
    <n v="1001"/>
    <x v="3"/>
    <x v="11"/>
    <n v="1"/>
    <n v="-50.772000000000006"/>
    <x v="13"/>
    <x v="1"/>
    <x v="0"/>
    <n v="50.772000000000006"/>
  </r>
  <r>
    <n v="1002"/>
    <x v="3"/>
    <x v="11"/>
    <n v="1"/>
    <n v="-9.7200000000000006"/>
    <x v="19"/>
    <x v="1"/>
    <x v="0"/>
    <n v="9.7200000000000006"/>
  </r>
  <r>
    <n v="1003"/>
    <x v="3"/>
    <x v="11"/>
    <n v="2"/>
    <n v="-4"/>
    <x v="7"/>
    <x v="5"/>
    <x v="0"/>
    <n v="4"/>
  </r>
  <r>
    <n v="1004"/>
    <x v="3"/>
    <x v="11"/>
    <n v="2"/>
    <n v="-2.48"/>
    <x v="0"/>
    <x v="0"/>
    <x v="0"/>
    <n v="2.48"/>
  </r>
  <r>
    <n v="1005"/>
    <x v="3"/>
    <x v="11"/>
    <n v="3"/>
    <n v="-19.8"/>
    <x v="7"/>
    <x v="5"/>
    <x v="0"/>
    <n v="19.8"/>
  </r>
  <r>
    <n v="1006"/>
    <x v="3"/>
    <x v="11"/>
    <n v="5"/>
    <n v="-13.797999999999998"/>
    <x v="7"/>
    <x v="5"/>
    <x v="0"/>
    <n v="13.797999999999998"/>
  </r>
  <r>
    <n v="1007"/>
    <x v="3"/>
    <x v="11"/>
    <n v="5"/>
    <n v="-7.6599999999999993"/>
    <x v="0"/>
    <x v="0"/>
    <x v="0"/>
    <n v="7.6599999999999993"/>
  </r>
  <r>
    <n v="1008"/>
    <x v="3"/>
    <x v="11"/>
    <n v="5"/>
    <n v="-4.6100000000000003"/>
    <x v="0"/>
    <x v="0"/>
    <x v="0"/>
    <n v="4.6100000000000003"/>
  </r>
  <r>
    <n v="1009"/>
    <x v="3"/>
    <x v="11"/>
    <n v="6"/>
    <n v="65.599999999999994"/>
    <x v="9"/>
    <x v="3"/>
    <x v="1"/>
    <n v="65.599999999999994"/>
  </r>
  <r>
    <n v="1010"/>
    <x v="3"/>
    <x v="11"/>
    <n v="9"/>
    <n v="-34.194000000000003"/>
    <x v="0"/>
    <x v="0"/>
    <x v="0"/>
    <n v="34.194000000000003"/>
  </r>
  <r>
    <n v="1011"/>
    <x v="3"/>
    <x v="11"/>
    <n v="13"/>
    <n v="-0.39800000000000002"/>
    <x v="2"/>
    <x v="1"/>
    <x v="0"/>
    <n v="0.39800000000000002"/>
  </r>
  <r>
    <n v="1012"/>
    <x v="3"/>
    <x v="11"/>
    <n v="16"/>
    <n v="-0.8"/>
    <x v="2"/>
    <x v="1"/>
    <x v="0"/>
    <n v="0.8"/>
  </r>
  <r>
    <n v="1013"/>
    <x v="3"/>
    <x v="11"/>
    <n v="16"/>
    <n v="425.178"/>
    <x v="4"/>
    <x v="3"/>
    <x v="1"/>
    <n v="425.178"/>
  </r>
  <r>
    <n v="1014"/>
    <x v="3"/>
    <x v="11"/>
    <n v="19"/>
    <n v="297.76799999999997"/>
    <x v="8"/>
    <x v="3"/>
    <x v="1"/>
    <n v="297.76799999999997"/>
  </r>
  <r>
    <n v="1015"/>
    <x v="3"/>
    <x v="11"/>
    <n v="20"/>
    <n v="-18.996000000000002"/>
    <x v="0"/>
    <x v="0"/>
    <x v="0"/>
    <n v="18.996000000000002"/>
  </r>
  <r>
    <n v="1016"/>
    <x v="3"/>
    <x v="11"/>
    <n v="24"/>
    <n v="7.6360000000000001"/>
    <x v="8"/>
    <x v="3"/>
    <x v="1"/>
    <n v="7.6360000000000001"/>
  </r>
  <r>
    <n v="1017"/>
    <x v="3"/>
    <x v="11"/>
    <n v="27"/>
    <n v="-10.773999999999999"/>
    <x v="0"/>
    <x v="0"/>
    <x v="0"/>
    <n v="10.773999999999999"/>
  </r>
  <r>
    <n v="1018"/>
    <x v="3"/>
    <x v="11"/>
    <n v="31"/>
    <n v="-10"/>
    <x v="7"/>
    <x v="5"/>
    <x v="0"/>
    <n v="10"/>
  </r>
  <r>
    <n v="1019"/>
    <x v="3"/>
    <x v="11"/>
    <n v="31"/>
    <n v="-47.938000000000002"/>
    <x v="6"/>
    <x v="4"/>
    <x v="0"/>
    <n v="47.938000000000002"/>
  </r>
  <r>
    <n v="1020"/>
    <x v="3"/>
    <x v="11"/>
    <n v="31"/>
    <n v="4.0000000000000001E-3"/>
    <x v="3"/>
    <x v="2"/>
    <x v="1"/>
    <n v="4.0000000000000001E-3"/>
  </r>
  <r>
    <n v="1021"/>
    <x v="3"/>
    <x v="11"/>
    <n v="31"/>
    <n v="-1.198"/>
    <x v="2"/>
    <x v="1"/>
    <x v="0"/>
    <n v="1.198"/>
  </r>
  <r>
    <n v="1022"/>
    <x v="3"/>
    <x v="11"/>
    <n v="31"/>
    <n v="-0.5"/>
    <x v="2"/>
    <x v="1"/>
    <x v="0"/>
    <n v="0.5"/>
  </r>
  <r>
    <n v="1023"/>
    <x v="3"/>
    <x v="11"/>
    <n v="31"/>
    <n v="-2E-3"/>
    <x v="2"/>
    <x v="1"/>
    <x v="0"/>
    <n v="2E-3"/>
  </r>
  <r>
    <n v="1024"/>
    <x v="4"/>
    <x v="0"/>
    <n v="1"/>
    <n v="-8.01"/>
    <x v="1"/>
    <x v="1"/>
    <x v="0"/>
    <n v="8.01"/>
  </r>
  <r>
    <n v="1025"/>
    <x v="4"/>
    <x v="0"/>
    <n v="1"/>
    <n v="-6.0039999999999996"/>
    <x v="18"/>
    <x v="1"/>
    <x v="0"/>
    <n v="6.0039999999999996"/>
  </r>
  <r>
    <n v="1026"/>
    <x v="4"/>
    <x v="0"/>
    <n v="1"/>
    <n v="-9.7200000000000006"/>
    <x v="19"/>
    <x v="1"/>
    <x v="0"/>
    <n v="9.7200000000000006"/>
  </r>
  <r>
    <n v="1027"/>
    <x v="4"/>
    <x v="0"/>
    <n v="1"/>
    <n v="-19.22"/>
    <x v="16"/>
    <x v="1"/>
    <x v="0"/>
    <n v="19.22"/>
  </r>
  <r>
    <n v="1028"/>
    <x v="4"/>
    <x v="0"/>
    <n v="2"/>
    <n v="-0.41200000000000003"/>
    <x v="2"/>
    <x v="1"/>
    <x v="0"/>
    <n v="0.41200000000000003"/>
  </r>
  <r>
    <n v="1029"/>
    <x v="4"/>
    <x v="0"/>
    <n v="3"/>
    <n v="-2"/>
    <x v="7"/>
    <x v="5"/>
    <x v="0"/>
    <n v="2"/>
  </r>
  <r>
    <n v="1030"/>
    <x v="4"/>
    <x v="0"/>
    <n v="3"/>
    <n v="-2.5379999999999998"/>
    <x v="0"/>
    <x v="0"/>
    <x v="0"/>
    <n v="2.5379999999999998"/>
  </r>
  <r>
    <n v="1031"/>
    <x v="4"/>
    <x v="0"/>
    <n v="3"/>
    <n v="-3.274"/>
    <x v="0"/>
    <x v="0"/>
    <x v="0"/>
    <n v="3.274"/>
  </r>
  <r>
    <n v="1032"/>
    <x v="4"/>
    <x v="0"/>
    <n v="7"/>
    <n v="-41.69"/>
    <x v="21"/>
    <x v="1"/>
    <x v="0"/>
    <n v="41.69"/>
  </r>
  <r>
    <n v="1033"/>
    <x v="4"/>
    <x v="0"/>
    <n v="9"/>
    <n v="-32.4"/>
    <x v="14"/>
    <x v="1"/>
    <x v="0"/>
    <n v="32.4"/>
  </r>
  <r>
    <n v="1034"/>
    <x v="4"/>
    <x v="0"/>
    <n v="10"/>
    <n v="-4.8759999999999994"/>
    <x v="0"/>
    <x v="0"/>
    <x v="0"/>
    <n v="4.8759999999999994"/>
  </r>
  <r>
    <n v="1035"/>
    <x v="4"/>
    <x v="0"/>
    <n v="11"/>
    <n v="-98.864000000000004"/>
    <x v="13"/>
    <x v="1"/>
    <x v="0"/>
    <n v="98.864000000000004"/>
  </r>
  <r>
    <n v="1036"/>
    <x v="4"/>
    <x v="0"/>
    <n v="13"/>
    <n v="-1.44"/>
    <x v="0"/>
    <x v="0"/>
    <x v="0"/>
    <n v="1.44"/>
  </r>
  <r>
    <n v="1037"/>
    <x v="4"/>
    <x v="0"/>
    <n v="15"/>
    <n v="-0.39800000000000002"/>
    <x v="2"/>
    <x v="1"/>
    <x v="0"/>
    <n v="0.39800000000000002"/>
  </r>
  <r>
    <n v="1038"/>
    <x v="4"/>
    <x v="0"/>
    <n v="16"/>
    <n v="-0.8"/>
    <x v="2"/>
    <x v="1"/>
    <x v="0"/>
    <n v="0.8"/>
  </r>
  <r>
    <n v="1039"/>
    <x v="4"/>
    <x v="0"/>
    <n v="24"/>
    <n v="425.178"/>
    <x v="4"/>
    <x v="3"/>
    <x v="1"/>
    <n v="425.178"/>
  </r>
  <r>
    <n v="1040"/>
    <x v="4"/>
    <x v="0"/>
    <n v="24"/>
    <n v="-6.548"/>
    <x v="0"/>
    <x v="0"/>
    <x v="0"/>
    <n v="6.548"/>
  </r>
  <r>
    <n v="1041"/>
    <x v="4"/>
    <x v="0"/>
    <n v="27"/>
    <n v="-20"/>
    <x v="0"/>
    <x v="0"/>
    <x v="0"/>
    <n v="20"/>
  </r>
  <r>
    <n v="1042"/>
    <x v="4"/>
    <x v="0"/>
    <n v="31"/>
    <n v="4.0000000000000001E-3"/>
    <x v="3"/>
    <x v="2"/>
    <x v="1"/>
    <n v="4.0000000000000001E-3"/>
  </r>
  <r>
    <n v="1043"/>
    <x v="4"/>
    <x v="0"/>
    <n v="31"/>
    <n v="-1.198"/>
    <x v="2"/>
    <x v="1"/>
    <x v="0"/>
    <n v="1.198"/>
  </r>
  <r>
    <n v="1044"/>
    <x v="4"/>
    <x v="0"/>
    <n v="31"/>
    <n v="-0.1"/>
    <x v="2"/>
    <x v="1"/>
    <x v="0"/>
    <n v="0.1"/>
  </r>
  <r>
    <n v="1045"/>
    <x v="4"/>
    <x v="0"/>
    <n v="31"/>
    <n v="-2E-3"/>
    <x v="2"/>
    <x v="1"/>
    <x v="0"/>
    <n v="2E-3"/>
  </r>
  <r>
    <n v="1046"/>
    <x v="4"/>
    <x v="0"/>
    <n v="31"/>
    <n v="-5.0380000000000003"/>
    <x v="0"/>
    <x v="0"/>
    <x v="0"/>
    <n v="5.0380000000000003"/>
  </r>
  <r>
    <n v="1047"/>
    <x v="4"/>
    <x v="1"/>
    <n v="1"/>
    <n v="-53.234000000000002"/>
    <x v="13"/>
    <x v="1"/>
    <x v="0"/>
    <n v="53.234000000000002"/>
  </r>
  <r>
    <n v="1048"/>
    <x v="4"/>
    <x v="1"/>
    <n v="1"/>
    <n v="-47.938000000000002"/>
    <x v="6"/>
    <x v="4"/>
    <x v="0"/>
    <n v="47.938000000000002"/>
  </r>
  <r>
    <n v="1049"/>
    <x v="4"/>
    <x v="1"/>
    <n v="1"/>
    <n v="-9.7200000000000006"/>
    <x v="19"/>
    <x v="1"/>
    <x v="0"/>
    <n v="9.7200000000000006"/>
  </r>
  <r>
    <n v="1050"/>
    <x v="4"/>
    <x v="1"/>
    <n v="1"/>
    <n v="-4.8"/>
    <x v="13"/>
    <x v="1"/>
    <x v="0"/>
    <n v="4.8"/>
  </r>
  <r>
    <n v="1051"/>
    <x v="4"/>
    <x v="1"/>
    <n v="1"/>
    <n v="-7.9799999999999995"/>
    <x v="1"/>
    <x v="1"/>
    <x v="0"/>
    <n v="7.9799999999999995"/>
  </r>
  <r>
    <n v="1052"/>
    <x v="4"/>
    <x v="1"/>
    <n v="2"/>
    <n v="-8"/>
    <x v="20"/>
    <x v="1"/>
    <x v="0"/>
    <n v="8"/>
  </r>
  <r>
    <n v="1053"/>
    <x v="4"/>
    <x v="1"/>
    <n v="6"/>
    <n v="416.904"/>
    <x v="5"/>
    <x v="3"/>
    <x v="1"/>
    <n v="416.904"/>
  </r>
  <r>
    <n v="1054"/>
    <x v="4"/>
    <x v="1"/>
    <n v="6"/>
    <n v="-6.09"/>
    <x v="0"/>
    <x v="0"/>
    <x v="0"/>
    <n v="6.09"/>
  </r>
  <r>
    <n v="1055"/>
    <x v="4"/>
    <x v="1"/>
    <n v="13"/>
    <n v="-9.7799999999999994"/>
    <x v="0"/>
    <x v="0"/>
    <x v="0"/>
    <n v="9.7799999999999994"/>
  </r>
  <r>
    <n v="1056"/>
    <x v="4"/>
    <x v="1"/>
    <n v="14"/>
    <n v="-0.79600000000000004"/>
    <x v="2"/>
    <x v="1"/>
    <x v="0"/>
    <n v="0.79600000000000004"/>
  </r>
  <r>
    <n v="1057"/>
    <x v="4"/>
    <x v="1"/>
    <n v="16"/>
    <n v="22.602"/>
    <x v="3"/>
    <x v="2"/>
    <x v="1"/>
    <n v="22.602"/>
  </r>
  <r>
    <n v="1058"/>
    <x v="4"/>
    <x v="1"/>
    <n v="16"/>
    <n v="-0.8"/>
    <x v="2"/>
    <x v="1"/>
    <x v="0"/>
    <n v="0.8"/>
  </r>
  <r>
    <n v="1059"/>
    <x v="4"/>
    <x v="1"/>
    <n v="17"/>
    <n v="-2.7640000000000002"/>
    <x v="0"/>
    <x v="0"/>
    <x v="0"/>
    <n v="2.7640000000000002"/>
  </r>
  <r>
    <n v="1060"/>
    <x v="4"/>
    <x v="1"/>
    <n v="21"/>
    <n v="-40"/>
    <x v="0"/>
    <x v="0"/>
    <x v="0"/>
    <n v="40"/>
  </r>
  <r>
    <n v="1061"/>
    <x v="4"/>
    <x v="1"/>
    <n v="25"/>
    <n v="-2"/>
    <x v="0"/>
    <x v="0"/>
    <x v="0"/>
    <n v="2"/>
  </r>
  <r>
    <n v="1062"/>
    <x v="4"/>
    <x v="1"/>
    <n v="25"/>
    <n v="425.178"/>
    <x v="4"/>
    <x v="3"/>
    <x v="1"/>
    <n v="425.178"/>
  </r>
  <r>
    <n v="1063"/>
    <x v="4"/>
    <x v="1"/>
    <n v="28"/>
    <n v="-10"/>
    <x v="0"/>
    <x v="0"/>
    <x v="0"/>
    <n v="10"/>
  </r>
  <r>
    <n v="1064"/>
    <x v="4"/>
    <x v="1"/>
    <n v="28"/>
    <n v="-47.938000000000002"/>
    <x v="6"/>
    <x v="4"/>
    <x v="0"/>
    <n v="47.938000000000002"/>
  </r>
  <r>
    <n v="1065"/>
    <x v="4"/>
    <x v="1"/>
    <n v="28"/>
    <n v="2E-3"/>
    <x v="3"/>
    <x v="2"/>
    <x v="1"/>
    <n v="2E-3"/>
  </r>
  <r>
    <n v="1066"/>
    <x v="4"/>
    <x v="1"/>
    <n v="28"/>
    <n v="-1.198"/>
    <x v="2"/>
    <x v="1"/>
    <x v="0"/>
    <n v="1.198"/>
  </r>
  <r>
    <n v="1067"/>
    <x v="4"/>
    <x v="1"/>
    <n v="28"/>
    <n v="-1.2"/>
    <x v="2"/>
    <x v="1"/>
    <x v="0"/>
    <n v="1.2"/>
  </r>
  <r>
    <n v="1068"/>
    <x v="4"/>
    <x v="1"/>
    <n v="28"/>
    <n v="-2E-3"/>
    <x v="2"/>
    <x v="1"/>
    <x v="0"/>
    <n v="2E-3"/>
  </r>
  <r>
    <n v="1069"/>
    <x v="4"/>
    <x v="1"/>
    <n v="28"/>
    <n v="-8.2059999999999995"/>
    <x v="0"/>
    <x v="0"/>
    <x v="0"/>
    <n v="8.2059999999999995"/>
  </r>
  <r>
    <n v="1070"/>
    <x v="4"/>
    <x v="2"/>
    <n v="1"/>
    <n v="-7.9799999999999995"/>
    <x v="1"/>
    <x v="1"/>
    <x v="0"/>
    <n v="7.9799999999999995"/>
  </r>
  <r>
    <n v="1071"/>
    <x v="4"/>
    <x v="2"/>
    <n v="1"/>
    <n v="-53.234000000000002"/>
    <x v="13"/>
    <x v="1"/>
    <x v="0"/>
    <n v="53.234000000000002"/>
  </r>
  <r>
    <n v="1072"/>
    <x v="4"/>
    <x v="2"/>
    <n v="1"/>
    <n v="-6.0039999999999996"/>
    <x v="18"/>
    <x v="1"/>
    <x v="0"/>
    <n v="6.0039999999999996"/>
  </r>
  <r>
    <n v="1073"/>
    <x v="4"/>
    <x v="2"/>
    <n v="1"/>
    <n v="-19.8"/>
    <x v="0"/>
    <x v="0"/>
    <x v="0"/>
    <n v="19.8"/>
  </r>
  <r>
    <n v="1074"/>
    <x v="4"/>
    <x v="2"/>
    <n v="1"/>
    <n v="-9.7200000000000006"/>
    <x v="19"/>
    <x v="1"/>
    <x v="0"/>
    <n v="9.7200000000000006"/>
  </r>
  <r>
    <n v="1075"/>
    <x v="4"/>
    <x v="2"/>
    <n v="1"/>
    <n v="-18.112000000000002"/>
    <x v="16"/>
    <x v="1"/>
    <x v="0"/>
    <n v="18.112000000000002"/>
  </r>
  <r>
    <n v="1076"/>
    <x v="4"/>
    <x v="2"/>
    <n v="6"/>
    <n v="-5.2159999999999993"/>
    <x v="0"/>
    <x v="0"/>
    <x v="0"/>
    <n v="5.2159999999999993"/>
  </r>
  <r>
    <n v="1077"/>
    <x v="4"/>
    <x v="2"/>
    <n v="6"/>
    <n v="-4.0920000000000005"/>
    <x v="0"/>
    <x v="0"/>
    <x v="0"/>
    <n v="4.0920000000000005"/>
  </r>
  <r>
    <n v="1078"/>
    <x v="4"/>
    <x v="2"/>
    <n v="12"/>
    <n v="-1.1960000000000002"/>
    <x v="0"/>
    <x v="0"/>
    <x v="0"/>
    <n v="1.1960000000000002"/>
  </r>
  <r>
    <n v="1079"/>
    <x v="4"/>
    <x v="2"/>
    <n v="13"/>
    <n v="-37.597999999999999"/>
    <x v="7"/>
    <x v="5"/>
    <x v="0"/>
    <n v="37.597999999999999"/>
  </r>
  <r>
    <n v="1080"/>
    <x v="4"/>
    <x v="2"/>
    <n v="14"/>
    <n v="-8.4379999999999988"/>
    <x v="0"/>
    <x v="0"/>
    <x v="0"/>
    <n v="8.4379999999999988"/>
  </r>
  <r>
    <n v="1081"/>
    <x v="4"/>
    <x v="2"/>
    <n v="16"/>
    <n v="-0.8"/>
    <x v="2"/>
    <x v="1"/>
    <x v="0"/>
    <n v="0.8"/>
  </r>
  <r>
    <n v="1082"/>
    <x v="4"/>
    <x v="2"/>
    <n v="17"/>
    <n v="-32.4"/>
    <x v="14"/>
    <x v="1"/>
    <x v="0"/>
    <n v="32.4"/>
  </r>
  <r>
    <n v="1083"/>
    <x v="4"/>
    <x v="2"/>
    <n v="18"/>
    <n v="-0.39800000000000002"/>
    <x v="2"/>
    <x v="1"/>
    <x v="0"/>
    <n v="0.39800000000000002"/>
  </r>
  <r>
    <n v="1084"/>
    <x v="4"/>
    <x v="2"/>
    <n v="21"/>
    <n v="-4.1740000000000004"/>
    <x v="0"/>
    <x v="0"/>
    <x v="0"/>
    <n v="4.1740000000000004"/>
  </r>
  <r>
    <n v="1085"/>
    <x v="4"/>
    <x v="2"/>
    <n v="21"/>
    <n v="-0.94800000000000006"/>
    <x v="0"/>
    <x v="0"/>
    <x v="0"/>
    <n v="0.94800000000000006"/>
  </r>
  <r>
    <n v="1086"/>
    <x v="4"/>
    <x v="2"/>
    <n v="25"/>
    <n v="425.178"/>
    <x v="4"/>
    <x v="3"/>
    <x v="1"/>
    <n v="425.178"/>
  </r>
  <r>
    <n v="1087"/>
    <x v="4"/>
    <x v="2"/>
    <n v="25"/>
    <n v="-8.6999999999999993"/>
    <x v="0"/>
    <x v="0"/>
    <x v="0"/>
    <n v="8.6999999999999993"/>
  </r>
  <r>
    <n v="1088"/>
    <x v="4"/>
    <x v="2"/>
    <n v="25"/>
    <n v="-7.06"/>
    <x v="0"/>
    <x v="0"/>
    <x v="0"/>
    <n v="7.06"/>
  </r>
  <r>
    <n v="1089"/>
    <x v="4"/>
    <x v="2"/>
    <n v="26"/>
    <n v="-2.5300000000000002"/>
    <x v="0"/>
    <x v="0"/>
    <x v="0"/>
    <n v="2.5300000000000002"/>
  </r>
  <r>
    <n v="1090"/>
    <x v="4"/>
    <x v="2"/>
    <n v="28"/>
    <n v="-28"/>
    <x v="7"/>
    <x v="5"/>
    <x v="0"/>
    <n v="28"/>
  </r>
  <r>
    <n v="1091"/>
    <x v="4"/>
    <x v="2"/>
    <n v="28"/>
    <n v="-7.7859999999999996"/>
    <x v="0"/>
    <x v="0"/>
    <x v="0"/>
    <n v="7.7859999999999996"/>
  </r>
  <r>
    <n v="1092"/>
    <x v="4"/>
    <x v="2"/>
    <n v="29"/>
    <n v="-5.9799999999999995"/>
    <x v="0"/>
    <x v="0"/>
    <x v="0"/>
    <n v="5.9799999999999995"/>
  </r>
  <r>
    <n v="1093"/>
    <x v="4"/>
    <x v="2"/>
    <n v="31"/>
    <n v="2E-3"/>
    <x v="3"/>
    <x v="2"/>
    <x v="1"/>
    <n v="2E-3"/>
  </r>
  <r>
    <n v="1094"/>
    <x v="4"/>
    <x v="2"/>
    <n v="31"/>
    <n v="-1.198"/>
    <x v="2"/>
    <x v="1"/>
    <x v="0"/>
    <n v="1.198"/>
  </r>
  <r>
    <n v="1095"/>
    <x v="4"/>
    <x v="2"/>
    <n v="31"/>
    <n v="-2E-3"/>
    <x v="2"/>
    <x v="1"/>
    <x v="0"/>
    <n v="2E-3"/>
  </r>
  <r>
    <n v="1096"/>
    <x v="4"/>
    <x v="3"/>
    <n v="1"/>
    <n v="-53.234000000000002"/>
    <x v="13"/>
    <x v="1"/>
    <x v="0"/>
    <n v="53.234000000000002"/>
  </r>
  <r>
    <n v="1097"/>
    <x v="4"/>
    <x v="3"/>
    <n v="1"/>
    <n v="-47.938000000000002"/>
    <x v="6"/>
    <x v="4"/>
    <x v="0"/>
    <n v="47.938000000000002"/>
  </r>
  <r>
    <n v="1098"/>
    <x v="4"/>
    <x v="3"/>
    <n v="1"/>
    <n v="-9.7200000000000006"/>
    <x v="19"/>
    <x v="1"/>
    <x v="0"/>
    <n v="9.7200000000000006"/>
  </r>
  <r>
    <n v="1099"/>
    <x v="4"/>
    <x v="3"/>
    <n v="1"/>
    <n v="-4.8"/>
    <x v="13"/>
    <x v="1"/>
    <x v="0"/>
    <n v="4.8"/>
  </r>
  <r>
    <n v="1100"/>
    <x v="4"/>
    <x v="3"/>
    <n v="1"/>
    <n v="-7.9799999999999995"/>
    <x v="1"/>
    <x v="1"/>
    <x v="0"/>
    <n v="7.9799999999999995"/>
  </r>
  <r>
    <n v="1101"/>
    <x v="4"/>
    <x v="3"/>
    <n v="3"/>
    <n v="-8.8420000000000005"/>
    <x v="0"/>
    <x v="0"/>
    <x v="0"/>
    <n v="8.8420000000000005"/>
  </r>
  <r>
    <n v="1102"/>
    <x v="4"/>
    <x v="3"/>
    <n v="4"/>
    <n v="-3.5700000000000003"/>
    <x v="0"/>
    <x v="0"/>
    <x v="0"/>
    <n v="3.5700000000000003"/>
  </r>
  <r>
    <n v="1103"/>
    <x v="4"/>
    <x v="3"/>
    <n v="7"/>
    <n v="-35.827999999999996"/>
    <x v="0"/>
    <x v="0"/>
    <x v="0"/>
    <n v="35.827999999999996"/>
  </r>
  <r>
    <n v="1104"/>
    <x v="4"/>
    <x v="3"/>
    <n v="7"/>
    <n v="-63.2"/>
    <x v="7"/>
    <x v="5"/>
    <x v="0"/>
    <n v="63.2"/>
  </r>
  <r>
    <n v="1105"/>
    <x v="4"/>
    <x v="3"/>
    <n v="7"/>
    <n v="-13.666"/>
    <x v="0"/>
    <x v="0"/>
    <x v="0"/>
    <n v="13.666"/>
  </r>
  <r>
    <n v="1106"/>
    <x v="4"/>
    <x v="3"/>
    <n v="9"/>
    <n v="-1.5779999999999998"/>
    <x v="0"/>
    <x v="0"/>
    <x v="0"/>
    <n v="1.5779999999999998"/>
  </r>
  <r>
    <n v="1107"/>
    <x v="4"/>
    <x v="3"/>
    <n v="10"/>
    <n v="-19.997999999999998"/>
    <x v="6"/>
    <x v="4"/>
    <x v="0"/>
    <n v="19.997999999999998"/>
  </r>
  <r>
    <n v="1108"/>
    <x v="4"/>
    <x v="3"/>
    <n v="11"/>
    <n v="-70"/>
    <x v="7"/>
    <x v="5"/>
    <x v="0"/>
    <n v="70"/>
  </r>
  <r>
    <n v="1109"/>
    <x v="4"/>
    <x v="3"/>
    <n v="11"/>
    <n v="-0.39800000000000002"/>
    <x v="2"/>
    <x v="1"/>
    <x v="0"/>
    <n v="0.39800000000000002"/>
  </r>
  <r>
    <n v="1110"/>
    <x v="4"/>
    <x v="3"/>
    <n v="11"/>
    <n v="-2.4340000000000002"/>
    <x v="0"/>
    <x v="0"/>
    <x v="0"/>
    <n v="2.4340000000000002"/>
  </r>
  <r>
    <n v="1111"/>
    <x v="4"/>
    <x v="3"/>
    <n v="16"/>
    <n v="-0.8"/>
    <x v="2"/>
    <x v="1"/>
    <x v="0"/>
    <n v="0.8"/>
  </r>
  <r>
    <n v="1112"/>
    <x v="4"/>
    <x v="3"/>
    <n v="25"/>
    <n v="-47.94"/>
    <x v="6"/>
    <x v="4"/>
    <x v="0"/>
    <n v="47.94"/>
  </r>
  <r>
    <n v="1113"/>
    <x v="4"/>
    <x v="3"/>
    <n v="25"/>
    <n v="-46.4"/>
    <x v="12"/>
    <x v="1"/>
    <x v="0"/>
    <n v="46.4"/>
  </r>
  <r>
    <n v="1114"/>
    <x v="4"/>
    <x v="3"/>
    <n v="25"/>
    <n v="425.178"/>
    <x v="4"/>
    <x v="3"/>
    <x v="1"/>
    <n v="425.178"/>
  </r>
  <r>
    <n v="1115"/>
    <x v="4"/>
    <x v="3"/>
    <n v="30"/>
    <n v="2E-3"/>
    <x v="3"/>
    <x v="2"/>
    <x v="1"/>
    <n v="2E-3"/>
  </r>
  <r>
    <n v="1116"/>
    <x v="4"/>
    <x v="3"/>
    <n v="30"/>
    <n v="-1.198"/>
    <x v="2"/>
    <x v="1"/>
    <x v="0"/>
    <n v="1.198"/>
  </r>
  <r>
    <n v="1117"/>
    <x v="4"/>
    <x v="3"/>
    <n v="30"/>
    <n v="-0.9"/>
    <x v="2"/>
    <x v="1"/>
    <x v="0"/>
    <n v="0.9"/>
  </r>
  <r>
    <n v="1118"/>
    <x v="4"/>
    <x v="3"/>
    <n v="30"/>
    <n v="-2E-3"/>
    <x v="2"/>
    <x v="1"/>
    <x v="0"/>
    <n v="2E-3"/>
  </r>
  <r>
    <n v="1119"/>
    <x v="4"/>
    <x v="4"/>
    <n v="1"/>
    <n v="-56.834000000000003"/>
    <x v="13"/>
    <x v="1"/>
    <x v="0"/>
    <n v="56.834000000000003"/>
  </r>
  <r>
    <n v="1120"/>
    <x v="4"/>
    <x v="4"/>
    <n v="1"/>
    <n v="-6.0039999999999996"/>
    <x v="18"/>
    <x v="1"/>
    <x v="0"/>
    <n v="6.0039999999999996"/>
  </r>
  <r>
    <n v="1121"/>
    <x v="4"/>
    <x v="4"/>
    <n v="1"/>
    <n v="-9.7200000000000006"/>
    <x v="19"/>
    <x v="1"/>
    <x v="0"/>
    <n v="9.7200000000000006"/>
  </r>
  <r>
    <n v="1122"/>
    <x v="4"/>
    <x v="4"/>
    <n v="1"/>
    <n v="-12.906000000000001"/>
    <x v="16"/>
    <x v="1"/>
    <x v="0"/>
    <n v="12.906000000000001"/>
  </r>
  <r>
    <n v="1123"/>
    <x v="4"/>
    <x v="4"/>
    <n v="1"/>
    <n v="-12.214"/>
    <x v="1"/>
    <x v="1"/>
    <x v="0"/>
    <n v="12.214"/>
  </r>
  <r>
    <n v="1124"/>
    <x v="4"/>
    <x v="4"/>
    <n v="5"/>
    <n v="-30.6"/>
    <x v="11"/>
    <x v="1"/>
    <x v="0"/>
    <n v="30.6"/>
  </r>
  <r>
    <n v="1125"/>
    <x v="4"/>
    <x v="4"/>
    <n v="6"/>
    <n v="54.248000000000005"/>
    <x v="8"/>
    <x v="3"/>
    <x v="1"/>
    <n v="54.248000000000005"/>
  </r>
  <r>
    <n v="1126"/>
    <x v="4"/>
    <x v="4"/>
    <n v="9"/>
    <n v="-7.2840000000000007"/>
    <x v="0"/>
    <x v="0"/>
    <x v="0"/>
    <n v="7.2840000000000007"/>
  </r>
  <r>
    <n v="1127"/>
    <x v="4"/>
    <x v="4"/>
    <n v="12"/>
    <n v="-20.131999999999998"/>
    <x v="0"/>
    <x v="0"/>
    <x v="0"/>
    <n v="20.131999999999998"/>
  </r>
  <r>
    <n v="1128"/>
    <x v="4"/>
    <x v="4"/>
    <n v="13"/>
    <n v="-2.1399999999999997"/>
    <x v="0"/>
    <x v="0"/>
    <x v="0"/>
    <n v="2.1399999999999997"/>
  </r>
  <r>
    <n v="1129"/>
    <x v="4"/>
    <x v="4"/>
    <n v="13"/>
    <n v="-25.624000000000002"/>
    <x v="0"/>
    <x v="0"/>
    <x v="0"/>
    <n v="25.624000000000002"/>
  </r>
  <r>
    <n v="1130"/>
    <x v="4"/>
    <x v="4"/>
    <n v="14"/>
    <n v="-0.39800000000000002"/>
    <x v="2"/>
    <x v="1"/>
    <x v="0"/>
    <n v="0.39800000000000002"/>
  </r>
  <r>
    <n v="1131"/>
    <x v="4"/>
    <x v="4"/>
    <n v="14"/>
    <n v="-3.0579999999999998"/>
    <x v="0"/>
    <x v="0"/>
    <x v="0"/>
    <n v="3.0579999999999998"/>
  </r>
  <r>
    <n v="1132"/>
    <x v="4"/>
    <x v="4"/>
    <n v="16"/>
    <n v="21.919999999999998"/>
    <x v="3"/>
    <x v="2"/>
    <x v="1"/>
    <n v="21.919999999999998"/>
  </r>
  <r>
    <n v="1133"/>
    <x v="4"/>
    <x v="4"/>
    <n v="16"/>
    <n v="-0.8"/>
    <x v="2"/>
    <x v="1"/>
    <x v="0"/>
    <n v="0.8"/>
  </r>
  <r>
    <n v="1134"/>
    <x v="4"/>
    <x v="4"/>
    <n v="22"/>
    <n v="-8.0739999999999998"/>
    <x v="0"/>
    <x v="0"/>
    <x v="0"/>
    <n v="8.0739999999999998"/>
  </r>
  <r>
    <n v="1135"/>
    <x v="4"/>
    <x v="4"/>
    <n v="26"/>
    <n v="-16.2"/>
    <x v="14"/>
    <x v="1"/>
    <x v="0"/>
    <n v="16.2"/>
  </r>
  <r>
    <n v="1136"/>
    <x v="4"/>
    <x v="4"/>
    <n v="26"/>
    <n v="425.178"/>
    <x v="4"/>
    <x v="3"/>
    <x v="1"/>
    <n v="425.178"/>
  </r>
  <r>
    <n v="1137"/>
    <x v="4"/>
    <x v="4"/>
    <n v="30"/>
    <n v="-9.5560000000000009"/>
    <x v="0"/>
    <x v="0"/>
    <x v="0"/>
    <n v="9.5560000000000009"/>
  </r>
  <r>
    <n v="1138"/>
    <x v="4"/>
    <x v="4"/>
    <n v="31"/>
    <n v="2E-3"/>
    <x v="3"/>
    <x v="2"/>
    <x v="1"/>
    <n v="2E-3"/>
  </r>
  <r>
    <n v="1139"/>
    <x v="4"/>
    <x v="4"/>
    <n v="31"/>
    <n v="-1.198"/>
    <x v="2"/>
    <x v="1"/>
    <x v="0"/>
    <n v="1.198"/>
  </r>
  <r>
    <n v="1140"/>
    <x v="4"/>
    <x v="4"/>
    <n v="31"/>
    <n v="-0.7"/>
    <x v="2"/>
    <x v="1"/>
    <x v="0"/>
    <n v="0.7"/>
  </r>
  <r>
    <n v="1141"/>
    <x v="4"/>
    <x v="4"/>
    <n v="31"/>
    <n v="-2E-3"/>
    <x v="2"/>
    <x v="1"/>
    <x v="0"/>
    <n v="2E-3"/>
  </r>
  <r>
    <n v="1142"/>
    <x v="4"/>
    <x v="4"/>
    <n v="31"/>
    <n v="-4.8"/>
    <x v="13"/>
    <x v="1"/>
    <x v="0"/>
    <n v="4.8"/>
  </r>
  <r>
    <n v="1143"/>
    <x v="4"/>
    <x v="5"/>
    <n v="1"/>
    <n v="-8.98"/>
    <x v="1"/>
    <x v="1"/>
    <x v="0"/>
    <n v="8.98"/>
  </r>
  <r>
    <n v="1144"/>
    <x v="4"/>
    <x v="5"/>
    <n v="1"/>
    <n v="-56.834000000000003"/>
    <x v="13"/>
    <x v="1"/>
    <x v="0"/>
    <n v="56.834000000000003"/>
  </r>
  <r>
    <n v="1145"/>
    <x v="4"/>
    <x v="5"/>
    <n v="1"/>
    <n v="-9.7200000000000006"/>
    <x v="19"/>
    <x v="1"/>
    <x v="0"/>
    <n v="9.7200000000000006"/>
  </r>
  <r>
    <n v="1146"/>
    <x v="4"/>
    <x v="5"/>
    <n v="5"/>
    <n v="-7.9459999999999997"/>
    <x v="0"/>
    <x v="0"/>
    <x v="0"/>
    <n v="7.9459999999999997"/>
  </r>
  <r>
    <n v="1147"/>
    <x v="4"/>
    <x v="5"/>
    <n v="9"/>
    <n v="-1.6719999999999999"/>
    <x v="0"/>
    <x v="0"/>
    <x v="0"/>
    <n v="1.6719999999999999"/>
  </r>
  <r>
    <n v="1148"/>
    <x v="4"/>
    <x v="5"/>
    <n v="11"/>
    <n v="-7.9560000000000004"/>
    <x v="0"/>
    <x v="0"/>
    <x v="0"/>
    <n v="7.9560000000000004"/>
  </r>
  <r>
    <n v="1149"/>
    <x v="4"/>
    <x v="5"/>
    <n v="11"/>
    <n v="-4.3259999999999996"/>
    <x v="0"/>
    <x v="0"/>
    <x v="0"/>
    <n v="4.3259999999999996"/>
  </r>
  <r>
    <n v="1150"/>
    <x v="4"/>
    <x v="5"/>
    <n v="13"/>
    <n v="-0.39800000000000002"/>
    <x v="2"/>
    <x v="1"/>
    <x v="0"/>
    <n v="0.39800000000000002"/>
  </r>
  <r>
    <n v="1151"/>
    <x v="4"/>
    <x v="5"/>
    <n v="13"/>
    <n v="-6.6639999999999997"/>
    <x v="0"/>
    <x v="0"/>
    <x v="0"/>
    <n v="6.6639999999999997"/>
  </r>
  <r>
    <n v="1152"/>
    <x v="4"/>
    <x v="5"/>
    <n v="13"/>
    <n v="-2.7640000000000002"/>
    <x v="0"/>
    <x v="0"/>
    <x v="0"/>
    <n v="2.7640000000000002"/>
  </r>
  <r>
    <n v="1153"/>
    <x v="4"/>
    <x v="5"/>
    <n v="14"/>
    <n v="-1.98"/>
    <x v="7"/>
    <x v="5"/>
    <x v="0"/>
    <n v="1.98"/>
  </r>
  <r>
    <n v="1154"/>
    <x v="4"/>
    <x v="5"/>
    <n v="16"/>
    <n v="-0.8"/>
    <x v="2"/>
    <x v="1"/>
    <x v="0"/>
    <n v="0.8"/>
  </r>
  <r>
    <n v="1155"/>
    <x v="4"/>
    <x v="5"/>
    <n v="20"/>
    <n v="-31.026"/>
    <x v="0"/>
    <x v="0"/>
    <x v="0"/>
    <n v="31.026"/>
  </r>
  <r>
    <n v="1156"/>
    <x v="4"/>
    <x v="5"/>
    <n v="21"/>
    <n v="-15.772"/>
    <x v="0"/>
    <x v="0"/>
    <x v="0"/>
    <n v="15.772"/>
  </r>
  <r>
    <n v="1157"/>
    <x v="4"/>
    <x v="5"/>
    <n v="24"/>
    <n v="-21.4"/>
    <x v="14"/>
    <x v="1"/>
    <x v="0"/>
    <n v="21.4"/>
  </r>
  <r>
    <n v="1158"/>
    <x v="4"/>
    <x v="5"/>
    <n v="25"/>
    <n v="425.178"/>
    <x v="4"/>
    <x v="3"/>
    <x v="1"/>
    <n v="425.178"/>
  </r>
  <r>
    <n v="1159"/>
    <x v="4"/>
    <x v="5"/>
    <n v="25"/>
    <n v="-0.65400000000000003"/>
    <x v="0"/>
    <x v="0"/>
    <x v="0"/>
    <n v="0.65400000000000003"/>
  </r>
  <r>
    <n v="1160"/>
    <x v="4"/>
    <x v="5"/>
    <n v="26"/>
    <n v="-5.13"/>
    <x v="0"/>
    <x v="0"/>
    <x v="0"/>
    <n v="5.13"/>
  </r>
  <r>
    <n v="1161"/>
    <x v="4"/>
    <x v="5"/>
    <n v="27"/>
    <n v="-2.8479999999999999"/>
    <x v="0"/>
    <x v="0"/>
    <x v="0"/>
    <n v="2.8479999999999999"/>
  </r>
  <r>
    <n v="1162"/>
    <x v="4"/>
    <x v="5"/>
    <n v="30"/>
    <n v="4.0000000000000001E-3"/>
    <x v="3"/>
    <x v="2"/>
    <x v="1"/>
    <n v="4.0000000000000001E-3"/>
  </r>
  <r>
    <n v="1163"/>
    <x v="4"/>
    <x v="5"/>
    <n v="30"/>
    <n v="-1.198"/>
    <x v="2"/>
    <x v="1"/>
    <x v="0"/>
    <n v="1.198"/>
  </r>
  <r>
    <n v="1164"/>
    <x v="4"/>
    <x v="5"/>
    <n v="30"/>
    <n v="-0.5"/>
    <x v="2"/>
    <x v="1"/>
    <x v="0"/>
    <n v="0.5"/>
  </r>
  <r>
    <n v="1165"/>
    <x v="4"/>
    <x v="5"/>
    <n v="30"/>
    <n v="-2E-3"/>
    <x v="2"/>
    <x v="1"/>
    <x v="0"/>
    <n v="2E-3"/>
  </r>
  <r>
    <n v="1166"/>
    <x v="4"/>
    <x v="6"/>
    <n v="1"/>
    <n v="-40"/>
    <x v="0"/>
    <x v="0"/>
    <x v="0"/>
    <n v="40"/>
  </r>
  <r>
    <n v="1167"/>
    <x v="4"/>
    <x v="6"/>
    <n v="1"/>
    <n v="-8.98"/>
    <x v="1"/>
    <x v="1"/>
    <x v="0"/>
    <n v="8.98"/>
  </r>
  <r>
    <n v="1168"/>
    <x v="4"/>
    <x v="6"/>
    <n v="1"/>
    <n v="-56.834000000000003"/>
    <x v="13"/>
    <x v="1"/>
    <x v="0"/>
    <n v="56.834000000000003"/>
  </r>
  <r>
    <n v="1169"/>
    <x v="4"/>
    <x v="6"/>
    <n v="1"/>
    <n v="-8.1920000000000002"/>
    <x v="18"/>
    <x v="1"/>
    <x v="0"/>
    <n v="8.1920000000000002"/>
  </r>
  <r>
    <n v="1170"/>
    <x v="4"/>
    <x v="6"/>
    <n v="1"/>
    <n v="-9.7200000000000006"/>
    <x v="19"/>
    <x v="1"/>
    <x v="0"/>
    <n v="9.7200000000000006"/>
  </r>
  <r>
    <n v="1171"/>
    <x v="4"/>
    <x v="6"/>
    <n v="1"/>
    <n v="-14.180000000000001"/>
    <x v="16"/>
    <x v="1"/>
    <x v="0"/>
    <n v="14.180000000000001"/>
  </r>
  <r>
    <n v="1172"/>
    <x v="4"/>
    <x v="6"/>
    <n v="3"/>
    <n v="-11.8"/>
    <x v="0"/>
    <x v="0"/>
    <x v="0"/>
    <n v="11.8"/>
  </r>
  <r>
    <n v="1173"/>
    <x v="4"/>
    <x v="6"/>
    <n v="4"/>
    <n v="-6.3780000000000001"/>
    <x v="0"/>
    <x v="0"/>
    <x v="0"/>
    <n v="6.3780000000000001"/>
  </r>
  <r>
    <n v="1174"/>
    <x v="4"/>
    <x v="6"/>
    <n v="5"/>
    <n v="-72.455999999999989"/>
    <x v="17"/>
    <x v="4"/>
    <x v="0"/>
    <n v="72.455999999999989"/>
  </r>
  <r>
    <n v="1175"/>
    <x v="4"/>
    <x v="6"/>
    <n v="7"/>
    <n v="-32.277999999999999"/>
    <x v="14"/>
    <x v="1"/>
    <x v="0"/>
    <n v="32.277999999999999"/>
  </r>
  <r>
    <n v="1176"/>
    <x v="4"/>
    <x v="6"/>
    <n v="10"/>
    <n v="-0.39800000000000002"/>
    <x v="2"/>
    <x v="1"/>
    <x v="0"/>
    <n v="0.39800000000000002"/>
  </r>
  <r>
    <n v="1177"/>
    <x v="4"/>
    <x v="6"/>
    <n v="10"/>
    <n v="-10.168000000000001"/>
    <x v="0"/>
    <x v="0"/>
    <x v="0"/>
    <n v="10.168000000000001"/>
  </r>
  <r>
    <n v="1178"/>
    <x v="4"/>
    <x v="6"/>
    <n v="11"/>
    <n v="-55.798000000000002"/>
    <x v="6"/>
    <x v="4"/>
    <x v="0"/>
    <n v="55.798000000000002"/>
  </r>
  <r>
    <n v="1179"/>
    <x v="4"/>
    <x v="6"/>
    <n v="15"/>
    <n v="-5.758"/>
    <x v="0"/>
    <x v="0"/>
    <x v="0"/>
    <n v="5.758"/>
  </r>
  <r>
    <n v="1180"/>
    <x v="4"/>
    <x v="6"/>
    <n v="16"/>
    <n v="-0.8"/>
    <x v="2"/>
    <x v="1"/>
    <x v="0"/>
    <n v="0.8"/>
  </r>
  <r>
    <n v="1181"/>
    <x v="4"/>
    <x v="6"/>
    <n v="25"/>
    <n v="425.178"/>
    <x v="4"/>
    <x v="3"/>
    <x v="1"/>
    <n v="425.178"/>
  </r>
  <r>
    <n v="1182"/>
    <x v="4"/>
    <x v="6"/>
    <n v="29"/>
    <n v="-2"/>
    <x v="0"/>
    <x v="0"/>
    <x v="0"/>
    <n v="2"/>
  </r>
  <r>
    <n v="1183"/>
    <x v="4"/>
    <x v="6"/>
    <n v="29"/>
    <n v="-3.3840000000000003"/>
    <x v="0"/>
    <x v="0"/>
    <x v="0"/>
    <n v="3.3840000000000003"/>
  </r>
  <r>
    <n v="1184"/>
    <x v="4"/>
    <x v="6"/>
    <n v="31"/>
    <n v="2E-3"/>
    <x v="3"/>
    <x v="2"/>
    <x v="1"/>
    <n v="2E-3"/>
  </r>
  <r>
    <n v="1185"/>
    <x v="4"/>
    <x v="6"/>
    <n v="31"/>
    <n v="-1.198"/>
    <x v="2"/>
    <x v="1"/>
    <x v="0"/>
    <n v="1.198"/>
  </r>
  <r>
    <n v="1186"/>
    <x v="4"/>
    <x v="6"/>
    <n v="31"/>
    <n v="-2E-3"/>
    <x v="2"/>
    <x v="1"/>
    <x v="0"/>
    <n v="2E-3"/>
  </r>
  <r>
    <n v="1187"/>
    <x v="4"/>
    <x v="7"/>
    <n v="1"/>
    <n v="-18.758000000000003"/>
    <x v="0"/>
    <x v="0"/>
    <x v="0"/>
    <n v="18.758000000000003"/>
  </r>
  <r>
    <n v="1188"/>
    <x v="4"/>
    <x v="7"/>
    <n v="2"/>
    <n v="-56.834000000000003"/>
    <x v="13"/>
    <x v="1"/>
    <x v="0"/>
    <n v="56.834000000000003"/>
  </r>
  <r>
    <n v="1189"/>
    <x v="4"/>
    <x v="7"/>
    <n v="2"/>
    <n v="-9.7200000000000006"/>
    <x v="19"/>
    <x v="1"/>
    <x v="0"/>
    <n v="9.7200000000000006"/>
  </r>
  <r>
    <n v="1190"/>
    <x v="4"/>
    <x v="7"/>
    <n v="2"/>
    <n v="-4.8"/>
    <x v="13"/>
    <x v="1"/>
    <x v="0"/>
    <n v="4.8"/>
  </r>
  <r>
    <n v="1191"/>
    <x v="4"/>
    <x v="7"/>
    <n v="2"/>
    <n v="-8.98"/>
    <x v="1"/>
    <x v="1"/>
    <x v="0"/>
    <n v="8.98"/>
  </r>
  <r>
    <n v="1192"/>
    <x v="4"/>
    <x v="7"/>
    <n v="4"/>
    <n v="-5.9659999999999993"/>
    <x v="0"/>
    <x v="0"/>
    <x v="0"/>
    <n v="5.9659999999999993"/>
  </r>
  <r>
    <n v="1193"/>
    <x v="4"/>
    <x v="7"/>
    <n v="5"/>
    <n v="-3.3979999999999997"/>
    <x v="7"/>
    <x v="5"/>
    <x v="0"/>
    <n v="3.3979999999999997"/>
  </r>
  <r>
    <n v="1194"/>
    <x v="4"/>
    <x v="7"/>
    <n v="8"/>
    <n v="-5.6020000000000003"/>
    <x v="0"/>
    <x v="0"/>
    <x v="0"/>
    <n v="5.6020000000000003"/>
  </r>
  <r>
    <n v="1195"/>
    <x v="4"/>
    <x v="7"/>
    <n v="11"/>
    <n v="65.412000000000006"/>
    <x v="8"/>
    <x v="3"/>
    <x v="1"/>
    <n v="65.412000000000006"/>
  </r>
  <r>
    <n v="1196"/>
    <x v="4"/>
    <x v="7"/>
    <n v="12"/>
    <n v="-6.9939999999999998"/>
    <x v="0"/>
    <x v="0"/>
    <x v="0"/>
    <n v="6.9939999999999998"/>
  </r>
  <r>
    <n v="1197"/>
    <x v="4"/>
    <x v="7"/>
    <n v="14"/>
    <n v="-0.39800000000000002"/>
    <x v="2"/>
    <x v="1"/>
    <x v="0"/>
    <n v="0.39800000000000002"/>
  </r>
  <r>
    <n v="1198"/>
    <x v="4"/>
    <x v="7"/>
    <n v="16"/>
    <n v="-0.8"/>
    <x v="2"/>
    <x v="1"/>
    <x v="0"/>
    <n v="0.8"/>
  </r>
  <r>
    <n v="1199"/>
    <x v="4"/>
    <x v="7"/>
    <n v="17"/>
    <n v="-6.9799999999999995"/>
    <x v="0"/>
    <x v="0"/>
    <x v="0"/>
    <n v="6.9799999999999995"/>
  </r>
  <r>
    <n v="1200"/>
    <x v="4"/>
    <x v="7"/>
    <n v="18"/>
    <n v="-6"/>
    <x v="0"/>
    <x v="0"/>
    <x v="0"/>
    <n v="6"/>
  </r>
  <r>
    <n v="1201"/>
    <x v="4"/>
    <x v="7"/>
    <n v="19"/>
    <n v="22.552"/>
    <x v="3"/>
    <x v="2"/>
    <x v="1"/>
    <n v="22.552"/>
  </r>
  <r>
    <n v="1202"/>
    <x v="4"/>
    <x v="7"/>
    <n v="20"/>
    <n v="-5.3680000000000003"/>
    <x v="0"/>
    <x v="0"/>
    <x v="0"/>
    <n v="5.3680000000000003"/>
  </r>
  <r>
    <n v="1203"/>
    <x v="4"/>
    <x v="7"/>
    <n v="20"/>
    <n v="-1.948"/>
    <x v="0"/>
    <x v="0"/>
    <x v="0"/>
    <n v="1.948"/>
  </r>
  <r>
    <n v="1204"/>
    <x v="4"/>
    <x v="7"/>
    <n v="22"/>
    <n v="-4.2799999999999994"/>
    <x v="0"/>
    <x v="0"/>
    <x v="0"/>
    <n v="4.2799999999999994"/>
  </r>
  <r>
    <n v="1205"/>
    <x v="4"/>
    <x v="7"/>
    <n v="24"/>
    <n v="-4"/>
    <x v="0"/>
    <x v="0"/>
    <x v="0"/>
    <n v="4"/>
  </r>
  <r>
    <n v="1206"/>
    <x v="4"/>
    <x v="7"/>
    <n v="25"/>
    <n v="425.178"/>
    <x v="4"/>
    <x v="3"/>
    <x v="1"/>
    <n v="425.178"/>
  </r>
  <r>
    <n v="1207"/>
    <x v="4"/>
    <x v="7"/>
    <n v="25"/>
    <n v="-3.6119999999999997"/>
    <x v="0"/>
    <x v="0"/>
    <x v="0"/>
    <n v="3.6119999999999997"/>
  </r>
  <r>
    <n v="1208"/>
    <x v="4"/>
    <x v="7"/>
    <n v="27"/>
    <n v="-5.0140000000000002"/>
    <x v="0"/>
    <x v="0"/>
    <x v="0"/>
    <n v="5.0140000000000002"/>
  </r>
  <r>
    <n v="1209"/>
    <x v="4"/>
    <x v="7"/>
    <n v="31"/>
    <n v="8.0000000000000002E-3"/>
    <x v="3"/>
    <x v="2"/>
    <x v="1"/>
    <n v="8.0000000000000002E-3"/>
  </r>
  <r>
    <n v="1210"/>
    <x v="4"/>
    <x v="7"/>
    <n v="31"/>
    <n v="-1.198"/>
    <x v="2"/>
    <x v="1"/>
    <x v="0"/>
    <n v="1.198"/>
  </r>
  <r>
    <n v="1211"/>
    <x v="4"/>
    <x v="7"/>
    <n v="31"/>
    <n v="-0.9"/>
    <x v="2"/>
    <x v="1"/>
    <x v="0"/>
    <n v="0.9"/>
  </r>
  <r>
    <n v="1212"/>
    <x v="4"/>
    <x v="7"/>
    <n v="31"/>
    <n v="-2E-3"/>
    <x v="2"/>
    <x v="1"/>
    <x v="0"/>
    <n v="2E-3"/>
  </r>
  <r>
    <n v="1213"/>
    <x v="4"/>
    <x v="8"/>
    <n v="1"/>
    <n v="-9.17"/>
    <x v="1"/>
    <x v="1"/>
    <x v="0"/>
    <n v="9.17"/>
  </r>
  <r>
    <n v="1214"/>
    <x v="4"/>
    <x v="8"/>
    <n v="1"/>
    <n v="-46.4"/>
    <x v="12"/>
    <x v="1"/>
    <x v="0"/>
    <n v="46.4"/>
  </r>
  <r>
    <n v="1215"/>
    <x v="4"/>
    <x v="8"/>
    <n v="1"/>
    <n v="-56.834000000000003"/>
    <x v="13"/>
    <x v="1"/>
    <x v="0"/>
    <n v="56.834000000000003"/>
  </r>
  <r>
    <n v="1216"/>
    <x v="4"/>
    <x v="8"/>
    <n v="1"/>
    <n v="-6.4819999999999993"/>
    <x v="18"/>
    <x v="1"/>
    <x v="0"/>
    <n v="6.4819999999999993"/>
  </r>
  <r>
    <n v="1217"/>
    <x v="4"/>
    <x v="8"/>
    <n v="1"/>
    <n v="-9.7200000000000006"/>
    <x v="19"/>
    <x v="1"/>
    <x v="0"/>
    <n v="9.7200000000000006"/>
  </r>
  <r>
    <n v="1218"/>
    <x v="4"/>
    <x v="8"/>
    <n v="1"/>
    <n v="-13.330000000000002"/>
    <x v="16"/>
    <x v="1"/>
    <x v="0"/>
    <n v="13.330000000000002"/>
  </r>
  <r>
    <n v="1219"/>
    <x v="4"/>
    <x v="8"/>
    <n v="3"/>
    <n v="-20"/>
    <x v="7"/>
    <x v="5"/>
    <x v="0"/>
    <n v="20"/>
  </r>
  <r>
    <n v="1220"/>
    <x v="4"/>
    <x v="8"/>
    <n v="3"/>
    <n v="-4.5780000000000003"/>
    <x v="0"/>
    <x v="0"/>
    <x v="0"/>
    <n v="4.5780000000000003"/>
  </r>
  <r>
    <n v="1221"/>
    <x v="4"/>
    <x v="8"/>
    <n v="3"/>
    <n v="-3.22"/>
    <x v="0"/>
    <x v="0"/>
    <x v="0"/>
    <n v="3.22"/>
  </r>
  <r>
    <n v="1222"/>
    <x v="4"/>
    <x v="8"/>
    <n v="6"/>
    <n v="-13.706"/>
    <x v="0"/>
    <x v="0"/>
    <x v="0"/>
    <n v="13.706"/>
  </r>
  <r>
    <n v="1223"/>
    <x v="4"/>
    <x v="8"/>
    <n v="8"/>
    <n v="-52.712000000000003"/>
    <x v="0"/>
    <x v="0"/>
    <x v="0"/>
    <n v="52.712000000000003"/>
  </r>
  <r>
    <n v="1224"/>
    <x v="4"/>
    <x v="8"/>
    <n v="12"/>
    <n v="-0.39800000000000002"/>
    <x v="2"/>
    <x v="1"/>
    <x v="0"/>
    <n v="0.39800000000000002"/>
  </r>
  <r>
    <n v="1225"/>
    <x v="4"/>
    <x v="8"/>
    <n v="12"/>
    <n v="-8.581999999999999"/>
    <x v="0"/>
    <x v="0"/>
    <x v="0"/>
    <n v="8.581999999999999"/>
  </r>
  <r>
    <n v="1226"/>
    <x v="4"/>
    <x v="8"/>
    <n v="15"/>
    <n v="-11.943999999999999"/>
    <x v="0"/>
    <x v="0"/>
    <x v="0"/>
    <n v="11.943999999999999"/>
  </r>
  <r>
    <n v="1227"/>
    <x v="4"/>
    <x v="8"/>
    <n v="16"/>
    <n v="-0.8"/>
    <x v="2"/>
    <x v="1"/>
    <x v="0"/>
    <n v="0.8"/>
  </r>
  <r>
    <n v="1228"/>
    <x v="4"/>
    <x v="8"/>
    <n v="19"/>
    <n v="-120"/>
    <x v="7"/>
    <x v="5"/>
    <x v="0"/>
    <n v="120"/>
  </r>
  <r>
    <n v="1229"/>
    <x v="4"/>
    <x v="8"/>
    <n v="19"/>
    <n v="84.8"/>
    <x v="9"/>
    <x v="3"/>
    <x v="1"/>
    <n v="84.8"/>
  </r>
  <r>
    <n v="1230"/>
    <x v="4"/>
    <x v="8"/>
    <n v="24"/>
    <n v="-21"/>
    <x v="14"/>
    <x v="1"/>
    <x v="0"/>
    <n v="21"/>
  </r>
  <r>
    <n v="1231"/>
    <x v="4"/>
    <x v="8"/>
    <n v="25"/>
    <n v="425.178"/>
    <x v="4"/>
    <x v="3"/>
    <x v="1"/>
    <n v="425.178"/>
  </r>
  <r>
    <n v="1232"/>
    <x v="4"/>
    <x v="8"/>
    <n v="30"/>
    <n v="8.0000000000000002E-3"/>
    <x v="3"/>
    <x v="2"/>
    <x v="1"/>
    <n v="8.0000000000000002E-3"/>
  </r>
  <r>
    <n v="1233"/>
    <x v="4"/>
    <x v="8"/>
    <n v="30"/>
    <n v="-1.198"/>
    <x v="2"/>
    <x v="1"/>
    <x v="0"/>
    <n v="1.198"/>
  </r>
  <r>
    <n v="1234"/>
    <x v="4"/>
    <x v="8"/>
    <n v="30"/>
    <n v="-0.1"/>
    <x v="2"/>
    <x v="1"/>
    <x v="0"/>
    <n v="0.1"/>
  </r>
  <r>
    <n v="1235"/>
    <x v="4"/>
    <x v="8"/>
    <n v="30"/>
    <n v="-2E-3"/>
    <x v="2"/>
    <x v="1"/>
    <x v="0"/>
    <n v="2E-3"/>
  </r>
  <r>
    <n v="1236"/>
    <x v="4"/>
    <x v="9"/>
    <n v="1"/>
    <n v="-56.834000000000003"/>
    <x v="13"/>
    <x v="1"/>
    <x v="0"/>
    <n v="56.834000000000003"/>
  </r>
  <r>
    <n v="1237"/>
    <x v="4"/>
    <x v="9"/>
    <n v="1"/>
    <n v="-8.5"/>
    <x v="19"/>
    <x v="1"/>
    <x v="0"/>
    <n v="8.5"/>
  </r>
  <r>
    <n v="1238"/>
    <x v="4"/>
    <x v="9"/>
    <n v="1"/>
    <n v="-4.8"/>
    <x v="13"/>
    <x v="1"/>
    <x v="0"/>
    <n v="4.8"/>
  </r>
  <r>
    <n v="1239"/>
    <x v="4"/>
    <x v="9"/>
    <n v="1"/>
    <n v="-9.0299999999999994"/>
    <x v="1"/>
    <x v="1"/>
    <x v="0"/>
    <n v="9.0299999999999994"/>
  </r>
  <r>
    <n v="1240"/>
    <x v="4"/>
    <x v="9"/>
    <n v="3"/>
    <n v="-1.1539999999999999"/>
    <x v="0"/>
    <x v="0"/>
    <x v="0"/>
    <n v="1.1539999999999999"/>
  </r>
  <r>
    <n v="1241"/>
    <x v="4"/>
    <x v="9"/>
    <n v="8"/>
    <n v="-4.5039999999999996"/>
    <x v="0"/>
    <x v="0"/>
    <x v="0"/>
    <n v="4.5039999999999996"/>
  </r>
  <r>
    <n v="1242"/>
    <x v="4"/>
    <x v="9"/>
    <n v="9"/>
    <n v="-2.4"/>
    <x v="0"/>
    <x v="0"/>
    <x v="0"/>
    <n v="2.4"/>
  </r>
  <r>
    <n v="1243"/>
    <x v="4"/>
    <x v="9"/>
    <n v="16"/>
    <n v="-0.8"/>
    <x v="2"/>
    <x v="1"/>
    <x v="0"/>
    <n v="0.8"/>
  </r>
  <r>
    <n v="1244"/>
    <x v="4"/>
    <x v="9"/>
    <n v="16"/>
    <n v="-0.39800000000000002"/>
    <x v="2"/>
    <x v="1"/>
    <x v="0"/>
    <n v="0.39800000000000002"/>
  </r>
  <r>
    <n v="1245"/>
    <x v="4"/>
    <x v="9"/>
    <n v="16"/>
    <n v="-8.0719999999999992"/>
    <x v="0"/>
    <x v="0"/>
    <x v="0"/>
    <n v="8.0719999999999992"/>
  </r>
  <r>
    <n v="1246"/>
    <x v="4"/>
    <x v="9"/>
    <n v="18"/>
    <n v="-2.4"/>
    <x v="0"/>
    <x v="0"/>
    <x v="0"/>
    <n v="2.4"/>
  </r>
  <r>
    <n v="1247"/>
    <x v="4"/>
    <x v="9"/>
    <n v="23"/>
    <n v="-19.8"/>
    <x v="14"/>
    <x v="1"/>
    <x v="0"/>
    <n v="19.8"/>
  </r>
  <r>
    <n v="1248"/>
    <x v="4"/>
    <x v="9"/>
    <n v="23"/>
    <n v="-6.3280000000000003"/>
    <x v="0"/>
    <x v="0"/>
    <x v="0"/>
    <n v="6.3280000000000003"/>
  </r>
  <r>
    <n v="1249"/>
    <x v="4"/>
    <x v="9"/>
    <n v="24"/>
    <n v="-2.0539999999999998"/>
    <x v="0"/>
    <x v="0"/>
    <x v="0"/>
    <n v="2.0539999999999998"/>
  </r>
  <r>
    <n v="1250"/>
    <x v="4"/>
    <x v="9"/>
    <n v="27"/>
    <n v="425.178"/>
    <x v="4"/>
    <x v="3"/>
    <x v="1"/>
    <n v="425.178"/>
  </r>
  <r>
    <n v="1251"/>
    <x v="4"/>
    <x v="9"/>
    <n v="31"/>
    <n v="8.0000000000000002E-3"/>
    <x v="3"/>
    <x v="2"/>
    <x v="1"/>
    <n v="8.0000000000000002E-3"/>
  </r>
  <r>
    <n v="1252"/>
    <x v="4"/>
    <x v="9"/>
    <n v="31"/>
    <n v="-1.198"/>
    <x v="2"/>
    <x v="1"/>
    <x v="0"/>
    <n v="1.198"/>
  </r>
  <r>
    <n v="1253"/>
    <x v="4"/>
    <x v="9"/>
    <n v="31"/>
    <n v="-0.4"/>
    <x v="2"/>
    <x v="1"/>
    <x v="0"/>
    <n v="0.4"/>
  </r>
  <r>
    <n v="1254"/>
    <x v="4"/>
    <x v="9"/>
    <n v="31"/>
    <n v="-2E-3"/>
    <x v="2"/>
    <x v="1"/>
    <x v="0"/>
    <n v="2E-3"/>
  </r>
  <r>
    <n v="1255"/>
    <x v="4"/>
    <x v="9"/>
    <n v="31"/>
    <n v="-2.7760000000000002"/>
    <x v="0"/>
    <x v="0"/>
    <x v="0"/>
    <n v="2.7760000000000002"/>
  </r>
  <r>
    <n v="1256"/>
    <x v="4"/>
    <x v="9"/>
    <n v="31"/>
    <n v="-1.3859999999999999"/>
    <x v="0"/>
    <x v="0"/>
    <x v="0"/>
    <n v="1.3859999999999999"/>
  </r>
  <r>
    <n v="1257"/>
    <x v="4"/>
    <x v="10"/>
    <n v="1"/>
    <n v="-57.634"/>
    <x v="13"/>
    <x v="1"/>
    <x v="0"/>
    <n v="57.634"/>
  </r>
  <r>
    <n v="1258"/>
    <x v="4"/>
    <x v="10"/>
    <n v="1"/>
    <n v="-6.032"/>
    <x v="18"/>
    <x v="1"/>
    <x v="0"/>
    <n v="6.032"/>
  </r>
  <r>
    <n v="1259"/>
    <x v="4"/>
    <x v="10"/>
    <n v="1"/>
    <n v="-8.5"/>
    <x v="19"/>
    <x v="1"/>
    <x v="0"/>
    <n v="8.5"/>
  </r>
  <r>
    <n v="1260"/>
    <x v="4"/>
    <x v="10"/>
    <n v="1"/>
    <n v="-18.213999999999999"/>
    <x v="16"/>
    <x v="1"/>
    <x v="0"/>
    <n v="18.213999999999999"/>
  </r>
  <r>
    <n v="1261"/>
    <x v="4"/>
    <x v="10"/>
    <n v="1"/>
    <n v="-8.9779999999999998"/>
    <x v="1"/>
    <x v="1"/>
    <x v="0"/>
    <n v="8.9779999999999998"/>
  </r>
  <r>
    <n v="1262"/>
    <x v="4"/>
    <x v="10"/>
    <n v="4"/>
    <n v="-20"/>
    <x v="0"/>
    <x v="0"/>
    <x v="0"/>
    <n v="20"/>
  </r>
  <r>
    <n v="1263"/>
    <x v="4"/>
    <x v="10"/>
    <n v="6"/>
    <n v="-12.257999999999999"/>
    <x v="0"/>
    <x v="0"/>
    <x v="0"/>
    <n v="12.257999999999999"/>
  </r>
  <r>
    <n v="1264"/>
    <x v="4"/>
    <x v="10"/>
    <n v="7"/>
    <n v="59.929999999999993"/>
    <x v="8"/>
    <x v="3"/>
    <x v="1"/>
    <n v="59.929999999999993"/>
  </r>
  <r>
    <n v="1265"/>
    <x v="4"/>
    <x v="10"/>
    <n v="12"/>
    <n v="-4.5299999999999994"/>
    <x v="0"/>
    <x v="0"/>
    <x v="0"/>
    <n v="4.5299999999999994"/>
  </r>
  <r>
    <n v="1266"/>
    <x v="4"/>
    <x v="10"/>
    <n v="12"/>
    <n v="-5.9619999999999997"/>
    <x v="0"/>
    <x v="0"/>
    <x v="0"/>
    <n v="5.9619999999999997"/>
  </r>
  <r>
    <n v="1267"/>
    <x v="4"/>
    <x v="10"/>
    <n v="14"/>
    <n v="-3.1079999999999997"/>
    <x v="0"/>
    <x v="0"/>
    <x v="0"/>
    <n v="3.1079999999999997"/>
  </r>
  <r>
    <n v="1268"/>
    <x v="4"/>
    <x v="10"/>
    <n v="16"/>
    <n v="-0.8"/>
    <x v="2"/>
    <x v="1"/>
    <x v="0"/>
    <n v="0.8"/>
  </r>
  <r>
    <n v="1269"/>
    <x v="4"/>
    <x v="10"/>
    <n v="18"/>
    <n v="-15.847999999999999"/>
    <x v="7"/>
    <x v="5"/>
    <x v="0"/>
    <n v="15.847999999999999"/>
  </r>
  <r>
    <n v="1270"/>
    <x v="4"/>
    <x v="10"/>
    <n v="19"/>
    <n v="-0.39800000000000002"/>
    <x v="2"/>
    <x v="1"/>
    <x v="0"/>
    <n v="0.39800000000000002"/>
  </r>
  <r>
    <n v="1271"/>
    <x v="4"/>
    <x v="10"/>
    <n v="19"/>
    <n v="-1.1759999999999999"/>
    <x v="0"/>
    <x v="0"/>
    <x v="0"/>
    <n v="1.1759999999999999"/>
  </r>
  <r>
    <n v="1272"/>
    <x v="4"/>
    <x v="10"/>
    <n v="20"/>
    <n v="-80"/>
    <x v="7"/>
    <x v="5"/>
    <x v="0"/>
    <n v="80"/>
  </r>
  <r>
    <n v="1273"/>
    <x v="4"/>
    <x v="10"/>
    <n v="20"/>
    <n v="22.552"/>
    <x v="3"/>
    <x v="2"/>
    <x v="1"/>
    <n v="22.552"/>
  </r>
  <r>
    <n v="1274"/>
    <x v="4"/>
    <x v="10"/>
    <n v="20"/>
    <n v="-7.18"/>
    <x v="0"/>
    <x v="0"/>
    <x v="0"/>
    <n v="7.18"/>
  </r>
  <r>
    <n v="1275"/>
    <x v="4"/>
    <x v="10"/>
    <n v="21"/>
    <n v="80"/>
    <x v="3"/>
    <x v="2"/>
    <x v="1"/>
    <n v="80"/>
  </r>
  <r>
    <n v="1276"/>
    <x v="4"/>
    <x v="10"/>
    <n v="21"/>
    <n v="-4.8780000000000001"/>
    <x v="0"/>
    <x v="0"/>
    <x v="0"/>
    <n v="4.8780000000000001"/>
  </r>
  <r>
    <n v="1277"/>
    <x v="4"/>
    <x v="10"/>
    <n v="25"/>
    <n v="-19.8"/>
    <x v="14"/>
    <x v="1"/>
    <x v="0"/>
    <n v="19.8"/>
  </r>
  <r>
    <n v="1278"/>
    <x v="4"/>
    <x v="10"/>
    <n v="25"/>
    <n v="428.95600000000002"/>
    <x v="4"/>
    <x v="3"/>
    <x v="1"/>
    <n v="428.95600000000002"/>
  </r>
  <r>
    <n v="1279"/>
    <x v="4"/>
    <x v="10"/>
    <n v="25"/>
    <n v="-8.3339999999999996"/>
    <x v="0"/>
    <x v="0"/>
    <x v="0"/>
    <n v="8.3339999999999996"/>
  </r>
  <r>
    <n v="1280"/>
    <x v="4"/>
    <x v="10"/>
    <n v="26"/>
    <n v="-4.13"/>
    <x v="0"/>
    <x v="0"/>
    <x v="0"/>
    <n v="4.13"/>
  </r>
  <r>
    <n v="1281"/>
    <x v="4"/>
    <x v="10"/>
    <n v="26"/>
    <n v="-1.954"/>
    <x v="0"/>
    <x v="0"/>
    <x v="0"/>
    <n v="1.954"/>
  </r>
  <r>
    <n v="1282"/>
    <x v="4"/>
    <x v="10"/>
    <n v="29"/>
    <n v="-7"/>
    <x v="0"/>
    <x v="0"/>
    <x v="0"/>
    <n v="7"/>
  </r>
  <r>
    <n v="1283"/>
    <x v="4"/>
    <x v="10"/>
    <n v="29"/>
    <n v="-7"/>
    <x v="0"/>
    <x v="0"/>
    <x v="0"/>
    <n v="7"/>
  </r>
  <r>
    <n v="1284"/>
    <x v="4"/>
    <x v="10"/>
    <n v="29"/>
    <n v="-4.8"/>
    <x v="13"/>
    <x v="1"/>
    <x v="0"/>
    <n v="4.8"/>
  </r>
  <r>
    <n v="1285"/>
    <x v="4"/>
    <x v="10"/>
    <n v="30"/>
    <n v="0.01"/>
    <x v="3"/>
    <x v="2"/>
    <x v="1"/>
    <n v="0.01"/>
  </r>
  <r>
    <n v="1286"/>
    <x v="4"/>
    <x v="10"/>
    <n v="30"/>
    <n v="-1.198"/>
    <x v="2"/>
    <x v="1"/>
    <x v="0"/>
    <n v="1.198"/>
  </r>
  <r>
    <n v="1287"/>
    <x v="4"/>
    <x v="10"/>
    <n v="30"/>
    <n v="-0.9"/>
    <x v="2"/>
    <x v="1"/>
    <x v="0"/>
    <n v="0.9"/>
  </r>
  <r>
    <n v="1288"/>
    <x v="4"/>
    <x v="10"/>
    <n v="30"/>
    <n v="-2E-3"/>
    <x v="2"/>
    <x v="1"/>
    <x v="0"/>
    <n v="2E-3"/>
  </r>
  <r>
    <n v="1289"/>
    <x v="4"/>
    <x v="11"/>
    <n v="1"/>
    <n v="-8.98"/>
    <x v="1"/>
    <x v="1"/>
    <x v="0"/>
    <n v="8.98"/>
  </r>
  <r>
    <n v="1290"/>
    <x v="4"/>
    <x v="11"/>
    <n v="1"/>
    <n v="-56.834000000000003"/>
    <x v="13"/>
    <x v="1"/>
    <x v="0"/>
    <n v="56.834000000000003"/>
  </r>
  <r>
    <n v="1291"/>
    <x v="4"/>
    <x v="11"/>
    <n v="1"/>
    <n v="-8.5"/>
    <x v="19"/>
    <x v="1"/>
    <x v="0"/>
    <n v="8.5"/>
  </r>
  <r>
    <n v="1292"/>
    <x v="4"/>
    <x v="11"/>
    <n v="3"/>
    <n v="-5.6079999999999997"/>
    <x v="0"/>
    <x v="0"/>
    <x v="0"/>
    <n v="5.6079999999999997"/>
  </r>
  <r>
    <n v="1293"/>
    <x v="4"/>
    <x v="11"/>
    <n v="3"/>
    <n v="-0.82799999999999996"/>
    <x v="0"/>
    <x v="0"/>
    <x v="0"/>
    <n v="0.82799999999999996"/>
  </r>
  <r>
    <n v="1294"/>
    <x v="4"/>
    <x v="11"/>
    <n v="4"/>
    <n v="-20"/>
    <x v="14"/>
    <x v="1"/>
    <x v="0"/>
    <n v="20"/>
  </r>
  <r>
    <n v="1295"/>
    <x v="4"/>
    <x v="11"/>
    <n v="4"/>
    <n v="-10.220000000000001"/>
    <x v="0"/>
    <x v="0"/>
    <x v="0"/>
    <n v="10.220000000000001"/>
  </r>
  <r>
    <n v="1296"/>
    <x v="4"/>
    <x v="11"/>
    <n v="5"/>
    <n v="77"/>
    <x v="9"/>
    <x v="3"/>
    <x v="1"/>
    <n v="77"/>
  </r>
  <r>
    <n v="1297"/>
    <x v="4"/>
    <x v="11"/>
    <n v="9"/>
    <n v="-14.228"/>
    <x v="0"/>
    <x v="0"/>
    <x v="0"/>
    <n v="14.228"/>
  </r>
  <r>
    <n v="1298"/>
    <x v="4"/>
    <x v="11"/>
    <n v="13"/>
    <n v="-6.9799999999999995"/>
    <x v="0"/>
    <x v="0"/>
    <x v="0"/>
    <n v="6.9799999999999995"/>
  </r>
  <r>
    <n v="1299"/>
    <x v="4"/>
    <x v="11"/>
    <n v="15"/>
    <n v="-3.7320000000000002"/>
    <x v="0"/>
    <x v="0"/>
    <x v="0"/>
    <n v="3.7320000000000002"/>
  </r>
  <r>
    <n v="1300"/>
    <x v="4"/>
    <x v="11"/>
    <n v="16"/>
    <n v="-0.8"/>
    <x v="2"/>
    <x v="1"/>
    <x v="0"/>
    <n v="0.8"/>
  </r>
  <r>
    <n v="1301"/>
    <x v="4"/>
    <x v="11"/>
    <n v="16"/>
    <n v="-0.39800000000000002"/>
    <x v="2"/>
    <x v="1"/>
    <x v="0"/>
    <n v="0.39800000000000002"/>
  </r>
  <r>
    <n v="1302"/>
    <x v="4"/>
    <x v="11"/>
    <n v="18"/>
    <n v="428.95600000000002"/>
    <x v="4"/>
    <x v="3"/>
    <x v="1"/>
    <n v="428.95600000000002"/>
  </r>
  <r>
    <n v="1303"/>
    <x v="4"/>
    <x v="11"/>
    <n v="23"/>
    <n v="267.10599999999999"/>
    <x v="8"/>
    <x v="3"/>
    <x v="1"/>
    <n v="267.10599999999999"/>
  </r>
  <r>
    <n v="1304"/>
    <x v="4"/>
    <x v="11"/>
    <n v="31"/>
    <n v="1.2E-2"/>
    <x v="3"/>
    <x v="2"/>
    <x v="1"/>
    <n v="1.2E-2"/>
  </r>
  <r>
    <n v="1305"/>
    <x v="4"/>
    <x v="11"/>
    <n v="31"/>
    <n v="-1.198"/>
    <x v="2"/>
    <x v="1"/>
    <x v="0"/>
    <n v="1.198"/>
  </r>
  <r>
    <n v="1306"/>
    <x v="4"/>
    <x v="11"/>
    <n v="31"/>
    <n v="-4.0000000000000001E-3"/>
    <x v="2"/>
    <x v="1"/>
    <x v="0"/>
    <n v="4.0000000000000001E-3"/>
  </r>
  <r>
    <n v="1307"/>
    <x v="5"/>
    <x v="0"/>
    <n v="2"/>
    <n v="-68"/>
    <x v="0"/>
    <x v="0"/>
    <x v="0"/>
    <n v="68"/>
  </r>
  <r>
    <n v="1308"/>
    <x v="5"/>
    <x v="0"/>
    <n v="3"/>
    <n v="-4.3"/>
    <x v="21"/>
    <x v="1"/>
    <x v="0"/>
    <n v="4.3"/>
  </r>
  <r>
    <n v="1309"/>
    <x v="5"/>
    <x v="0"/>
    <n v="3"/>
    <n v="-6.032"/>
    <x v="18"/>
    <x v="1"/>
    <x v="0"/>
    <n v="6.032"/>
  </r>
  <r>
    <n v="1310"/>
    <x v="5"/>
    <x v="0"/>
    <n v="3"/>
    <n v="-8.5"/>
    <x v="19"/>
    <x v="1"/>
    <x v="0"/>
    <n v="8.5"/>
  </r>
  <r>
    <n v="1311"/>
    <x v="5"/>
    <x v="0"/>
    <n v="3"/>
    <n v="-15.666"/>
    <x v="16"/>
    <x v="1"/>
    <x v="0"/>
    <n v="15.666"/>
  </r>
  <r>
    <n v="1312"/>
    <x v="5"/>
    <x v="0"/>
    <n v="3"/>
    <n v="-8.98"/>
    <x v="1"/>
    <x v="1"/>
    <x v="0"/>
    <n v="8.98"/>
  </r>
  <r>
    <n v="1313"/>
    <x v="5"/>
    <x v="0"/>
    <n v="13"/>
    <n v="-7.3920000000000003"/>
    <x v="0"/>
    <x v="0"/>
    <x v="0"/>
    <n v="7.3920000000000003"/>
  </r>
  <r>
    <n v="1314"/>
    <x v="5"/>
    <x v="0"/>
    <n v="14"/>
    <n v="-0.39800000000000002"/>
    <x v="2"/>
    <x v="1"/>
    <x v="0"/>
    <n v="0.39800000000000002"/>
  </r>
  <r>
    <n v="1315"/>
    <x v="5"/>
    <x v="0"/>
    <n v="15"/>
    <n v="-3.528"/>
    <x v="0"/>
    <x v="0"/>
    <x v="0"/>
    <n v="3.528"/>
  </r>
  <r>
    <n v="1316"/>
    <x v="5"/>
    <x v="0"/>
    <n v="16"/>
    <n v="-0.8"/>
    <x v="2"/>
    <x v="1"/>
    <x v="0"/>
    <n v="0.8"/>
  </r>
  <r>
    <n v="1317"/>
    <x v="5"/>
    <x v="0"/>
    <n v="22"/>
    <n v="-9.5220000000000002"/>
    <x v="0"/>
    <x v="0"/>
    <x v="0"/>
    <n v="9.5220000000000002"/>
  </r>
  <r>
    <n v="1318"/>
    <x v="5"/>
    <x v="0"/>
    <n v="23"/>
    <n v="428.95600000000002"/>
    <x v="4"/>
    <x v="3"/>
    <x v="1"/>
    <n v="428.95600000000002"/>
  </r>
  <r>
    <n v="1319"/>
    <x v="5"/>
    <x v="0"/>
    <n v="23"/>
    <n v="-13.068000000000001"/>
    <x v="7"/>
    <x v="5"/>
    <x v="0"/>
    <n v="13.068000000000001"/>
  </r>
  <r>
    <n v="1320"/>
    <x v="5"/>
    <x v="0"/>
    <n v="29"/>
    <n v="-55.8"/>
    <x v="6"/>
    <x v="4"/>
    <x v="0"/>
    <n v="55.8"/>
  </r>
  <r>
    <n v="1321"/>
    <x v="5"/>
    <x v="0"/>
    <n v="30"/>
    <n v="-4.5600000000000005"/>
    <x v="0"/>
    <x v="0"/>
    <x v="0"/>
    <n v="4.5600000000000005"/>
  </r>
  <r>
    <n v="1322"/>
    <x v="5"/>
    <x v="0"/>
    <n v="30"/>
    <n v="-3.3220000000000001"/>
    <x v="0"/>
    <x v="0"/>
    <x v="0"/>
    <n v="3.3220000000000001"/>
  </r>
  <r>
    <n v="1323"/>
    <x v="5"/>
    <x v="0"/>
    <n v="31"/>
    <n v="1.4000000000000002E-2"/>
    <x v="3"/>
    <x v="2"/>
    <x v="1"/>
    <n v="1.4000000000000002E-2"/>
  </r>
  <r>
    <n v="1324"/>
    <x v="5"/>
    <x v="0"/>
    <n v="31"/>
    <n v="-1.198"/>
    <x v="2"/>
    <x v="1"/>
    <x v="0"/>
    <n v="1.198"/>
  </r>
  <r>
    <n v="1325"/>
    <x v="5"/>
    <x v="0"/>
    <n v="31"/>
    <n v="-1"/>
    <x v="2"/>
    <x v="1"/>
    <x v="0"/>
    <n v="1"/>
  </r>
  <r>
    <n v="1326"/>
    <x v="5"/>
    <x v="0"/>
    <n v="31"/>
    <n v="-4.0000000000000001E-3"/>
    <x v="2"/>
    <x v="1"/>
    <x v="0"/>
    <n v="4.0000000000000001E-3"/>
  </r>
  <r>
    <n v="1327"/>
    <x v="5"/>
    <x v="0"/>
    <n v="31"/>
    <n v="-8.1999999999999993"/>
    <x v="20"/>
    <x v="1"/>
    <x v="0"/>
    <n v="8.1999999999999993"/>
  </r>
  <r>
    <n v="1328"/>
    <x v="5"/>
    <x v="0"/>
    <n v="31"/>
    <n v="-4.8"/>
    <x v="13"/>
    <x v="1"/>
    <x v="0"/>
    <n v="4.8"/>
  </r>
  <r>
    <n v="1329"/>
    <x v="5"/>
    <x v="1"/>
    <n v="1"/>
    <n v="-4.3"/>
    <x v="21"/>
    <x v="1"/>
    <x v="0"/>
    <n v="4.3"/>
  </r>
  <r>
    <n v="1330"/>
    <x v="5"/>
    <x v="1"/>
    <n v="1"/>
    <n v="-9.3919999999999995"/>
    <x v="1"/>
    <x v="1"/>
    <x v="0"/>
    <n v="9.3919999999999995"/>
  </r>
  <r>
    <n v="1331"/>
    <x v="5"/>
    <x v="1"/>
    <n v="1"/>
    <n v="-53.272000000000006"/>
    <x v="13"/>
    <x v="1"/>
    <x v="0"/>
    <n v="53.272000000000006"/>
  </r>
  <r>
    <n v="1332"/>
    <x v="5"/>
    <x v="1"/>
    <n v="1"/>
    <n v="-8.5"/>
    <x v="19"/>
    <x v="1"/>
    <x v="0"/>
    <n v="8.5"/>
  </r>
  <r>
    <n v="1333"/>
    <x v="5"/>
    <x v="1"/>
    <n v="3"/>
    <n v="420.77"/>
    <x v="5"/>
    <x v="3"/>
    <x v="1"/>
    <n v="420.77"/>
  </r>
  <r>
    <n v="1334"/>
    <x v="5"/>
    <x v="1"/>
    <n v="3"/>
    <n v="-17.468"/>
    <x v="7"/>
    <x v="5"/>
    <x v="0"/>
    <n v="17.468"/>
  </r>
  <r>
    <n v="1335"/>
    <x v="5"/>
    <x v="1"/>
    <n v="5"/>
    <n v="-6.5060000000000002"/>
    <x v="0"/>
    <x v="0"/>
    <x v="0"/>
    <n v="6.5060000000000002"/>
  </r>
  <r>
    <n v="1336"/>
    <x v="5"/>
    <x v="1"/>
    <n v="7"/>
    <n v="-20"/>
    <x v="7"/>
    <x v="5"/>
    <x v="0"/>
    <n v="20"/>
  </r>
  <r>
    <n v="1337"/>
    <x v="5"/>
    <x v="1"/>
    <n v="7"/>
    <n v="-19.8"/>
    <x v="6"/>
    <x v="4"/>
    <x v="0"/>
    <n v="19.8"/>
  </r>
  <r>
    <n v="1338"/>
    <x v="5"/>
    <x v="1"/>
    <n v="7"/>
    <n v="-262.76400000000001"/>
    <x v="6"/>
    <x v="4"/>
    <x v="0"/>
    <n v="262.76400000000001"/>
  </r>
  <r>
    <n v="1339"/>
    <x v="5"/>
    <x v="1"/>
    <n v="9"/>
    <n v="-14.984"/>
    <x v="0"/>
    <x v="0"/>
    <x v="0"/>
    <n v="14.984"/>
  </r>
  <r>
    <n v="1340"/>
    <x v="5"/>
    <x v="1"/>
    <n v="12"/>
    <n v="-6.5359999999999996"/>
    <x v="0"/>
    <x v="0"/>
    <x v="0"/>
    <n v="6.5359999999999996"/>
  </r>
  <r>
    <n v="1341"/>
    <x v="5"/>
    <x v="1"/>
    <n v="13"/>
    <n v="-3.96"/>
    <x v="0"/>
    <x v="0"/>
    <x v="0"/>
    <n v="3.96"/>
  </r>
  <r>
    <n v="1342"/>
    <x v="5"/>
    <x v="1"/>
    <n v="16"/>
    <n v="-18"/>
    <x v="0"/>
    <x v="0"/>
    <x v="0"/>
    <n v="18"/>
  </r>
  <r>
    <n v="1343"/>
    <x v="5"/>
    <x v="1"/>
    <n v="16"/>
    <n v="-0.8"/>
    <x v="2"/>
    <x v="1"/>
    <x v="0"/>
    <n v="0.8"/>
  </r>
  <r>
    <n v="1344"/>
    <x v="5"/>
    <x v="1"/>
    <n v="17"/>
    <n v="-0.39800000000000002"/>
    <x v="2"/>
    <x v="1"/>
    <x v="0"/>
    <n v="0.39800000000000002"/>
  </r>
  <r>
    <n v="1345"/>
    <x v="5"/>
    <x v="1"/>
    <n v="20"/>
    <n v="18.82"/>
    <x v="3"/>
    <x v="2"/>
    <x v="1"/>
    <n v="18.82"/>
  </r>
  <r>
    <n v="1346"/>
    <x v="5"/>
    <x v="1"/>
    <n v="23"/>
    <n v="-3.3039999999999998"/>
    <x v="0"/>
    <x v="0"/>
    <x v="0"/>
    <n v="3.3039999999999998"/>
  </r>
  <r>
    <n v="1347"/>
    <x v="5"/>
    <x v="1"/>
    <n v="25"/>
    <n v="-19.8"/>
    <x v="14"/>
    <x v="1"/>
    <x v="0"/>
    <n v="19.8"/>
  </r>
  <r>
    <n v="1348"/>
    <x v="5"/>
    <x v="1"/>
    <n v="25"/>
    <n v="428.95600000000002"/>
    <x v="4"/>
    <x v="3"/>
    <x v="1"/>
    <n v="428.95600000000002"/>
  </r>
  <r>
    <n v="1349"/>
    <x v="5"/>
    <x v="1"/>
    <n v="25"/>
    <n v="-5.2919999999999998"/>
    <x v="0"/>
    <x v="0"/>
    <x v="0"/>
    <n v="5.2919999999999998"/>
  </r>
  <r>
    <n v="1350"/>
    <x v="5"/>
    <x v="1"/>
    <n v="27"/>
    <n v="-1.7239999999999998"/>
    <x v="0"/>
    <x v="0"/>
    <x v="0"/>
    <n v="1.7239999999999998"/>
  </r>
  <r>
    <n v="1351"/>
    <x v="5"/>
    <x v="1"/>
    <n v="28"/>
    <n v="6.0000000000000001E-3"/>
    <x v="3"/>
    <x v="2"/>
    <x v="1"/>
    <n v="6.0000000000000001E-3"/>
  </r>
  <r>
    <n v="1352"/>
    <x v="5"/>
    <x v="1"/>
    <n v="28"/>
    <n v="-1.198"/>
    <x v="2"/>
    <x v="1"/>
    <x v="0"/>
    <n v="1.198"/>
  </r>
  <r>
    <n v="1353"/>
    <x v="5"/>
    <x v="1"/>
    <n v="28"/>
    <n v="-0.4"/>
    <x v="2"/>
    <x v="1"/>
    <x v="0"/>
    <n v="0.4"/>
  </r>
  <r>
    <n v="1354"/>
    <x v="5"/>
    <x v="1"/>
    <n v="28"/>
    <n v="-2E-3"/>
    <x v="2"/>
    <x v="1"/>
    <x v="0"/>
    <n v="2E-3"/>
  </r>
  <r>
    <n v="1355"/>
    <x v="5"/>
    <x v="2"/>
    <n v="1"/>
    <n v="-4.3"/>
    <x v="21"/>
    <x v="1"/>
    <x v="0"/>
    <n v="4.3"/>
  </r>
  <r>
    <n v="1356"/>
    <x v="5"/>
    <x v="2"/>
    <n v="1"/>
    <n v="-57.366"/>
    <x v="13"/>
    <x v="1"/>
    <x v="0"/>
    <n v="57.366"/>
  </r>
  <r>
    <n v="1357"/>
    <x v="5"/>
    <x v="2"/>
    <n v="1"/>
    <n v="-8.5"/>
    <x v="19"/>
    <x v="1"/>
    <x v="0"/>
    <n v="8.5"/>
  </r>
  <r>
    <n v="1358"/>
    <x v="5"/>
    <x v="2"/>
    <n v="5"/>
    <n v="-17.374000000000002"/>
    <x v="0"/>
    <x v="0"/>
    <x v="0"/>
    <n v="17.374000000000002"/>
  </r>
  <r>
    <n v="1359"/>
    <x v="5"/>
    <x v="2"/>
    <n v="5"/>
    <n v="-1.1220000000000001"/>
    <x v="0"/>
    <x v="0"/>
    <x v="0"/>
    <n v="1.1220000000000001"/>
  </r>
  <r>
    <n v="1360"/>
    <x v="5"/>
    <x v="2"/>
    <n v="7"/>
    <n v="-6.032"/>
    <x v="18"/>
    <x v="1"/>
    <x v="0"/>
    <n v="6.032"/>
  </r>
  <r>
    <n v="1361"/>
    <x v="5"/>
    <x v="2"/>
    <n v="7"/>
    <n v="-17.100000000000001"/>
    <x v="16"/>
    <x v="1"/>
    <x v="0"/>
    <n v="17.100000000000001"/>
  </r>
  <r>
    <n v="1362"/>
    <x v="5"/>
    <x v="2"/>
    <n v="7"/>
    <n v="-8.98"/>
    <x v="1"/>
    <x v="1"/>
    <x v="0"/>
    <n v="8.98"/>
  </r>
  <r>
    <n v="1363"/>
    <x v="5"/>
    <x v="2"/>
    <n v="13"/>
    <n v="-2.8359999999999999"/>
    <x v="0"/>
    <x v="0"/>
    <x v="0"/>
    <n v="2.8359999999999999"/>
  </r>
  <r>
    <n v="1364"/>
    <x v="5"/>
    <x v="2"/>
    <n v="13"/>
    <n v="-4.5380000000000003"/>
    <x v="0"/>
    <x v="0"/>
    <x v="0"/>
    <n v="4.5380000000000003"/>
  </r>
  <r>
    <n v="1365"/>
    <x v="5"/>
    <x v="2"/>
    <n v="16"/>
    <n v="-0.8"/>
    <x v="2"/>
    <x v="1"/>
    <x v="0"/>
    <n v="0.8"/>
  </r>
  <r>
    <n v="1366"/>
    <x v="5"/>
    <x v="2"/>
    <n v="17"/>
    <n v="-0.39800000000000002"/>
    <x v="2"/>
    <x v="1"/>
    <x v="0"/>
    <n v="0.39800000000000002"/>
  </r>
  <r>
    <n v="1367"/>
    <x v="5"/>
    <x v="2"/>
    <n v="18"/>
    <n v="-13.3"/>
    <x v="0"/>
    <x v="0"/>
    <x v="0"/>
    <n v="13.3"/>
  </r>
  <r>
    <n v="1368"/>
    <x v="5"/>
    <x v="2"/>
    <n v="20"/>
    <n v="428.95600000000002"/>
    <x v="4"/>
    <x v="3"/>
    <x v="1"/>
    <n v="428.95600000000002"/>
  </r>
  <r>
    <n v="1369"/>
    <x v="5"/>
    <x v="2"/>
    <n v="22"/>
    <n v="-15.8"/>
    <x v="0"/>
    <x v="0"/>
    <x v="0"/>
    <n v="15.8"/>
  </r>
  <r>
    <n v="1370"/>
    <x v="5"/>
    <x v="2"/>
    <n v="23"/>
    <n v="-8.5739999999999998"/>
    <x v="0"/>
    <x v="0"/>
    <x v="0"/>
    <n v="8.5739999999999998"/>
  </r>
  <r>
    <n v="1371"/>
    <x v="5"/>
    <x v="2"/>
    <n v="23"/>
    <n v="-0.876"/>
    <x v="0"/>
    <x v="0"/>
    <x v="0"/>
    <n v="0.876"/>
  </r>
  <r>
    <n v="1372"/>
    <x v="5"/>
    <x v="2"/>
    <n v="24"/>
    <n v="-2.2719999999999998"/>
    <x v="0"/>
    <x v="0"/>
    <x v="0"/>
    <n v="2.2719999999999998"/>
  </r>
  <r>
    <n v="1373"/>
    <x v="5"/>
    <x v="2"/>
    <n v="25"/>
    <n v="-19.8"/>
    <x v="14"/>
    <x v="1"/>
    <x v="0"/>
    <n v="19.8"/>
  </r>
  <r>
    <n v="1374"/>
    <x v="5"/>
    <x v="2"/>
    <n v="25"/>
    <n v="64"/>
    <x v="9"/>
    <x v="3"/>
    <x v="1"/>
    <n v="64"/>
  </r>
  <r>
    <n v="1375"/>
    <x v="5"/>
    <x v="2"/>
    <n v="25"/>
    <n v="-1.7760000000000002"/>
    <x v="0"/>
    <x v="0"/>
    <x v="0"/>
    <n v="1.7760000000000002"/>
  </r>
  <r>
    <n v="1376"/>
    <x v="5"/>
    <x v="2"/>
    <n v="27"/>
    <n v="38.39"/>
    <x v="8"/>
    <x v="3"/>
    <x v="1"/>
    <n v="38.39"/>
  </r>
  <r>
    <n v="1377"/>
    <x v="5"/>
    <x v="2"/>
    <n v="28"/>
    <n v="-4.8"/>
    <x v="13"/>
    <x v="1"/>
    <x v="0"/>
    <n v="4.8"/>
  </r>
  <r>
    <n v="1378"/>
    <x v="5"/>
    <x v="2"/>
    <n v="30"/>
    <n v="-2.2000000000000002"/>
    <x v="7"/>
    <x v="5"/>
    <x v="0"/>
    <n v="2.2000000000000002"/>
  </r>
  <r>
    <n v="1379"/>
    <x v="5"/>
    <x v="2"/>
    <n v="30"/>
    <n v="-18"/>
    <x v="7"/>
    <x v="5"/>
    <x v="0"/>
    <n v="18"/>
  </r>
  <r>
    <n v="1380"/>
    <x v="5"/>
    <x v="2"/>
    <n v="31"/>
    <n v="6.0000000000000001E-3"/>
    <x v="3"/>
    <x v="2"/>
    <x v="1"/>
    <n v="6.0000000000000001E-3"/>
  </r>
  <r>
    <n v="1381"/>
    <x v="5"/>
    <x v="2"/>
    <n v="31"/>
    <n v="-1.198"/>
    <x v="2"/>
    <x v="1"/>
    <x v="0"/>
    <n v="1.198"/>
  </r>
  <r>
    <n v="1382"/>
    <x v="5"/>
    <x v="2"/>
    <n v="31"/>
    <n v="-0.7"/>
    <x v="2"/>
    <x v="1"/>
    <x v="0"/>
    <n v="0.7"/>
  </r>
  <r>
    <n v="1383"/>
    <x v="5"/>
    <x v="2"/>
    <n v="31"/>
    <n v="-2E-3"/>
    <x v="2"/>
    <x v="1"/>
    <x v="0"/>
    <n v="2E-3"/>
  </r>
  <r>
    <n v="1384"/>
    <x v="5"/>
    <x v="3"/>
    <n v="1"/>
    <n v="-4.3"/>
    <x v="21"/>
    <x v="1"/>
    <x v="0"/>
    <n v="4.3"/>
  </r>
  <r>
    <n v="1385"/>
    <x v="5"/>
    <x v="3"/>
    <n v="1"/>
    <n v="-9.1239999999999988"/>
    <x v="1"/>
    <x v="1"/>
    <x v="0"/>
    <n v="9.1239999999999988"/>
  </r>
  <r>
    <n v="1386"/>
    <x v="5"/>
    <x v="3"/>
    <n v="1"/>
    <n v="-57.366"/>
    <x v="13"/>
    <x v="1"/>
    <x v="0"/>
    <n v="57.366"/>
  </r>
  <r>
    <n v="1387"/>
    <x v="5"/>
    <x v="3"/>
    <n v="1"/>
    <n v="-8.5"/>
    <x v="19"/>
    <x v="1"/>
    <x v="0"/>
    <n v="8.5"/>
  </r>
  <r>
    <n v="1388"/>
    <x v="5"/>
    <x v="3"/>
    <n v="1"/>
    <n v="-2.984"/>
    <x v="0"/>
    <x v="0"/>
    <x v="0"/>
    <n v="2.984"/>
  </r>
  <r>
    <n v="1389"/>
    <x v="5"/>
    <x v="3"/>
    <n v="8"/>
    <n v="-2.44"/>
    <x v="14"/>
    <x v="1"/>
    <x v="0"/>
    <n v="2.44"/>
  </r>
  <r>
    <n v="1390"/>
    <x v="5"/>
    <x v="3"/>
    <n v="8"/>
    <n v="-57.491999999999997"/>
    <x v="0"/>
    <x v="0"/>
    <x v="0"/>
    <n v="57.491999999999997"/>
  </r>
  <r>
    <n v="1391"/>
    <x v="5"/>
    <x v="3"/>
    <n v="10"/>
    <n v="-3.54"/>
    <x v="0"/>
    <x v="0"/>
    <x v="0"/>
    <n v="3.54"/>
  </r>
  <r>
    <n v="1392"/>
    <x v="5"/>
    <x v="3"/>
    <n v="13"/>
    <n v="-24.64"/>
    <x v="17"/>
    <x v="4"/>
    <x v="0"/>
    <n v="24.64"/>
  </r>
  <r>
    <n v="1393"/>
    <x v="5"/>
    <x v="3"/>
    <n v="14"/>
    <n v="-118"/>
    <x v="7"/>
    <x v="5"/>
    <x v="0"/>
    <n v="118"/>
  </r>
  <r>
    <n v="1394"/>
    <x v="5"/>
    <x v="3"/>
    <n v="14"/>
    <n v="-47.78"/>
    <x v="7"/>
    <x v="5"/>
    <x v="0"/>
    <n v="47.78"/>
  </r>
  <r>
    <n v="1395"/>
    <x v="5"/>
    <x v="3"/>
    <n v="14"/>
    <n v="-3.9979999999999998"/>
    <x v="0"/>
    <x v="0"/>
    <x v="0"/>
    <n v="3.9979999999999998"/>
  </r>
  <r>
    <n v="1396"/>
    <x v="5"/>
    <x v="3"/>
    <n v="15"/>
    <n v="-0.39800000000000002"/>
    <x v="2"/>
    <x v="1"/>
    <x v="0"/>
    <n v="0.39800000000000002"/>
  </r>
  <r>
    <n v="1397"/>
    <x v="5"/>
    <x v="3"/>
    <n v="16"/>
    <n v="-60"/>
    <x v="7"/>
    <x v="5"/>
    <x v="0"/>
    <n v="60"/>
  </r>
  <r>
    <n v="1398"/>
    <x v="5"/>
    <x v="3"/>
    <n v="16"/>
    <n v="-0.98000000000000009"/>
    <x v="7"/>
    <x v="5"/>
    <x v="0"/>
    <n v="0.98000000000000009"/>
  </r>
  <r>
    <n v="1399"/>
    <x v="5"/>
    <x v="3"/>
    <n v="16"/>
    <n v="-3"/>
    <x v="7"/>
    <x v="5"/>
    <x v="0"/>
    <n v="3"/>
  </r>
  <r>
    <n v="1400"/>
    <x v="5"/>
    <x v="3"/>
    <n v="16"/>
    <n v="-2"/>
    <x v="7"/>
    <x v="5"/>
    <x v="0"/>
    <n v="2"/>
  </r>
  <r>
    <n v="1401"/>
    <x v="5"/>
    <x v="3"/>
    <n v="16"/>
    <n v="-0.8"/>
    <x v="2"/>
    <x v="1"/>
    <x v="0"/>
    <n v="0.8"/>
  </r>
  <r>
    <n v="1402"/>
    <x v="5"/>
    <x v="3"/>
    <n v="16"/>
    <n v="-10.208"/>
    <x v="0"/>
    <x v="0"/>
    <x v="0"/>
    <n v="10.208"/>
  </r>
  <r>
    <n v="1403"/>
    <x v="5"/>
    <x v="3"/>
    <n v="16"/>
    <n v="-2.42"/>
    <x v="0"/>
    <x v="0"/>
    <x v="0"/>
    <n v="2.42"/>
  </r>
  <r>
    <n v="1404"/>
    <x v="5"/>
    <x v="3"/>
    <n v="17"/>
    <n v="-8.3819999999999997"/>
    <x v="0"/>
    <x v="0"/>
    <x v="0"/>
    <n v="8.3819999999999997"/>
  </r>
  <r>
    <n v="1405"/>
    <x v="5"/>
    <x v="3"/>
    <n v="17"/>
    <n v="-3.6219999999999999"/>
    <x v="0"/>
    <x v="0"/>
    <x v="0"/>
    <n v="3.6219999999999999"/>
  </r>
  <r>
    <n v="1406"/>
    <x v="5"/>
    <x v="3"/>
    <n v="18"/>
    <n v="-19.508000000000003"/>
    <x v="7"/>
    <x v="5"/>
    <x v="0"/>
    <n v="19.508000000000003"/>
  </r>
  <r>
    <n v="1407"/>
    <x v="5"/>
    <x v="3"/>
    <n v="18"/>
    <n v="-3.9820000000000002"/>
    <x v="0"/>
    <x v="0"/>
    <x v="0"/>
    <n v="3.9820000000000002"/>
  </r>
  <r>
    <n v="1408"/>
    <x v="5"/>
    <x v="3"/>
    <n v="22"/>
    <n v="-7.9980000000000002"/>
    <x v="6"/>
    <x v="4"/>
    <x v="0"/>
    <n v="7.9980000000000002"/>
  </r>
  <r>
    <n v="1409"/>
    <x v="5"/>
    <x v="3"/>
    <n v="27"/>
    <n v="-19.8"/>
    <x v="14"/>
    <x v="1"/>
    <x v="0"/>
    <n v="19.8"/>
  </r>
  <r>
    <n v="1410"/>
    <x v="5"/>
    <x v="3"/>
    <n v="28"/>
    <n v="428.95600000000002"/>
    <x v="4"/>
    <x v="3"/>
    <x v="1"/>
    <n v="428.95600000000002"/>
  </r>
  <r>
    <n v="1411"/>
    <x v="5"/>
    <x v="3"/>
    <n v="29"/>
    <n v="-3.242"/>
    <x v="0"/>
    <x v="0"/>
    <x v="0"/>
    <n v="3.242"/>
  </r>
  <r>
    <n v="1412"/>
    <x v="5"/>
    <x v="3"/>
    <n v="30"/>
    <n v="4.0000000000000001E-3"/>
    <x v="3"/>
    <x v="2"/>
    <x v="1"/>
    <n v="4.0000000000000001E-3"/>
  </r>
  <r>
    <n v="1413"/>
    <x v="5"/>
    <x v="3"/>
    <n v="30"/>
    <n v="-1.198"/>
    <x v="2"/>
    <x v="1"/>
    <x v="0"/>
    <n v="1.198"/>
  </r>
  <r>
    <n v="1414"/>
    <x v="5"/>
    <x v="3"/>
    <n v="30"/>
    <n v="-2E-3"/>
    <x v="2"/>
    <x v="1"/>
    <x v="0"/>
    <n v="2E-3"/>
  </r>
  <r>
    <n v="1415"/>
    <x v="5"/>
    <x v="4"/>
    <n v="2"/>
    <n v="-4.3"/>
    <x v="21"/>
    <x v="1"/>
    <x v="0"/>
    <n v="4.3"/>
  </r>
  <r>
    <n v="1416"/>
    <x v="5"/>
    <x v="4"/>
    <n v="2"/>
    <n v="-57.366"/>
    <x v="13"/>
    <x v="1"/>
    <x v="0"/>
    <n v="57.366"/>
  </r>
  <r>
    <n v="1417"/>
    <x v="5"/>
    <x v="4"/>
    <n v="2"/>
    <n v="-6.032"/>
    <x v="18"/>
    <x v="1"/>
    <x v="0"/>
    <n v="6.032"/>
  </r>
  <r>
    <n v="1418"/>
    <x v="5"/>
    <x v="4"/>
    <n v="2"/>
    <n v="-8.5"/>
    <x v="19"/>
    <x v="1"/>
    <x v="0"/>
    <n v="8.5"/>
  </r>
  <r>
    <n v="1419"/>
    <x v="5"/>
    <x v="4"/>
    <n v="2"/>
    <n v="-6.0460000000000003"/>
    <x v="1"/>
    <x v="1"/>
    <x v="0"/>
    <n v="6.0460000000000003"/>
  </r>
  <r>
    <n v="1420"/>
    <x v="5"/>
    <x v="4"/>
    <n v="4"/>
    <n v="-2.4"/>
    <x v="13"/>
    <x v="1"/>
    <x v="0"/>
    <n v="2.4"/>
  </r>
  <r>
    <n v="1421"/>
    <x v="5"/>
    <x v="4"/>
    <n v="4"/>
    <n v="-16.484000000000002"/>
    <x v="16"/>
    <x v="1"/>
    <x v="0"/>
    <n v="16.484000000000002"/>
  </r>
  <r>
    <n v="1422"/>
    <x v="5"/>
    <x v="4"/>
    <n v="5"/>
    <n v="-33.4"/>
    <x v="11"/>
    <x v="1"/>
    <x v="0"/>
    <n v="33.4"/>
  </r>
  <r>
    <n v="1423"/>
    <x v="5"/>
    <x v="4"/>
    <n v="5"/>
    <n v="-46.4"/>
    <x v="12"/>
    <x v="1"/>
    <x v="0"/>
    <n v="46.4"/>
  </r>
  <r>
    <n v="1424"/>
    <x v="5"/>
    <x v="4"/>
    <n v="7"/>
    <n v="-3.6079999999999997"/>
    <x v="0"/>
    <x v="0"/>
    <x v="0"/>
    <n v="3.6079999999999997"/>
  </r>
  <r>
    <n v="1425"/>
    <x v="5"/>
    <x v="4"/>
    <n v="12"/>
    <n v="-11.268000000000001"/>
    <x v="0"/>
    <x v="0"/>
    <x v="0"/>
    <n v="11.268000000000001"/>
  </r>
  <r>
    <n v="1426"/>
    <x v="5"/>
    <x v="4"/>
    <n v="14"/>
    <n v="-19.893999999999998"/>
    <x v="0"/>
    <x v="0"/>
    <x v="0"/>
    <n v="19.893999999999998"/>
  </r>
  <r>
    <n v="1427"/>
    <x v="5"/>
    <x v="4"/>
    <n v="15"/>
    <n v="-0.39800000000000002"/>
    <x v="2"/>
    <x v="1"/>
    <x v="0"/>
    <n v="0.39800000000000002"/>
  </r>
  <r>
    <n v="1428"/>
    <x v="5"/>
    <x v="4"/>
    <n v="15"/>
    <n v="-7.742"/>
    <x v="0"/>
    <x v="0"/>
    <x v="0"/>
    <n v="7.742"/>
  </r>
  <r>
    <n v="1429"/>
    <x v="5"/>
    <x v="4"/>
    <n v="15"/>
    <n v="-1.7420000000000002"/>
    <x v="0"/>
    <x v="0"/>
    <x v="0"/>
    <n v="1.7420000000000002"/>
  </r>
  <r>
    <n v="1430"/>
    <x v="5"/>
    <x v="4"/>
    <n v="16"/>
    <n v="-0.8"/>
    <x v="2"/>
    <x v="1"/>
    <x v="0"/>
    <n v="0.8"/>
  </r>
  <r>
    <n v="1431"/>
    <x v="5"/>
    <x v="4"/>
    <n v="19"/>
    <n v="-8.3120000000000012"/>
    <x v="0"/>
    <x v="0"/>
    <x v="0"/>
    <n v="8.3120000000000012"/>
  </r>
  <r>
    <n v="1432"/>
    <x v="5"/>
    <x v="4"/>
    <n v="20"/>
    <n v="-5.7960000000000003"/>
    <x v="0"/>
    <x v="0"/>
    <x v="0"/>
    <n v="5.7960000000000003"/>
  </r>
  <r>
    <n v="1433"/>
    <x v="5"/>
    <x v="4"/>
    <n v="21"/>
    <n v="18.236000000000001"/>
    <x v="3"/>
    <x v="2"/>
    <x v="1"/>
    <n v="18.236000000000001"/>
  </r>
  <r>
    <n v="1434"/>
    <x v="5"/>
    <x v="4"/>
    <n v="22"/>
    <n v="-2.68"/>
    <x v="0"/>
    <x v="0"/>
    <x v="0"/>
    <n v="2.68"/>
  </r>
  <r>
    <n v="1435"/>
    <x v="5"/>
    <x v="4"/>
    <n v="22"/>
    <n v="-1.7120000000000002"/>
    <x v="0"/>
    <x v="0"/>
    <x v="0"/>
    <n v="1.7120000000000002"/>
  </r>
  <r>
    <n v="1436"/>
    <x v="5"/>
    <x v="4"/>
    <n v="25"/>
    <n v="428.95600000000002"/>
    <x v="4"/>
    <x v="3"/>
    <x v="1"/>
    <n v="428.95600000000002"/>
  </r>
  <r>
    <n v="1437"/>
    <x v="5"/>
    <x v="4"/>
    <n v="26"/>
    <n v="-19.8"/>
    <x v="14"/>
    <x v="1"/>
    <x v="0"/>
    <n v="19.8"/>
  </r>
  <r>
    <n v="1438"/>
    <x v="5"/>
    <x v="4"/>
    <n v="26"/>
    <n v="-2.7039999999999997"/>
    <x v="0"/>
    <x v="0"/>
    <x v="0"/>
    <n v="2.7039999999999997"/>
  </r>
  <r>
    <n v="1439"/>
    <x v="5"/>
    <x v="4"/>
    <n v="26"/>
    <n v="-2.13"/>
    <x v="0"/>
    <x v="0"/>
    <x v="0"/>
    <n v="2.13"/>
  </r>
  <r>
    <n v="1440"/>
    <x v="5"/>
    <x v="4"/>
    <n v="28"/>
    <n v="-6.5680000000000005"/>
    <x v="0"/>
    <x v="0"/>
    <x v="0"/>
    <n v="6.5680000000000005"/>
  </r>
  <r>
    <n v="1441"/>
    <x v="5"/>
    <x v="4"/>
    <n v="29"/>
    <n v="-2.3920000000000003"/>
    <x v="0"/>
    <x v="0"/>
    <x v="0"/>
    <n v="2.3920000000000003"/>
  </r>
  <r>
    <n v="1442"/>
    <x v="5"/>
    <x v="4"/>
    <n v="31"/>
    <n v="4.0000000000000001E-3"/>
    <x v="3"/>
    <x v="2"/>
    <x v="1"/>
    <n v="4.0000000000000001E-3"/>
  </r>
  <r>
    <n v="1443"/>
    <x v="5"/>
    <x v="4"/>
    <n v="31"/>
    <n v="-1.198"/>
    <x v="2"/>
    <x v="1"/>
    <x v="0"/>
    <n v="1.198"/>
  </r>
  <r>
    <n v="1444"/>
    <x v="5"/>
    <x v="4"/>
    <n v="31"/>
    <n v="-1.2"/>
    <x v="2"/>
    <x v="1"/>
    <x v="0"/>
    <n v="1.2"/>
  </r>
  <r>
    <n v="1445"/>
    <x v="5"/>
    <x v="4"/>
    <n v="31"/>
    <n v="-2E-3"/>
    <x v="2"/>
    <x v="1"/>
    <x v="0"/>
    <n v="2E-3"/>
  </r>
  <r>
    <n v="1446"/>
    <x v="5"/>
    <x v="5"/>
    <n v="1"/>
    <n v="-4.3"/>
    <x v="21"/>
    <x v="1"/>
    <x v="0"/>
    <n v="4.3"/>
  </r>
  <r>
    <n v="1447"/>
    <x v="5"/>
    <x v="5"/>
    <n v="1"/>
    <n v="-8.129999999999999"/>
    <x v="1"/>
    <x v="1"/>
    <x v="0"/>
    <n v="8.129999999999999"/>
  </r>
  <r>
    <n v="1448"/>
    <x v="5"/>
    <x v="5"/>
    <n v="1"/>
    <n v="-59.765999999999998"/>
    <x v="13"/>
    <x v="1"/>
    <x v="0"/>
    <n v="59.765999999999998"/>
  </r>
  <r>
    <n v="1449"/>
    <x v="5"/>
    <x v="5"/>
    <n v="1"/>
    <n v="-8.5"/>
    <x v="19"/>
    <x v="1"/>
    <x v="0"/>
    <n v="8.5"/>
  </r>
  <r>
    <n v="1450"/>
    <x v="5"/>
    <x v="5"/>
    <n v="2"/>
    <n v="-6.008"/>
    <x v="0"/>
    <x v="0"/>
    <x v="0"/>
    <n v="6.008"/>
  </r>
  <r>
    <n v="1451"/>
    <x v="5"/>
    <x v="5"/>
    <n v="2"/>
    <n v="-2.6339999999999999"/>
    <x v="0"/>
    <x v="0"/>
    <x v="0"/>
    <n v="2.6339999999999999"/>
  </r>
  <r>
    <n v="1452"/>
    <x v="5"/>
    <x v="5"/>
    <n v="3"/>
    <n v="-3.4"/>
    <x v="0"/>
    <x v="0"/>
    <x v="0"/>
    <n v="3.4"/>
  </r>
  <r>
    <n v="1453"/>
    <x v="5"/>
    <x v="5"/>
    <n v="6"/>
    <n v="-23.256"/>
    <x v="0"/>
    <x v="0"/>
    <x v="0"/>
    <n v="23.256"/>
  </r>
  <r>
    <n v="1454"/>
    <x v="5"/>
    <x v="5"/>
    <n v="7"/>
    <n v="-49.998000000000005"/>
    <x v="7"/>
    <x v="5"/>
    <x v="0"/>
    <n v="49.998000000000005"/>
  </r>
  <r>
    <n v="1455"/>
    <x v="5"/>
    <x v="5"/>
    <n v="7"/>
    <n v="-15.827999999999999"/>
    <x v="7"/>
    <x v="5"/>
    <x v="0"/>
    <n v="15.827999999999999"/>
  </r>
  <r>
    <n v="1456"/>
    <x v="5"/>
    <x v="5"/>
    <n v="8"/>
    <n v="-3.9119999999999999"/>
    <x v="0"/>
    <x v="0"/>
    <x v="0"/>
    <n v="3.9119999999999999"/>
  </r>
  <r>
    <n v="1457"/>
    <x v="5"/>
    <x v="5"/>
    <n v="12"/>
    <n v="-0.39800000000000002"/>
    <x v="2"/>
    <x v="1"/>
    <x v="0"/>
    <n v="0.39800000000000002"/>
  </r>
  <r>
    <n v="1458"/>
    <x v="5"/>
    <x v="5"/>
    <n v="13"/>
    <n v="-20"/>
    <x v="7"/>
    <x v="5"/>
    <x v="0"/>
    <n v="20"/>
  </r>
  <r>
    <n v="1459"/>
    <x v="5"/>
    <x v="5"/>
    <n v="13"/>
    <n v="-9.66"/>
    <x v="0"/>
    <x v="0"/>
    <x v="0"/>
    <n v="9.66"/>
  </r>
  <r>
    <n v="1460"/>
    <x v="5"/>
    <x v="5"/>
    <n v="16"/>
    <n v="-0.8"/>
    <x v="2"/>
    <x v="1"/>
    <x v="0"/>
    <n v="0.8"/>
  </r>
  <r>
    <n v="1461"/>
    <x v="5"/>
    <x v="5"/>
    <n v="23"/>
    <n v="-19.8"/>
    <x v="14"/>
    <x v="1"/>
    <x v="0"/>
    <n v="19.8"/>
  </r>
  <r>
    <n v="1462"/>
    <x v="5"/>
    <x v="5"/>
    <n v="25"/>
    <n v="428.95600000000002"/>
    <x v="4"/>
    <x v="3"/>
    <x v="1"/>
    <n v="428.95600000000002"/>
  </r>
  <r>
    <n v="1463"/>
    <x v="5"/>
    <x v="5"/>
    <n v="25"/>
    <n v="-1.5760000000000001"/>
    <x v="0"/>
    <x v="0"/>
    <x v="0"/>
    <n v="1.5760000000000001"/>
  </r>
  <r>
    <n v="1464"/>
    <x v="5"/>
    <x v="5"/>
    <n v="30"/>
    <n v="4.0000000000000001E-3"/>
    <x v="3"/>
    <x v="2"/>
    <x v="1"/>
    <n v="4.0000000000000001E-3"/>
  </r>
  <r>
    <n v="1465"/>
    <x v="5"/>
    <x v="5"/>
    <n v="30"/>
    <n v="-1.198"/>
    <x v="2"/>
    <x v="1"/>
    <x v="0"/>
    <n v="1.198"/>
  </r>
  <r>
    <n v="1466"/>
    <x v="5"/>
    <x v="5"/>
    <n v="30"/>
    <n v="-2E-3"/>
    <x v="2"/>
    <x v="1"/>
    <x v="0"/>
    <n v="2E-3"/>
  </r>
  <r>
    <n v="1467"/>
    <x v="5"/>
    <x v="6"/>
    <n v="4"/>
    <n v="-4.3"/>
    <x v="21"/>
    <x v="1"/>
    <x v="0"/>
    <n v="4.3"/>
  </r>
  <r>
    <n v="1468"/>
    <x v="5"/>
    <x v="6"/>
    <n v="4"/>
    <n v="-59.765999999999998"/>
    <x v="13"/>
    <x v="1"/>
    <x v="0"/>
    <n v="59.765999999999998"/>
  </r>
  <r>
    <n v="1469"/>
    <x v="5"/>
    <x v="6"/>
    <n v="4"/>
    <n v="-7.1779999999999999"/>
    <x v="18"/>
    <x v="1"/>
    <x v="0"/>
    <n v="7.1779999999999999"/>
  </r>
  <r>
    <n v="1470"/>
    <x v="5"/>
    <x v="6"/>
    <n v="4"/>
    <n v="-8.5"/>
    <x v="19"/>
    <x v="1"/>
    <x v="0"/>
    <n v="8.5"/>
  </r>
  <r>
    <n v="1471"/>
    <x v="5"/>
    <x v="6"/>
    <n v="4"/>
    <n v="-5.9979999999999993"/>
    <x v="1"/>
    <x v="1"/>
    <x v="0"/>
    <n v="5.9979999999999993"/>
  </r>
  <r>
    <n v="1472"/>
    <x v="5"/>
    <x v="6"/>
    <n v="6"/>
    <n v="-155.59800000000001"/>
    <x v="6"/>
    <x v="4"/>
    <x v="0"/>
    <n v="155.59800000000001"/>
  </r>
  <r>
    <n v="1473"/>
    <x v="5"/>
    <x v="6"/>
    <n v="6"/>
    <n v="-14.553999999999998"/>
    <x v="16"/>
    <x v="1"/>
    <x v="0"/>
    <n v="14.553999999999998"/>
  </r>
  <r>
    <n v="1474"/>
    <x v="5"/>
    <x v="6"/>
    <n v="13"/>
    <n v="-13.263999999999999"/>
    <x v="7"/>
    <x v="5"/>
    <x v="0"/>
    <n v="13.263999999999999"/>
  </r>
  <r>
    <n v="1475"/>
    <x v="5"/>
    <x v="6"/>
    <n v="14"/>
    <n v="-6.8079999999999998"/>
    <x v="0"/>
    <x v="0"/>
    <x v="0"/>
    <n v="6.8079999999999998"/>
  </r>
  <r>
    <n v="1476"/>
    <x v="5"/>
    <x v="6"/>
    <n v="15"/>
    <n v="-0.39800000000000002"/>
    <x v="2"/>
    <x v="1"/>
    <x v="0"/>
    <n v="0.39800000000000002"/>
  </r>
  <r>
    <n v="1477"/>
    <x v="5"/>
    <x v="6"/>
    <n v="16"/>
    <n v="-0.8"/>
    <x v="2"/>
    <x v="1"/>
    <x v="0"/>
    <n v="0.8"/>
  </r>
  <r>
    <n v="1478"/>
    <x v="5"/>
    <x v="6"/>
    <n v="16"/>
    <n v="-4.774"/>
    <x v="0"/>
    <x v="0"/>
    <x v="0"/>
    <n v="4.774"/>
  </r>
  <r>
    <n v="1479"/>
    <x v="5"/>
    <x v="6"/>
    <n v="17"/>
    <n v="-4.7439999999999998"/>
    <x v="0"/>
    <x v="0"/>
    <x v="0"/>
    <n v="4.7439999999999998"/>
  </r>
  <r>
    <n v="1480"/>
    <x v="5"/>
    <x v="6"/>
    <n v="21"/>
    <n v="-103.798"/>
    <x v="6"/>
    <x v="4"/>
    <x v="0"/>
    <n v="103.798"/>
  </r>
  <r>
    <n v="1481"/>
    <x v="5"/>
    <x v="6"/>
    <n v="22"/>
    <n v="-1.9780000000000002"/>
    <x v="0"/>
    <x v="0"/>
    <x v="0"/>
    <n v="1.9780000000000002"/>
  </r>
  <r>
    <n v="1482"/>
    <x v="5"/>
    <x v="6"/>
    <n v="23"/>
    <n v="-5.0720000000000001"/>
    <x v="0"/>
    <x v="0"/>
    <x v="0"/>
    <n v="5.0720000000000001"/>
  </r>
  <r>
    <n v="1483"/>
    <x v="5"/>
    <x v="6"/>
    <n v="24"/>
    <n v="-19.8"/>
    <x v="14"/>
    <x v="1"/>
    <x v="0"/>
    <n v="19.8"/>
  </r>
  <r>
    <n v="1484"/>
    <x v="5"/>
    <x v="6"/>
    <n v="24"/>
    <n v="428.95600000000002"/>
    <x v="4"/>
    <x v="3"/>
    <x v="1"/>
    <n v="428.95600000000002"/>
  </r>
  <r>
    <n v="1485"/>
    <x v="5"/>
    <x v="6"/>
    <n v="24"/>
    <n v="-5.6459999999999999"/>
    <x v="0"/>
    <x v="0"/>
    <x v="0"/>
    <n v="5.6459999999999999"/>
  </r>
  <r>
    <n v="1486"/>
    <x v="5"/>
    <x v="6"/>
    <n v="30"/>
    <n v="-40"/>
    <x v="7"/>
    <x v="5"/>
    <x v="0"/>
    <n v="40"/>
  </r>
  <r>
    <n v="1487"/>
    <x v="5"/>
    <x v="6"/>
    <n v="30"/>
    <n v="-3.8560000000000003"/>
    <x v="0"/>
    <x v="0"/>
    <x v="0"/>
    <n v="3.8560000000000003"/>
  </r>
  <r>
    <n v="1488"/>
    <x v="5"/>
    <x v="6"/>
    <n v="31"/>
    <n v="4.0000000000000001E-3"/>
    <x v="3"/>
    <x v="2"/>
    <x v="1"/>
    <n v="4.0000000000000001E-3"/>
  </r>
  <r>
    <n v="1489"/>
    <x v="5"/>
    <x v="6"/>
    <n v="31"/>
    <n v="-1.198"/>
    <x v="2"/>
    <x v="1"/>
    <x v="0"/>
    <n v="1.198"/>
  </r>
  <r>
    <n v="1490"/>
    <x v="5"/>
    <x v="6"/>
    <n v="31"/>
    <n v="-0.7"/>
    <x v="2"/>
    <x v="1"/>
    <x v="0"/>
    <n v="0.7"/>
  </r>
  <r>
    <n v="1491"/>
    <x v="5"/>
    <x v="6"/>
    <n v="31"/>
    <n v="-2E-3"/>
    <x v="2"/>
    <x v="1"/>
    <x v="0"/>
    <n v="2E-3"/>
  </r>
  <r>
    <n v="1492"/>
    <x v="5"/>
    <x v="6"/>
    <n v="31"/>
    <n v="-0.77200000000000002"/>
    <x v="0"/>
    <x v="0"/>
    <x v="0"/>
    <n v="0.77200000000000002"/>
  </r>
  <r>
    <n v="1493"/>
    <x v="5"/>
    <x v="6"/>
    <n v="31"/>
    <n v="-10.11"/>
    <x v="0"/>
    <x v="0"/>
    <x v="0"/>
    <n v="10.11"/>
  </r>
  <r>
    <n v="1494"/>
    <x v="5"/>
    <x v="7"/>
    <n v="1"/>
    <n v="-4.3"/>
    <x v="21"/>
    <x v="1"/>
    <x v="0"/>
    <n v="4.3"/>
  </r>
  <r>
    <n v="1495"/>
    <x v="5"/>
    <x v="7"/>
    <n v="1"/>
    <n v="-27.99"/>
    <x v="7"/>
    <x v="5"/>
    <x v="0"/>
    <n v="27.99"/>
  </r>
  <r>
    <n v="1496"/>
    <x v="5"/>
    <x v="7"/>
    <n v="1"/>
    <n v="-59.765999999999998"/>
    <x v="13"/>
    <x v="1"/>
    <x v="0"/>
    <n v="59.765999999999998"/>
  </r>
  <r>
    <n v="1497"/>
    <x v="5"/>
    <x v="7"/>
    <n v="1"/>
    <n v="-8.5"/>
    <x v="19"/>
    <x v="1"/>
    <x v="0"/>
    <n v="8.5"/>
  </r>
  <r>
    <n v="1498"/>
    <x v="5"/>
    <x v="7"/>
    <n v="1"/>
    <n v="-5.9979999999999993"/>
    <x v="1"/>
    <x v="1"/>
    <x v="0"/>
    <n v="5.9979999999999993"/>
  </r>
  <r>
    <n v="1499"/>
    <x v="5"/>
    <x v="7"/>
    <n v="3"/>
    <n v="-5.76"/>
    <x v="0"/>
    <x v="0"/>
    <x v="0"/>
    <n v="5.76"/>
  </r>
  <r>
    <n v="1500"/>
    <x v="5"/>
    <x v="7"/>
    <n v="4"/>
    <n v="-2.1760000000000002"/>
    <x v="0"/>
    <x v="0"/>
    <x v="0"/>
    <n v="2.1760000000000002"/>
  </r>
  <r>
    <n v="1501"/>
    <x v="5"/>
    <x v="7"/>
    <n v="7"/>
    <n v="-0.76800000000000002"/>
    <x v="0"/>
    <x v="0"/>
    <x v="0"/>
    <n v="0.76800000000000002"/>
  </r>
  <r>
    <n v="1502"/>
    <x v="5"/>
    <x v="7"/>
    <n v="7"/>
    <n v="-4.4359999999999999"/>
    <x v="0"/>
    <x v="0"/>
    <x v="0"/>
    <n v="4.4359999999999999"/>
  </r>
  <r>
    <n v="1503"/>
    <x v="5"/>
    <x v="7"/>
    <n v="14"/>
    <n v="212.49799999999999"/>
    <x v="8"/>
    <x v="3"/>
    <x v="1"/>
    <n v="212.49799999999999"/>
  </r>
  <r>
    <n v="1504"/>
    <x v="5"/>
    <x v="7"/>
    <n v="16"/>
    <n v="-0.8"/>
    <x v="2"/>
    <x v="1"/>
    <x v="0"/>
    <n v="0.8"/>
  </r>
  <r>
    <n v="1505"/>
    <x v="5"/>
    <x v="7"/>
    <n v="17"/>
    <n v="-0.70799999999999996"/>
    <x v="0"/>
    <x v="0"/>
    <x v="0"/>
    <n v="0.70799999999999996"/>
  </r>
  <r>
    <n v="1506"/>
    <x v="5"/>
    <x v="7"/>
    <n v="17"/>
    <n v="-6.3140000000000001"/>
    <x v="0"/>
    <x v="0"/>
    <x v="0"/>
    <n v="6.3140000000000001"/>
  </r>
  <r>
    <n v="1507"/>
    <x v="5"/>
    <x v="7"/>
    <n v="18"/>
    <n v="-6"/>
    <x v="7"/>
    <x v="5"/>
    <x v="0"/>
    <n v="6"/>
  </r>
  <r>
    <n v="1508"/>
    <x v="5"/>
    <x v="7"/>
    <n v="19"/>
    <n v="-0.39800000000000002"/>
    <x v="2"/>
    <x v="1"/>
    <x v="0"/>
    <n v="0.39800000000000002"/>
  </r>
  <r>
    <n v="1509"/>
    <x v="5"/>
    <x v="7"/>
    <n v="20"/>
    <n v="-19.8"/>
    <x v="14"/>
    <x v="1"/>
    <x v="0"/>
    <n v="19.8"/>
  </r>
  <r>
    <n v="1510"/>
    <x v="5"/>
    <x v="7"/>
    <n v="20"/>
    <n v="-2.1360000000000001"/>
    <x v="0"/>
    <x v="0"/>
    <x v="0"/>
    <n v="2.1360000000000001"/>
  </r>
  <r>
    <n v="1511"/>
    <x v="5"/>
    <x v="7"/>
    <n v="20"/>
    <n v="-6.3680000000000003"/>
    <x v="0"/>
    <x v="0"/>
    <x v="0"/>
    <n v="6.3680000000000003"/>
  </r>
  <r>
    <n v="1512"/>
    <x v="5"/>
    <x v="7"/>
    <n v="21"/>
    <n v="14.254"/>
    <x v="3"/>
    <x v="2"/>
    <x v="1"/>
    <n v="14.254"/>
  </r>
  <r>
    <n v="1513"/>
    <x v="5"/>
    <x v="7"/>
    <n v="22"/>
    <n v="-29.875999999999998"/>
    <x v="0"/>
    <x v="0"/>
    <x v="0"/>
    <n v="29.875999999999998"/>
  </r>
  <r>
    <n v="1514"/>
    <x v="5"/>
    <x v="7"/>
    <n v="25"/>
    <n v="428.95600000000002"/>
    <x v="4"/>
    <x v="3"/>
    <x v="1"/>
    <n v="428.95600000000002"/>
  </r>
  <r>
    <n v="1515"/>
    <x v="5"/>
    <x v="7"/>
    <n v="25"/>
    <n v="-8.468"/>
    <x v="0"/>
    <x v="0"/>
    <x v="0"/>
    <n v="8.468"/>
  </r>
  <r>
    <n v="1516"/>
    <x v="5"/>
    <x v="7"/>
    <n v="25"/>
    <n v="-1.526"/>
    <x v="0"/>
    <x v="0"/>
    <x v="0"/>
    <n v="1.526"/>
  </r>
  <r>
    <n v="1517"/>
    <x v="5"/>
    <x v="7"/>
    <n v="29"/>
    <n v="-8.11"/>
    <x v="0"/>
    <x v="0"/>
    <x v="0"/>
    <n v="8.11"/>
  </r>
  <r>
    <n v="1518"/>
    <x v="5"/>
    <x v="7"/>
    <n v="31"/>
    <n v="4.0000000000000001E-3"/>
    <x v="3"/>
    <x v="2"/>
    <x v="1"/>
    <n v="4.0000000000000001E-3"/>
  </r>
  <r>
    <n v="1519"/>
    <x v="5"/>
    <x v="7"/>
    <n v="31"/>
    <n v="-1.198"/>
    <x v="2"/>
    <x v="1"/>
    <x v="0"/>
    <n v="1.198"/>
  </r>
  <r>
    <n v="1520"/>
    <x v="5"/>
    <x v="7"/>
    <n v="31"/>
    <n v="-0.4"/>
    <x v="2"/>
    <x v="1"/>
    <x v="0"/>
    <n v="0.4"/>
  </r>
  <r>
    <n v="1521"/>
    <x v="5"/>
    <x v="7"/>
    <n v="31"/>
    <n v="-2E-3"/>
    <x v="2"/>
    <x v="1"/>
    <x v="0"/>
    <n v="2E-3"/>
  </r>
  <r>
    <n v="1522"/>
    <x v="5"/>
    <x v="7"/>
    <n v="31"/>
    <n v="-2.988"/>
    <x v="0"/>
    <x v="0"/>
    <x v="0"/>
    <n v="2.988"/>
  </r>
  <r>
    <n v="1523"/>
    <x v="5"/>
    <x v="8"/>
    <n v="2"/>
    <n v="-8.3420000000000005"/>
    <x v="0"/>
    <x v="0"/>
    <x v="0"/>
    <n v="8.3420000000000005"/>
  </r>
  <r>
    <n v="1524"/>
    <x v="5"/>
    <x v="8"/>
    <n v="4"/>
    <n v="-191.76"/>
    <x v="6"/>
    <x v="4"/>
    <x v="0"/>
    <n v="191.76"/>
  </r>
  <r>
    <n v="1525"/>
    <x v="5"/>
    <x v="8"/>
    <n v="5"/>
    <n v="-4.5600000000000005"/>
    <x v="14"/>
    <x v="1"/>
    <x v="0"/>
    <n v="4.5600000000000005"/>
  </r>
  <r>
    <n v="1526"/>
    <x v="5"/>
    <x v="8"/>
    <n v="5"/>
    <n v="-6.88"/>
    <x v="0"/>
    <x v="0"/>
    <x v="0"/>
    <n v="6.88"/>
  </r>
  <r>
    <n v="1527"/>
    <x v="5"/>
    <x v="8"/>
    <n v="5"/>
    <n v="-4.6619999999999999"/>
    <x v="0"/>
    <x v="0"/>
    <x v="0"/>
    <n v="4.6619999999999999"/>
  </r>
  <r>
    <n v="1528"/>
    <x v="5"/>
    <x v="8"/>
    <n v="6"/>
    <n v="-16.68"/>
    <x v="21"/>
    <x v="1"/>
    <x v="0"/>
    <n v="16.68"/>
  </r>
  <r>
    <n v="1529"/>
    <x v="5"/>
    <x v="8"/>
    <n v="6"/>
    <n v="-59.765999999999998"/>
    <x v="13"/>
    <x v="1"/>
    <x v="0"/>
    <n v="59.765999999999998"/>
  </r>
  <r>
    <n v="1530"/>
    <x v="5"/>
    <x v="8"/>
    <n v="6"/>
    <n v="-6.1"/>
    <x v="18"/>
    <x v="1"/>
    <x v="0"/>
    <n v="6.1"/>
  </r>
  <r>
    <n v="1531"/>
    <x v="5"/>
    <x v="8"/>
    <n v="6"/>
    <n v="-8.5"/>
    <x v="19"/>
    <x v="1"/>
    <x v="0"/>
    <n v="8.5"/>
  </r>
  <r>
    <n v="1532"/>
    <x v="5"/>
    <x v="8"/>
    <n v="6"/>
    <n v="-13.693999999999999"/>
    <x v="16"/>
    <x v="1"/>
    <x v="0"/>
    <n v="13.693999999999999"/>
  </r>
  <r>
    <n v="1533"/>
    <x v="5"/>
    <x v="8"/>
    <n v="6"/>
    <n v="-5.9979999999999993"/>
    <x v="1"/>
    <x v="1"/>
    <x v="0"/>
    <n v="5.9979999999999993"/>
  </r>
  <r>
    <n v="1534"/>
    <x v="5"/>
    <x v="8"/>
    <n v="8"/>
    <n v="-29.733999999999998"/>
    <x v="17"/>
    <x v="4"/>
    <x v="0"/>
    <n v="29.733999999999998"/>
  </r>
  <r>
    <n v="1535"/>
    <x v="5"/>
    <x v="8"/>
    <n v="11"/>
    <n v="-78"/>
    <x v="7"/>
    <x v="5"/>
    <x v="0"/>
    <n v="78"/>
  </r>
  <r>
    <n v="1536"/>
    <x v="5"/>
    <x v="8"/>
    <n v="11"/>
    <n v="-22.368000000000002"/>
    <x v="17"/>
    <x v="4"/>
    <x v="0"/>
    <n v="22.368000000000002"/>
  </r>
  <r>
    <n v="1537"/>
    <x v="5"/>
    <x v="8"/>
    <n v="16"/>
    <n v="-0.8"/>
    <x v="2"/>
    <x v="1"/>
    <x v="0"/>
    <n v="0.8"/>
  </r>
  <r>
    <n v="1538"/>
    <x v="5"/>
    <x v="8"/>
    <n v="16"/>
    <n v="-0.39800000000000002"/>
    <x v="2"/>
    <x v="1"/>
    <x v="0"/>
    <n v="0.39800000000000002"/>
  </r>
  <r>
    <n v="1539"/>
    <x v="5"/>
    <x v="8"/>
    <n v="18"/>
    <n v="-4.7520000000000007"/>
    <x v="0"/>
    <x v="0"/>
    <x v="0"/>
    <n v="4.7520000000000007"/>
  </r>
  <r>
    <n v="1540"/>
    <x v="5"/>
    <x v="8"/>
    <n v="21"/>
    <n v="-2.798"/>
    <x v="7"/>
    <x v="5"/>
    <x v="0"/>
    <n v="2.798"/>
  </r>
  <r>
    <n v="1541"/>
    <x v="5"/>
    <x v="8"/>
    <n v="21"/>
    <n v="-22.84"/>
    <x v="14"/>
    <x v="1"/>
    <x v="0"/>
    <n v="22.84"/>
  </r>
  <r>
    <n v="1542"/>
    <x v="5"/>
    <x v="8"/>
    <n v="25"/>
    <n v="428.95600000000002"/>
    <x v="4"/>
    <x v="3"/>
    <x v="1"/>
    <n v="428.95600000000002"/>
  </r>
  <r>
    <n v="1543"/>
    <x v="5"/>
    <x v="8"/>
    <n v="25"/>
    <n v="-3.8240000000000003"/>
    <x v="0"/>
    <x v="0"/>
    <x v="0"/>
    <n v="3.8240000000000003"/>
  </r>
  <r>
    <n v="1544"/>
    <x v="5"/>
    <x v="8"/>
    <n v="26"/>
    <n v="-13.952000000000002"/>
    <x v="0"/>
    <x v="0"/>
    <x v="0"/>
    <n v="13.952000000000002"/>
  </r>
  <r>
    <n v="1545"/>
    <x v="5"/>
    <x v="8"/>
    <n v="30"/>
    <n v="2E-3"/>
    <x v="3"/>
    <x v="2"/>
    <x v="1"/>
    <n v="2E-3"/>
  </r>
  <r>
    <n v="1546"/>
    <x v="5"/>
    <x v="8"/>
    <n v="30"/>
    <n v="-1.198"/>
    <x v="2"/>
    <x v="1"/>
    <x v="0"/>
    <n v="1.198"/>
  </r>
  <r>
    <n v="1547"/>
    <x v="5"/>
    <x v="8"/>
    <n v="30"/>
    <n v="-0.4"/>
    <x v="2"/>
    <x v="1"/>
    <x v="0"/>
    <n v="0.4"/>
  </r>
  <r>
    <n v="1548"/>
    <x v="5"/>
    <x v="8"/>
    <n v="30"/>
    <n v="-2E-3"/>
    <x v="2"/>
    <x v="1"/>
    <x v="0"/>
    <n v="2E-3"/>
  </r>
  <r>
    <n v="1549"/>
    <x v="5"/>
    <x v="9"/>
    <n v="3"/>
    <n v="-59.765999999999998"/>
    <x v="13"/>
    <x v="1"/>
    <x v="0"/>
    <n v="59.765999999999998"/>
  </r>
  <r>
    <n v="1550"/>
    <x v="5"/>
    <x v="9"/>
    <n v="3"/>
    <n v="-2"/>
    <x v="7"/>
    <x v="5"/>
    <x v="0"/>
    <n v="2"/>
  </r>
  <r>
    <n v="1551"/>
    <x v="5"/>
    <x v="9"/>
    <n v="3"/>
    <n v="-7.38"/>
    <x v="19"/>
    <x v="1"/>
    <x v="0"/>
    <n v="7.38"/>
  </r>
  <r>
    <n v="1552"/>
    <x v="5"/>
    <x v="9"/>
    <n v="3"/>
    <n v="-6.2140000000000004"/>
    <x v="0"/>
    <x v="0"/>
    <x v="0"/>
    <n v="6.2140000000000004"/>
  </r>
  <r>
    <n v="1553"/>
    <x v="5"/>
    <x v="9"/>
    <n v="3"/>
    <n v="-46.4"/>
    <x v="12"/>
    <x v="1"/>
    <x v="0"/>
    <n v="46.4"/>
  </r>
  <r>
    <n v="1554"/>
    <x v="5"/>
    <x v="9"/>
    <n v="7"/>
    <n v="-2.2280000000000002"/>
    <x v="0"/>
    <x v="0"/>
    <x v="0"/>
    <n v="2.2280000000000002"/>
  </r>
  <r>
    <n v="1555"/>
    <x v="5"/>
    <x v="9"/>
    <n v="8"/>
    <n v="-6.4159999999999995"/>
    <x v="1"/>
    <x v="1"/>
    <x v="0"/>
    <n v="6.4159999999999995"/>
  </r>
  <r>
    <n v="1556"/>
    <x v="5"/>
    <x v="9"/>
    <n v="9"/>
    <n v="-4.484"/>
    <x v="0"/>
    <x v="0"/>
    <x v="0"/>
    <n v="4.484"/>
  </r>
  <r>
    <n v="1557"/>
    <x v="5"/>
    <x v="9"/>
    <n v="12"/>
    <n v="-1.9359999999999999"/>
    <x v="0"/>
    <x v="0"/>
    <x v="0"/>
    <n v="1.9359999999999999"/>
  </r>
  <r>
    <n v="1558"/>
    <x v="5"/>
    <x v="9"/>
    <n v="14"/>
    <n v="-0.39800000000000002"/>
    <x v="2"/>
    <x v="1"/>
    <x v="0"/>
    <n v="0.39800000000000002"/>
  </r>
  <r>
    <n v="1559"/>
    <x v="5"/>
    <x v="9"/>
    <n v="14"/>
    <n v="-1.7260000000000002"/>
    <x v="0"/>
    <x v="0"/>
    <x v="0"/>
    <n v="1.7260000000000002"/>
  </r>
  <r>
    <n v="1560"/>
    <x v="5"/>
    <x v="9"/>
    <n v="15"/>
    <n v="84.2"/>
    <x v="9"/>
    <x v="3"/>
    <x v="1"/>
    <n v="84.2"/>
  </r>
  <r>
    <n v="1561"/>
    <x v="5"/>
    <x v="9"/>
    <n v="16"/>
    <n v="-0.8"/>
    <x v="2"/>
    <x v="1"/>
    <x v="0"/>
    <n v="0.8"/>
  </r>
  <r>
    <n v="1562"/>
    <x v="5"/>
    <x v="9"/>
    <n v="16"/>
    <n v="-4.4619999999999997"/>
    <x v="0"/>
    <x v="0"/>
    <x v="0"/>
    <n v="4.4619999999999997"/>
  </r>
  <r>
    <n v="1563"/>
    <x v="5"/>
    <x v="9"/>
    <n v="17"/>
    <n v="-30.2"/>
    <x v="6"/>
    <x v="4"/>
    <x v="0"/>
    <n v="30.2"/>
  </r>
  <r>
    <n v="1564"/>
    <x v="5"/>
    <x v="9"/>
    <n v="19"/>
    <n v="-19.8"/>
    <x v="14"/>
    <x v="1"/>
    <x v="0"/>
    <n v="19.8"/>
  </r>
  <r>
    <n v="1565"/>
    <x v="5"/>
    <x v="9"/>
    <n v="19"/>
    <n v="-6.7359999999999998"/>
    <x v="0"/>
    <x v="0"/>
    <x v="0"/>
    <n v="6.7359999999999998"/>
  </r>
  <r>
    <n v="1566"/>
    <x v="5"/>
    <x v="9"/>
    <n v="19"/>
    <n v="-1.0680000000000001"/>
    <x v="0"/>
    <x v="0"/>
    <x v="0"/>
    <n v="1.0680000000000001"/>
  </r>
  <r>
    <n v="1567"/>
    <x v="5"/>
    <x v="9"/>
    <n v="21"/>
    <n v="-0.53600000000000003"/>
    <x v="0"/>
    <x v="0"/>
    <x v="0"/>
    <n v="0.53600000000000003"/>
  </r>
  <r>
    <n v="1568"/>
    <x v="5"/>
    <x v="9"/>
    <n v="23"/>
    <n v="67.274000000000001"/>
    <x v="8"/>
    <x v="3"/>
    <x v="1"/>
    <n v="67.274000000000001"/>
  </r>
  <r>
    <n v="1569"/>
    <x v="5"/>
    <x v="9"/>
    <n v="23"/>
    <n v="243.83200000000002"/>
    <x v="8"/>
    <x v="3"/>
    <x v="1"/>
    <n v="243.83200000000002"/>
  </r>
  <r>
    <n v="1570"/>
    <x v="5"/>
    <x v="9"/>
    <n v="23"/>
    <n v="-7.581999999999999"/>
    <x v="0"/>
    <x v="0"/>
    <x v="0"/>
    <n v="7.581999999999999"/>
  </r>
  <r>
    <n v="1571"/>
    <x v="5"/>
    <x v="9"/>
    <n v="25"/>
    <n v="-25.977999999999998"/>
    <x v="0"/>
    <x v="0"/>
    <x v="0"/>
    <n v="25.977999999999998"/>
  </r>
  <r>
    <n v="1572"/>
    <x v="5"/>
    <x v="9"/>
    <n v="27"/>
    <n v="428.95799999999997"/>
    <x v="4"/>
    <x v="3"/>
    <x v="1"/>
    <n v="428.95799999999997"/>
  </r>
  <r>
    <n v="1573"/>
    <x v="5"/>
    <x v="9"/>
    <n v="29"/>
    <n v="-5.0419999999999998"/>
    <x v="0"/>
    <x v="0"/>
    <x v="0"/>
    <n v="5.0419999999999998"/>
  </r>
  <r>
    <n v="1574"/>
    <x v="5"/>
    <x v="9"/>
    <n v="31"/>
    <n v="4.0000000000000001E-3"/>
    <x v="3"/>
    <x v="2"/>
    <x v="1"/>
    <n v="4.0000000000000001E-3"/>
  </r>
  <r>
    <n v="1575"/>
    <x v="5"/>
    <x v="9"/>
    <n v="31"/>
    <n v="-1.198"/>
    <x v="2"/>
    <x v="1"/>
    <x v="0"/>
    <n v="1.198"/>
  </r>
  <r>
    <n v="1576"/>
    <x v="5"/>
    <x v="9"/>
    <n v="31"/>
    <n v="-0.8"/>
    <x v="2"/>
    <x v="1"/>
    <x v="0"/>
    <n v="0.8"/>
  </r>
  <r>
    <n v="1577"/>
    <x v="5"/>
    <x v="9"/>
    <n v="31"/>
    <n v="-2E-3"/>
    <x v="2"/>
    <x v="1"/>
    <x v="0"/>
    <n v="2E-3"/>
  </r>
  <r>
    <n v="1578"/>
    <x v="5"/>
    <x v="10"/>
    <n v="1"/>
    <n v="-5.9979999999999993"/>
    <x v="1"/>
    <x v="1"/>
    <x v="0"/>
    <n v="5.9979999999999993"/>
  </r>
  <r>
    <n v="1579"/>
    <x v="5"/>
    <x v="10"/>
    <n v="1"/>
    <n v="-59.765999999999998"/>
    <x v="13"/>
    <x v="1"/>
    <x v="0"/>
    <n v="59.765999999999998"/>
  </r>
  <r>
    <n v="1580"/>
    <x v="5"/>
    <x v="10"/>
    <n v="1"/>
    <n v="-1.1499999999999999"/>
    <x v="7"/>
    <x v="5"/>
    <x v="0"/>
    <n v="1.1499999999999999"/>
  </r>
  <r>
    <n v="1581"/>
    <x v="5"/>
    <x v="10"/>
    <n v="1"/>
    <n v="-7.38"/>
    <x v="19"/>
    <x v="1"/>
    <x v="0"/>
    <n v="7.38"/>
  </r>
  <r>
    <n v="1582"/>
    <x v="5"/>
    <x v="10"/>
    <n v="1"/>
    <n v="-14.34"/>
    <x v="16"/>
    <x v="1"/>
    <x v="0"/>
    <n v="14.34"/>
  </r>
  <r>
    <n v="1583"/>
    <x v="5"/>
    <x v="10"/>
    <n v="2"/>
    <n v="-6.1"/>
    <x v="18"/>
    <x v="1"/>
    <x v="0"/>
    <n v="6.1"/>
  </r>
  <r>
    <n v="1584"/>
    <x v="5"/>
    <x v="10"/>
    <n v="2"/>
    <n v="-2.9039999999999999"/>
    <x v="0"/>
    <x v="0"/>
    <x v="0"/>
    <n v="2.9039999999999999"/>
  </r>
  <r>
    <n v="1585"/>
    <x v="5"/>
    <x v="10"/>
    <n v="4"/>
    <n v="-1.9140000000000001"/>
    <x v="0"/>
    <x v="0"/>
    <x v="0"/>
    <n v="1.9140000000000001"/>
  </r>
  <r>
    <n v="1586"/>
    <x v="5"/>
    <x v="10"/>
    <n v="5"/>
    <n v="-28.377999999999997"/>
    <x v="0"/>
    <x v="0"/>
    <x v="0"/>
    <n v="28.377999999999997"/>
  </r>
  <r>
    <n v="1587"/>
    <x v="5"/>
    <x v="10"/>
    <n v="9"/>
    <n v="-1.85"/>
    <x v="0"/>
    <x v="0"/>
    <x v="0"/>
    <n v="1.85"/>
  </r>
  <r>
    <n v="1588"/>
    <x v="5"/>
    <x v="10"/>
    <n v="10"/>
    <n v="-7.4239999999999995"/>
    <x v="0"/>
    <x v="0"/>
    <x v="0"/>
    <n v="7.4239999999999995"/>
  </r>
  <r>
    <n v="1589"/>
    <x v="5"/>
    <x v="10"/>
    <n v="13"/>
    <n v="-0.39800000000000002"/>
    <x v="2"/>
    <x v="1"/>
    <x v="0"/>
    <n v="0.39800000000000002"/>
  </r>
  <r>
    <n v="1590"/>
    <x v="5"/>
    <x v="10"/>
    <n v="13"/>
    <n v="-4.8319999999999999"/>
    <x v="0"/>
    <x v="0"/>
    <x v="0"/>
    <n v="4.8319999999999999"/>
  </r>
  <r>
    <n v="1591"/>
    <x v="5"/>
    <x v="10"/>
    <n v="13"/>
    <n v="-2.3079999999999998"/>
    <x v="0"/>
    <x v="0"/>
    <x v="0"/>
    <n v="2.3079999999999998"/>
  </r>
  <r>
    <n v="1592"/>
    <x v="5"/>
    <x v="10"/>
    <n v="14"/>
    <n v="-34.198"/>
    <x v="6"/>
    <x v="4"/>
    <x v="0"/>
    <n v="34.198"/>
  </r>
  <r>
    <n v="1593"/>
    <x v="5"/>
    <x v="10"/>
    <n v="16"/>
    <n v="-0.8"/>
    <x v="2"/>
    <x v="1"/>
    <x v="0"/>
    <n v="0.8"/>
  </r>
  <r>
    <n v="1594"/>
    <x v="5"/>
    <x v="10"/>
    <n v="17"/>
    <n v="-5.8659999999999997"/>
    <x v="0"/>
    <x v="0"/>
    <x v="0"/>
    <n v="5.8659999999999997"/>
  </r>
  <r>
    <n v="1595"/>
    <x v="5"/>
    <x v="10"/>
    <n v="20"/>
    <n v="-2.3719999999999999"/>
    <x v="0"/>
    <x v="0"/>
    <x v="0"/>
    <n v="2.3719999999999999"/>
  </r>
  <r>
    <n v="1596"/>
    <x v="5"/>
    <x v="10"/>
    <n v="21"/>
    <n v="-16.553999999999998"/>
    <x v="0"/>
    <x v="0"/>
    <x v="0"/>
    <n v="16.553999999999998"/>
  </r>
  <r>
    <n v="1597"/>
    <x v="5"/>
    <x v="10"/>
    <n v="22"/>
    <n v="12.007999999999999"/>
    <x v="3"/>
    <x v="2"/>
    <x v="1"/>
    <n v="12.007999999999999"/>
  </r>
  <r>
    <n v="1598"/>
    <x v="5"/>
    <x v="10"/>
    <n v="23"/>
    <n v="-23.4"/>
    <x v="7"/>
    <x v="5"/>
    <x v="0"/>
    <n v="23.4"/>
  </r>
  <r>
    <n v="1599"/>
    <x v="5"/>
    <x v="10"/>
    <n v="25"/>
    <n v="-1.0660000000000001"/>
    <x v="0"/>
    <x v="0"/>
    <x v="0"/>
    <n v="1.0660000000000001"/>
  </r>
  <r>
    <n v="1600"/>
    <x v="5"/>
    <x v="10"/>
    <n v="26"/>
    <n v="432.53800000000001"/>
    <x v="4"/>
    <x v="3"/>
    <x v="1"/>
    <n v="432.53800000000001"/>
  </r>
  <r>
    <n v="1601"/>
    <x v="5"/>
    <x v="10"/>
    <n v="26"/>
    <n v="-8.4959999999999987"/>
    <x v="0"/>
    <x v="0"/>
    <x v="0"/>
    <n v="8.4959999999999987"/>
  </r>
  <r>
    <n v="1602"/>
    <x v="5"/>
    <x v="10"/>
    <n v="27"/>
    <n v="-9.8420000000000005"/>
    <x v="0"/>
    <x v="0"/>
    <x v="0"/>
    <n v="9.8420000000000005"/>
  </r>
  <r>
    <n v="1603"/>
    <x v="5"/>
    <x v="10"/>
    <n v="27"/>
    <n v="-1.1160000000000001"/>
    <x v="0"/>
    <x v="0"/>
    <x v="0"/>
    <n v="1.1160000000000001"/>
  </r>
  <r>
    <n v="1604"/>
    <x v="5"/>
    <x v="10"/>
    <n v="29"/>
    <n v="-31.598000000000003"/>
    <x v="0"/>
    <x v="0"/>
    <x v="0"/>
    <n v="31.598000000000003"/>
  </r>
  <r>
    <n v="1605"/>
    <x v="5"/>
    <x v="10"/>
    <n v="30"/>
    <n v="2E-3"/>
    <x v="3"/>
    <x v="2"/>
    <x v="1"/>
    <n v="2E-3"/>
  </r>
  <r>
    <n v="1606"/>
    <x v="5"/>
    <x v="10"/>
    <n v="30"/>
    <n v="-1.198"/>
    <x v="2"/>
    <x v="1"/>
    <x v="0"/>
    <n v="1.198"/>
  </r>
  <r>
    <n v="1607"/>
    <x v="5"/>
    <x v="10"/>
    <n v="30"/>
    <n v="-2E-3"/>
    <x v="2"/>
    <x v="1"/>
    <x v="0"/>
    <n v="2E-3"/>
  </r>
  <r>
    <n v="1608"/>
    <x v="5"/>
    <x v="11"/>
    <n v="3"/>
    <n v="-0.51"/>
    <x v="0"/>
    <x v="0"/>
    <x v="0"/>
    <n v="0.51"/>
  </r>
  <r>
    <n v="1609"/>
    <x v="5"/>
    <x v="11"/>
    <n v="4"/>
    <n v="-7.5359999999999996"/>
    <x v="0"/>
    <x v="0"/>
    <x v="0"/>
    <n v="7.5359999999999996"/>
  </r>
  <r>
    <n v="1610"/>
    <x v="5"/>
    <x v="11"/>
    <n v="5"/>
    <n v="-59.765999999999998"/>
    <x v="13"/>
    <x v="1"/>
    <x v="0"/>
    <n v="59.765999999999998"/>
  </r>
  <r>
    <n v="1611"/>
    <x v="5"/>
    <x v="11"/>
    <n v="5"/>
    <n v="-7.38"/>
    <x v="19"/>
    <x v="1"/>
    <x v="0"/>
    <n v="7.38"/>
  </r>
  <r>
    <n v="1612"/>
    <x v="5"/>
    <x v="11"/>
    <n v="5"/>
    <n v="-5.9979999999999993"/>
    <x v="1"/>
    <x v="1"/>
    <x v="0"/>
    <n v="5.9979999999999993"/>
  </r>
  <r>
    <n v="1613"/>
    <x v="5"/>
    <x v="11"/>
    <n v="7"/>
    <n v="-3.9240000000000004"/>
    <x v="0"/>
    <x v="0"/>
    <x v="0"/>
    <n v="3.9240000000000004"/>
  </r>
  <r>
    <n v="1614"/>
    <x v="5"/>
    <x v="11"/>
    <n v="9"/>
    <n v="-7.6519999999999992"/>
    <x v="0"/>
    <x v="0"/>
    <x v="0"/>
    <n v="7.6519999999999992"/>
  </r>
  <r>
    <n v="1615"/>
    <x v="5"/>
    <x v="11"/>
    <n v="9"/>
    <n v="-0.54600000000000004"/>
    <x v="0"/>
    <x v="0"/>
    <x v="0"/>
    <n v="0.54600000000000004"/>
  </r>
  <r>
    <n v="1616"/>
    <x v="5"/>
    <x v="11"/>
    <n v="11"/>
    <n v="-0.39800000000000002"/>
    <x v="2"/>
    <x v="1"/>
    <x v="0"/>
    <n v="0.39800000000000002"/>
  </r>
  <r>
    <n v="1617"/>
    <x v="5"/>
    <x v="11"/>
    <n v="11"/>
    <n v="-5.4240000000000004"/>
    <x v="0"/>
    <x v="0"/>
    <x v="0"/>
    <n v="5.4240000000000004"/>
  </r>
  <r>
    <n v="1618"/>
    <x v="5"/>
    <x v="11"/>
    <n v="14"/>
    <n v="-6"/>
    <x v="7"/>
    <x v="5"/>
    <x v="0"/>
    <n v="6"/>
  </r>
  <r>
    <n v="1619"/>
    <x v="5"/>
    <x v="11"/>
    <n v="15"/>
    <n v="-3.0760000000000001"/>
    <x v="0"/>
    <x v="0"/>
    <x v="0"/>
    <n v="3.0760000000000001"/>
  </r>
  <r>
    <n v="1620"/>
    <x v="5"/>
    <x v="11"/>
    <n v="15"/>
    <n v="-3.6520000000000001"/>
    <x v="0"/>
    <x v="0"/>
    <x v="0"/>
    <n v="3.6520000000000001"/>
  </r>
  <r>
    <n v="1621"/>
    <x v="5"/>
    <x v="11"/>
    <n v="16"/>
    <n v="-4"/>
    <x v="7"/>
    <x v="5"/>
    <x v="0"/>
    <n v="4"/>
  </r>
  <r>
    <n v="1622"/>
    <x v="5"/>
    <x v="11"/>
    <n v="16"/>
    <n v="-0.8"/>
    <x v="2"/>
    <x v="1"/>
    <x v="0"/>
    <n v="0.8"/>
  </r>
  <r>
    <n v="1623"/>
    <x v="5"/>
    <x v="11"/>
    <n v="16"/>
    <n v="-0.24"/>
    <x v="0"/>
    <x v="0"/>
    <x v="0"/>
    <n v="0.24"/>
  </r>
  <r>
    <n v="1624"/>
    <x v="5"/>
    <x v="11"/>
    <n v="16"/>
    <n v="-1.34"/>
    <x v="0"/>
    <x v="0"/>
    <x v="0"/>
    <n v="1.34"/>
  </r>
  <r>
    <n v="1625"/>
    <x v="5"/>
    <x v="11"/>
    <n v="17"/>
    <n v="432.53800000000001"/>
    <x v="4"/>
    <x v="3"/>
    <x v="1"/>
    <n v="432.53800000000001"/>
  </r>
  <r>
    <n v="1626"/>
    <x v="5"/>
    <x v="11"/>
    <n v="18"/>
    <n v="-0.95"/>
    <x v="7"/>
    <x v="5"/>
    <x v="0"/>
    <n v="0.95"/>
  </r>
  <r>
    <n v="1627"/>
    <x v="5"/>
    <x v="11"/>
    <n v="22"/>
    <n v="40.200000000000003"/>
    <x v="9"/>
    <x v="3"/>
    <x v="1"/>
    <n v="40.200000000000003"/>
  </r>
  <r>
    <n v="1628"/>
    <x v="5"/>
    <x v="11"/>
    <n v="23"/>
    <n v="0.29199999999999998"/>
    <x v="3"/>
    <x v="2"/>
    <x v="1"/>
    <n v="0.29199999999999998"/>
  </r>
  <r>
    <n v="1629"/>
    <x v="5"/>
    <x v="11"/>
    <n v="28"/>
    <n v="-13.98"/>
    <x v="7"/>
    <x v="5"/>
    <x v="0"/>
    <n v="13.98"/>
  </r>
  <r>
    <n v="1630"/>
    <x v="5"/>
    <x v="11"/>
    <n v="29"/>
    <n v="-19.8"/>
    <x v="14"/>
    <x v="1"/>
    <x v="0"/>
    <n v="19.8"/>
  </r>
  <r>
    <n v="1631"/>
    <x v="5"/>
    <x v="11"/>
    <n v="29"/>
    <n v="248.14600000000002"/>
    <x v="8"/>
    <x v="3"/>
    <x v="1"/>
    <n v="248.14600000000002"/>
  </r>
  <r>
    <n v="1632"/>
    <x v="5"/>
    <x v="11"/>
    <n v="31"/>
    <n v="4.0000000000000001E-3"/>
    <x v="3"/>
    <x v="2"/>
    <x v="1"/>
    <n v="4.0000000000000001E-3"/>
  </r>
  <r>
    <n v="1633"/>
    <x v="5"/>
    <x v="11"/>
    <n v="31"/>
    <n v="-1.198"/>
    <x v="2"/>
    <x v="1"/>
    <x v="0"/>
    <n v="1.198"/>
  </r>
  <r>
    <n v="1634"/>
    <x v="5"/>
    <x v="11"/>
    <n v="31"/>
    <n v="-0.5"/>
    <x v="2"/>
    <x v="1"/>
    <x v="0"/>
    <n v="0.5"/>
  </r>
  <r>
    <n v="1635"/>
    <x v="5"/>
    <x v="11"/>
    <n v="31"/>
    <n v="-2E-3"/>
    <x v="2"/>
    <x v="1"/>
    <x v="0"/>
    <n v="2E-3"/>
  </r>
  <r>
    <n v="1636"/>
    <x v="6"/>
    <x v="0"/>
    <n v="1"/>
    <n v="-5.9979999999999993"/>
    <x v="1"/>
    <x v="1"/>
    <x v="0"/>
    <n v="5.9979999999999993"/>
  </r>
  <r>
    <n v="1637"/>
    <x v="6"/>
    <x v="0"/>
    <n v="1"/>
    <n v="-6.15"/>
    <x v="18"/>
    <x v="1"/>
    <x v="0"/>
    <n v="6.15"/>
  </r>
  <r>
    <n v="1638"/>
    <x v="6"/>
    <x v="0"/>
    <n v="1"/>
    <n v="-7.38"/>
    <x v="19"/>
    <x v="1"/>
    <x v="0"/>
    <n v="7.38"/>
  </r>
  <r>
    <n v="1639"/>
    <x v="6"/>
    <x v="0"/>
    <n v="6"/>
    <n v="-4.54"/>
    <x v="21"/>
    <x v="1"/>
    <x v="0"/>
    <n v="4.54"/>
  </r>
  <r>
    <n v="1640"/>
    <x v="6"/>
    <x v="0"/>
    <n v="7"/>
    <n v="-31.445999999999998"/>
    <x v="13"/>
    <x v="1"/>
    <x v="0"/>
    <n v="31.445999999999998"/>
  </r>
  <r>
    <n v="1641"/>
    <x v="6"/>
    <x v="0"/>
    <n v="7"/>
    <n v="-6.952"/>
    <x v="0"/>
    <x v="0"/>
    <x v="0"/>
    <n v="6.952"/>
  </r>
  <r>
    <n v="1642"/>
    <x v="6"/>
    <x v="0"/>
    <n v="9"/>
    <n v="-1.4159999999999999"/>
    <x v="17"/>
    <x v="4"/>
    <x v="0"/>
    <n v="1.4159999999999999"/>
  </r>
  <r>
    <n v="1643"/>
    <x v="6"/>
    <x v="0"/>
    <n v="9"/>
    <n v="-11.122"/>
    <x v="16"/>
    <x v="1"/>
    <x v="0"/>
    <n v="11.122"/>
  </r>
  <r>
    <n v="1644"/>
    <x v="6"/>
    <x v="0"/>
    <n v="13"/>
    <n v="-4.468"/>
    <x v="0"/>
    <x v="0"/>
    <x v="0"/>
    <n v="4.468"/>
  </r>
  <r>
    <n v="1645"/>
    <x v="6"/>
    <x v="0"/>
    <n v="16"/>
    <n v="-0.8"/>
    <x v="2"/>
    <x v="1"/>
    <x v="0"/>
    <n v="0.8"/>
  </r>
  <r>
    <n v="1646"/>
    <x v="6"/>
    <x v="0"/>
    <n v="18"/>
    <n v="-1.61"/>
    <x v="0"/>
    <x v="0"/>
    <x v="0"/>
    <n v="1.61"/>
  </r>
  <r>
    <n v="1647"/>
    <x v="6"/>
    <x v="0"/>
    <n v="20"/>
    <n v="-0.39800000000000002"/>
    <x v="2"/>
    <x v="1"/>
    <x v="0"/>
    <n v="0.39800000000000002"/>
  </r>
  <r>
    <n v="1648"/>
    <x v="6"/>
    <x v="0"/>
    <n v="21"/>
    <n v="-6.694"/>
    <x v="0"/>
    <x v="0"/>
    <x v="0"/>
    <n v="6.694"/>
  </r>
  <r>
    <n v="1649"/>
    <x v="6"/>
    <x v="0"/>
    <n v="21"/>
    <n v="-1"/>
    <x v="0"/>
    <x v="0"/>
    <x v="0"/>
    <n v="1"/>
  </r>
  <r>
    <n v="1650"/>
    <x v="6"/>
    <x v="0"/>
    <n v="26"/>
    <n v="-19.8"/>
    <x v="14"/>
    <x v="1"/>
    <x v="0"/>
    <n v="19.8"/>
  </r>
  <r>
    <n v="1651"/>
    <x v="6"/>
    <x v="0"/>
    <n v="26"/>
    <n v="478.61400000000003"/>
    <x v="4"/>
    <x v="3"/>
    <x v="1"/>
    <n v="478.61400000000003"/>
  </r>
  <r>
    <n v="1652"/>
    <x v="6"/>
    <x v="0"/>
    <n v="27"/>
    <n v="-5.4859999999999998"/>
    <x v="0"/>
    <x v="0"/>
    <x v="0"/>
    <n v="5.4859999999999998"/>
  </r>
  <r>
    <n v="1653"/>
    <x v="6"/>
    <x v="0"/>
    <n v="30"/>
    <n v="-8.1999999999999993"/>
    <x v="20"/>
    <x v="1"/>
    <x v="0"/>
    <n v="8.1999999999999993"/>
  </r>
  <r>
    <n v="1654"/>
    <x v="6"/>
    <x v="0"/>
    <n v="31"/>
    <n v="6.0000000000000001E-3"/>
    <x v="3"/>
    <x v="2"/>
    <x v="1"/>
    <n v="6.0000000000000001E-3"/>
  </r>
  <r>
    <n v="1655"/>
    <x v="6"/>
    <x v="0"/>
    <n v="31"/>
    <n v="-1.198"/>
    <x v="2"/>
    <x v="1"/>
    <x v="0"/>
    <n v="1.198"/>
  </r>
  <r>
    <n v="1656"/>
    <x v="6"/>
    <x v="0"/>
    <n v="31"/>
    <n v="-0.6"/>
    <x v="2"/>
    <x v="1"/>
    <x v="0"/>
    <n v="0.6"/>
  </r>
  <r>
    <n v="1657"/>
    <x v="6"/>
    <x v="0"/>
    <n v="31"/>
    <n v="-2E-3"/>
    <x v="2"/>
    <x v="1"/>
    <x v="0"/>
    <n v="2E-3"/>
  </r>
  <r>
    <n v="1658"/>
    <x v="6"/>
    <x v="1"/>
    <n v="1"/>
    <n v="-4.54"/>
    <x v="21"/>
    <x v="1"/>
    <x v="0"/>
    <n v="4.54"/>
  </r>
  <r>
    <n v="1659"/>
    <x v="6"/>
    <x v="1"/>
    <n v="1"/>
    <n v="-61.69"/>
    <x v="13"/>
    <x v="1"/>
    <x v="0"/>
    <n v="61.69"/>
  </r>
  <r>
    <n v="1660"/>
    <x v="6"/>
    <x v="1"/>
    <n v="1"/>
    <n v="-7.38"/>
    <x v="19"/>
    <x v="1"/>
    <x v="0"/>
    <n v="7.38"/>
  </r>
  <r>
    <n v="1661"/>
    <x v="6"/>
    <x v="1"/>
    <n v="1"/>
    <n v="-5.9979999999999993"/>
    <x v="1"/>
    <x v="1"/>
    <x v="0"/>
    <n v="5.9979999999999993"/>
  </r>
  <r>
    <n v="1662"/>
    <x v="6"/>
    <x v="1"/>
    <n v="2"/>
    <n v="-0.59800000000000009"/>
    <x v="0"/>
    <x v="0"/>
    <x v="0"/>
    <n v="0.59800000000000009"/>
  </r>
  <r>
    <n v="1663"/>
    <x v="6"/>
    <x v="1"/>
    <n v="4"/>
    <n v="424.63400000000001"/>
    <x v="5"/>
    <x v="3"/>
    <x v="1"/>
    <n v="424.63400000000001"/>
  </r>
  <r>
    <n v="1664"/>
    <x v="6"/>
    <x v="1"/>
    <n v="4"/>
    <n v="-0.24"/>
    <x v="0"/>
    <x v="0"/>
    <x v="0"/>
    <n v="0.24"/>
  </r>
  <r>
    <n v="1665"/>
    <x v="6"/>
    <x v="1"/>
    <n v="4"/>
    <n v="-11.95"/>
    <x v="0"/>
    <x v="0"/>
    <x v="0"/>
    <n v="11.95"/>
  </r>
  <r>
    <n v="1666"/>
    <x v="6"/>
    <x v="1"/>
    <n v="5"/>
    <n v="-0.48"/>
    <x v="0"/>
    <x v="0"/>
    <x v="0"/>
    <n v="0.48"/>
  </r>
  <r>
    <n v="1667"/>
    <x v="6"/>
    <x v="1"/>
    <n v="5"/>
    <n v="-1.3820000000000001"/>
    <x v="0"/>
    <x v="0"/>
    <x v="0"/>
    <n v="1.3820000000000001"/>
  </r>
  <r>
    <n v="1668"/>
    <x v="6"/>
    <x v="1"/>
    <n v="6"/>
    <n v="-1.998"/>
    <x v="7"/>
    <x v="5"/>
    <x v="0"/>
    <n v="1.998"/>
  </r>
  <r>
    <n v="1669"/>
    <x v="6"/>
    <x v="1"/>
    <n v="8"/>
    <n v="-35.998000000000005"/>
    <x v="6"/>
    <x v="4"/>
    <x v="0"/>
    <n v="35.998000000000005"/>
  </r>
  <r>
    <n v="1670"/>
    <x v="6"/>
    <x v="1"/>
    <n v="9"/>
    <n v="-0.53800000000000003"/>
    <x v="0"/>
    <x v="0"/>
    <x v="0"/>
    <n v="0.53800000000000003"/>
  </r>
  <r>
    <n v="1671"/>
    <x v="6"/>
    <x v="1"/>
    <n v="9"/>
    <n v="-4.34"/>
    <x v="0"/>
    <x v="0"/>
    <x v="0"/>
    <n v="4.34"/>
  </r>
  <r>
    <n v="1672"/>
    <x v="6"/>
    <x v="1"/>
    <n v="12"/>
    <n v="-0.52"/>
    <x v="0"/>
    <x v="0"/>
    <x v="0"/>
    <n v="0.52"/>
  </r>
  <r>
    <n v="1673"/>
    <x v="6"/>
    <x v="1"/>
    <n v="12"/>
    <n v="-6.44"/>
    <x v="0"/>
    <x v="0"/>
    <x v="0"/>
    <n v="6.44"/>
  </r>
  <r>
    <n v="1674"/>
    <x v="6"/>
    <x v="1"/>
    <n v="12"/>
    <n v="-0.52800000000000002"/>
    <x v="0"/>
    <x v="0"/>
    <x v="0"/>
    <n v="0.52800000000000002"/>
  </r>
  <r>
    <n v="1675"/>
    <x v="6"/>
    <x v="1"/>
    <n v="15"/>
    <n v="-0.24"/>
    <x v="0"/>
    <x v="0"/>
    <x v="0"/>
    <n v="0.24"/>
  </r>
  <r>
    <n v="1676"/>
    <x v="6"/>
    <x v="1"/>
    <n v="16"/>
    <n v="-0.8"/>
    <x v="2"/>
    <x v="1"/>
    <x v="0"/>
    <n v="0.8"/>
  </r>
  <r>
    <n v="1677"/>
    <x v="6"/>
    <x v="1"/>
    <n v="16"/>
    <n v="-0.39800000000000002"/>
    <x v="2"/>
    <x v="1"/>
    <x v="0"/>
    <n v="0.39800000000000002"/>
  </r>
  <r>
    <n v="1678"/>
    <x v="6"/>
    <x v="1"/>
    <n v="18"/>
    <n v="-8.0280000000000005"/>
    <x v="0"/>
    <x v="0"/>
    <x v="0"/>
    <n v="8.0280000000000005"/>
  </r>
  <r>
    <n v="1679"/>
    <x v="6"/>
    <x v="1"/>
    <n v="18"/>
    <n v="-0.54"/>
    <x v="0"/>
    <x v="0"/>
    <x v="0"/>
    <n v="0.54"/>
  </r>
  <r>
    <n v="1680"/>
    <x v="6"/>
    <x v="1"/>
    <n v="20"/>
    <n v="-196.2"/>
    <x v="15"/>
    <x v="4"/>
    <x v="0"/>
    <n v="196.2"/>
  </r>
  <r>
    <n v="1681"/>
    <x v="6"/>
    <x v="1"/>
    <n v="21"/>
    <n v="-43.957999999999998"/>
    <x v="7"/>
    <x v="5"/>
    <x v="0"/>
    <n v="43.957999999999998"/>
  </r>
  <r>
    <n v="1682"/>
    <x v="6"/>
    <x v="1"/>
    <n v="24"/>
    <n v="-1.08"/>
    <x v="0"/>
    <x v="0"/>
    <x v="0"/>
    <n v="1.08"/>
  </r>
  <r>
    <n v="1683"/>
    <x v="6"/>
    <x v="1"/>
    <n v="25"/>
    <n v="-19.8"/>
    <x v="14"/>
    <x v="1"/>
    <x v="0"/>
    <n v="19.8"/>
  </r>
  <r>
    <n v="1684"/>
    <x v="6"/>
    <x v="1"/>
    <n v="25"/>
    <n v="478.61400000000003"/>
    <x v="4"/>
    <x v="3"/>
    <x v="1"/>
    <n v="478.61400000000003"/>
  </r>
  <r>
    <n v="1685"/>
    <x v="6"/>
    <x v="1"/>
    <n v="25"/>
    <n v="-9.331999999999999"/>
    <x v="0"/>
    <x v="0"/>
    <x v="0"/>
    <n v="9.331999999999999"/>
  </r>
  <r>
    <n v="1686"/>
    <x v="6"/>
    <x v="1"/>
    <n v="26"/>
    <n v="-1.6179999999999999"/>
    <x v="0"/>
    <x v="0"/>
    <x v="0"/>
    <n v="1.6179999999999999"/>
  </r>
  <r>
    <n v="1687"/>
    <x v="6"/>
    <x v="1"/>
    <n v="29"/>
    <n v="4.0000000000000001E-3"/>
    <x v="3"/>
    <x v="2"/>
    <x v="1"/>
    <n v="4.0000000000000001E-3"/>
  </r>
  <r>
    <n v="1688"/>
    <x v="6"/>
    <x v="1"/>
    <n v="29"/>
    <n v="-1.198"/>
    <x v="2"/>
    <x v="1"/>
    <x v="0"/>
    <n v="1.198"/>
  </r>
  <r>
    <n v="1689"/>
    <x v="6"/>
    <x v="1"/>
    <n v="29"/>
    <n v="-2E-3"/>
    <x v="2"/>
    <x v="1"/>
    <x v="0"/>
    <n v="2E-3"/>
  </r>
  <r>
    <n v="1690"/>
    <x v="6"/>
    <x v="1"/>
    <n v="29"/>
    <n v="-10.596"/>
    <x v="0"/>
    <x v="0"/>
    <x v="0"/>
    <n v="10.596"/>
  </r>
  <r>
    <n v="1691"/>
    <x v="6"/>
    <x v="2"/>
    <n v="1"/>
    <n v="-61.69"/>
    <x v="13"/>
    <x v="1"/>
    <x v="0"/>
    <n v="61.69"/>
  </r>
  <r>
    <n v="1692"/>
    <x v="6"/>
    <x v="2"/>
    <n v="1"/>
    <n v="-6.15"/>
    <x v="18"/>
    <x v="1"/>
    <x v="0"/>
    <n v="6.15"/>
  </r>
  <r>
    <n v="1693"/>
    <x v="6"/>
    <x v="2"/>
    <n v="1"/>
    <n v="-7.38"/>
    <x v="19"/>
    <x v="1"/>
    <x v="0"/>
    <n v="7.38"/>
  </r>
  <r>
    <n v="1694"/>
    <x v="6"/>
    <x v="2"/>
    <n v="1"/>
    <n v="-5.9979999999999993"/>
    <x v="1"/>
    <x v="1"/>
    <x v="0"/>
    <n v="5.9979999999999993"/>
  </r>
  <r>
    <n v="1695"/>
    <x v="6"/>
    <x v="2"/>
    <n v="2"/>
    <n v="-1.4159999999999999"/>
    <x v="0"/>
    <x v="0"/>
    <x v="0"/>
    <n v="1.4159999999999999"/>
  </r>
  <r>
    <n v="1696"/>
    <x v="6"/>
    <x v="2"/>
    <n v="2"/>
    <n v="-1.3560000000000001"/>
    <x v="0"/>
    <x v="0"/>
    <x v="0"/>
    <n v="1.3560000000000001"/>
  </r>
  <r>
    <n v="1697"/>
    <x v="6"/>
    <x v="2"/>
    <n v="3"/>
    <n v="-4.54"/>
    <x v="21"/>
    <x v="1"/>
    <x v="0"/>
    <n v="4.54"/>
  </r>
  <r>
    <n v="1698"/>
    <x v="6"/>
    <x v="2"/>
    <n v="4"/>
    <n v="-7.24"/>
    <x v="0"/>
    <x v="0"/>
    <x v="0"/>
    <n v="7.24"/>
  </r>
  <r>
    <n v="1699"/>
    <x v="6"/>
    <x v="2"/>
    <n v="8"/>
    <n v="-478.03999999999996"/>
    <x v="15"/>
    <x v="4"/>
    <x v="0"/>
    <n v="478.03999999999996"/>
  </r>
  <r>
    <n v="1700"/>
    <x v="6"/>
    <x v="2"/>
    <n v="9"/>
    <n v="-16.312000000000001"/>
    <x v="16"/>
    <x v="1"/>
    <x v="0"/>
    <n v="16.312000000000001"/>
  </r>
  <r>
    <n v="1701"/>
    <x v="6"/>
    <x v="2"/>
    <n v="9"/>
    <n v="-0.8"/>
    <x v="7"/>
    <x v="5"/>
    <x v="0"/>
    <n v="0.8"/>
  </r>
  <r>
    <n v="1702"/>
    <x v="6"/>
    <x v="2"/>
    <n v="9"/>
    <n v="-7.4719999999999995"/>
    <x v="0"/>
    <x v="0"/>
    <x v="0"/>
    <n v="7.4719999999999995"/>
  </r>
  <r>
    <n v="1703"/>
    <x v="6"/>
    <x v="2"/>
    <n v="11"/>
    <n v="-0.48"/>
    <x v="0"/>
    <x v="0"/>
    <x v="0"/>
    <n v="0.48"/>
  </r>
  <r>
    <n v="1704"/>
    <x v="6"/>
    <x v="2"/>
    <n v="11"/>
    <n v="-2.8899999999999997"/>
    <x v="0"/>
    <x v="0"/>
    <x v="0"/>
    <n v="2.8899999999999997"/>
  </r>
  <r>
    <n v="1705"/>
    <x v="6"/>
    <x v="2"/>
    <n v="12"/>
    <n v="-56.644000000000005"/>
    <x v="17"/>
    <x v="4"/>
    <x v="0"/>
    <n v="56.644000000000005"/>
  </r>
  <r>
    <n v="1706"/>
    <x v="6"/>
    <x v="2"/>
    <n v="16"/>
    <n v="-0.8"/>
    <x v="2"/>
    <x v="1"/>
    <x v="0"/>
    <n v="0.8"/>
  </r>
  <r>
    <n v="1707"/>
    <x v="6"/>
    <x v="2"/>
    <n v="16"/>
    <n v="-0.39800000000000002"/>
    <x v="2"/>
    <x v="1"/>
    <x v="0"/>
    <n v="0.39800000000000002"/>
  </r>
  <r>
    <n v="1708"/>
    <x v="6"/>
    <x v="2"/>
    <n v="16"/>
    <n v="-0.24"/>
    <x v="0"/>
    <x v="0"/>
    <x v="0"/>
    <n v="0.24"/>
  </r>
  <r>
    <n v="1709"/>
    <x v="6"/>
    <x v="2"/>
    <n v="16"/>
    <n v="-1.61"/>
    <x v="0"/>
    <x v="0"/>
    <x v="0"/>
    <n v="1.61"/>
  </r>
  <r>
    <n v="1710"/>
    <x v="6"/>
    <x v="2"/>
    <n v="16"/>
    <n v="-0.48399999999999999"/>
    <x v="0"/>
    <x v="0"/>
    <x v="0"/>
    <n v="0.48399999999999999"/>
  </r>
  <r>
    <n v="1711"/>
    <x v="6"/>
    <x v="2"/>
    <n v="17"/>
    <n v="-24"/>
    <x v="7"/>
    <x v="5"/>
    <x v="0"/>
    <n v="24"/>
  </r>
  <r>
    <n v="1712"/>
    <x v="6"/>
    <x v="2"/>
    <n v="17"/>
    <n v="-10.914"/>
    <x v="0"/>
    <x v="0"/>
    <x v="0"/>
    <n v="10.914"/>
  </r>
  <r>
    <n v="1713"/>
    <x v="6"/>
    <x v="2"/>
    <n v="18"/>
    <n v="-4.1040000000000001"/>
    <x v="0"/>
    <x v="0"/>
    <x v="0"/>
    <n v="4.1040000000000001"/>
  </r>
  <r>
    <n v="1714"/>
    <x v="6"/>
    <x v="2"/>
    <n v="19"/>
    <n v="-8.7940000000000005"/>
    <x v="17"/>
    <x v="4"/>
    <x v="0"/>
    <n v="8.7940000000000005"/>
  </r>
  <r>
    <n v="1715"/>
    <x v="6"/>
    <x v="2"/>
    <n v="21"/>
    <n v="-3.0219999999999998"/>
    <x v="0"/>
    <x v="0"/>
    <x v="0"/>
    <n v="3.0219999999999998"/>
  </r>
  <r>
    <n v="1716"/>
    <x v="6"/>
    <x v="2"/>
    <n v="23"/>
    <n v="-2.5979999999999999"/>
    <x v="7"/>
    <x v="5"/>
    <x v="0"/>
    <n v="2.5979999999999999"/>
  </r>
  <r>
    <n v="1717"/>
    <x v="6"/>
    <x v="2"/>
    <n v="23"/>
    <n v="478.61400000000003"/>
    <x v="4"/>
    <x v="3"/>
    <x v="1"/>
    <n v="478.61400000000003"/>
  </r>
  <r>
    <n v="1718"/>
    <x v="6"/>
    <x v="2"/>
    <n v="23"/>
    <n v="-3.1819999999999999"/>
    <x v="0"/>
    <x v="0"/>
    <x v="0"/>
    <n v="3.1819999999999999"/>
  </r>
  <r>
    <n v="1719"/>
    <x v="6"/>
    <x v="2"/>
    <n v="24"/>
    <n v="-1.6559999999999999"/>
    <x v="0"/>
    <x v="0"/>
    <x v="0"/>
    <n v="1.6559999999999999"/>
  </r>
  <r>
    <n v="1720"/>
    <x v="6"/>
    <x v="2"/>
    <n v="27"/>
    <n v="11.618"/>
    <x v="3"/>
    <x v="2"/>
    <x v="1"/>
    <n v="11.618"/>
  </r>
  <r>
    <n v="1721"/>
    <x v="6"/>
    <x v="2"/>
    <n v="29"/>
    <n v="-251.77800000000002"/>
    <x v="6"/>
    <x v="4"/>
    <x v="0"/>
    <n v="251.77800000000002"/>
  </r>
  <r>
    <n v="1722"/>
    <x v="6"/>
    <x v="2"/>
    <n v="30"/>
    <n v="-19.8"/>
    <x v="14"/>
    <x v="1"/>
    <x v="0"/>
    <n v="19.8"/>
  </r>
  <r>
    <n v="1723"/>
    <x v="6"/>
    <x v="2"/>
    <n v="30"/>
    <n v="-81.188000000000002"/>
    <x v="17"/>
    <x v="4"/>
    <x v="0"/>
    <n v="81.188000000000002"/>
  </r>
  <r>
    <n v="1724"/>
    <x v="6"/>
    <x v="2"/>
    <n v="31"/>
    <n v="-49.230000000000004"/>
    <x v="17"/>
    <x v="4"/>
    <x v="0"/>
    <n v="49.230000000000004"/>
  </r>
  <r>
    <n v="1725"/>
    <x v="6"/>
    <x v="2"/>
    <n v="31"/>
    <n v="6.0000000000000001E-3"/>
    <x v="3"/>
    <x v="2"/>
    <x v="1"/>
    <n v="6.0000000000000001E-3"/>
  </r>
  <r>
    <n v="1726"/>
    <x v="6"/>
    <x v="2"/>
    <n v="31"/>
    <n v="-1.198"/>
    <x v="2"/>
    <x v="1"/>
    <x v="0"/>
    <n v="1.198"/>
  </r>
  <r>
    <n v="1727"/>
    <x v="6"/>
    <x v="2"/>
    <n v="31"/>
    <n v="-0.4"/>
    <x v="2"/>
    <x v="1"/>
    <x v="0"/>
    <n v="0.4"/>
  </r>
  <r>
    <n v="1728"/>
    <x v="6"/>
    <x v="2"/>
    <n v="31"/>
    <n v="-2E-3"/>
    <x v="2"/>
    <x v="1"/>
    <x v="0"/>
    <n v="2E-3"/>
  </r>
  <r>
    <n v="1729"/>
    <x v="6"/>
    <x v="3"/>
    <n v="1"/>
    <n v="-2"/>
    <x v="7"/>
    <x v="5"/>
    <x v="0"/>
    <n v="2"/>
  </r>
  <r>
    <n v="1730"/>
    <x v="6"/>
    <x v="3"/>
    <n v="2"/>
    <n v="-4.54"/>
    <x v="21"/>
    <x v="1"/>
    <x v="0"/>
    <n v="4.54"/>
  </r>
  <r>
    <n v="1731"/>
    <x v="6"/>
    <x v="3"/>
    <n v="2"/>
    <n v="-25.158000000000001"/>
    <x v="17"/>
    <x v="4"/>
    <x v="0"/>
    <n v="25.158000000000001"/>
  </r>
  <r>
    <n v="1732"/>
    <x v="6"/>
    <x v="3"/>
    <n v="2"/>
    <n v="-61.69"/>
    <x v="13"/>
    <x v="1"/>
    <x v="0"/>
    <n v="61.69"/>
  </r>
  <r>
    <n v="1733"/>
    <x v="6"/>
    <x v="3"/>
    <n v="2"/>
    <n v="-7.38"/>
    <x v="19"/>
    <x v="1"/>
    <x v="0"/>
    <n v="7.38"/>
  </r>
  <r>
    <n v="1734"/>
    <x v="6"/>
    <x v="3"/>
    <n v="2"/>
    <n v="-5.9979999999999993"/>
    <x v="1"/>
    <x v="1"/>
    <x v="0"/>
    <n v="5.9979999999999993"/>
  </r>
  <r>
    <n v="1735"/>
    <x v="6"/>
    <x v="3"/>
    <n v="2"/>
    <n v="-4.7720000000000002"/>
    <x v="0"/>
    <x v="0"/>
    <x v="0"/>
    <n v="4.7720000000000002"/>
  </r>
  <r>
    <n v="1736"/>
    <x v="6"/>
    <x v="3"/>
    <n v="3"/>
    <n v="-5.2919999999999998"/>
    <x v="0"/>
    <x v="0"/>
    <x v="0"/>
    <n v="5.2919999999999998"/>
  </r>
  <r>
    <n v="1737"/>
    <x v="6"/>
    <x v="3"/>
    <n v="9"/>
    <n v="-2"/>
    <x v="7"/>
    <x v="5"/>
    <x v="0"/>
    <n v="2"/>
  </r>
  <r>
    <n v="1738"/>
    <x v="6"/>
    <x v="3"/>
    <n v="12"/>
    <n v="-6.9799999999999995"/>
    <x v="7"/>
    <x v="5"/>
    <x v="0"/>
    <n v="6.9799999999999995"/>
  </r>
  <r>
    <n v="1739"/>
    <x v="6"/>
    <x v="3"/>
    <n v="13"/>
    <n v="-0.24"/>
    <x v="0"/>
    <x v="0"/>
    <x v="0"/>
    <n v="0.24"/>
  </r>
  <r>
    <n v="1740"/>
    <x v="6"/>
    <x v="3"/>
    <n v="13"/>
    <n v="-5.524"/>
    <x v="0"/>
    <x v="0"/>
    <x v="0"/>
    <n v="5.524"/>
  </r>
  <r>
    <n v="1741"/>
    <x v="6"/>
    <x v="3"/>
    <n v="13"/>
    <n v="-1.3460000000000001"/>
    <x v="0"/>
    <x v="0"/>
    <x v="0"/>
    <n v="1.3460000000000001"/>
  </r>
  <r>
    <n v="1742"/>
    <x v="6"/>
    <x v="3"/>
    <n v="14"/>
    <n v="-0.39800000000000002"/>
    <x v="2"/>
    <x v="1"/>
    <x v="0"/>
    <n v="0.39800000000000002"/>
  </r>
  <r>
    <n v="1743"/>
    <x v="6"/>
    <x v="3"/>
    <n v="15"/>
    <n v="-3.3880000000000003"/>
    <x v="0"/>
    <x v="0"/>
    <x v="0"/>
    <n v="3.3880000000000003"/>
  </r>
  <r>
    <n v="1744"/>
    <x v="6"/>
    <x v="3"/>
    <n v="16"/>
    <n v="-0.8"/>
    <x v="2"/>
    <x v="1"/>
    <x v="0"/>
    <n v="0.8"/>
  </r>
  <r>
    <n v="1745"/>
    <x v="6"/>
    <x v="3"/>
    <n v="21"/>
    <n v="-13.656000000000001"/>
    <x v="0"/>
    <x v="0"/>
    <x v="0"/>
    <n v="13.656000000000001"/>
  </r>
  <r>
    <n v="1746"/>
    <x v="6"/>
    <x v="3"/>
    <n v="25"/>
    <n v="478.61400000000003"/>
    <x v="4"/>
    <x v="3"/>
    <x v="1"/>
    <n v="478.61400000000003"/>
  </r>
  <r>
    <n v="1747"/>
    <x v="6"/>
    <x v="3"/>
    <n v="25"/>
    <n v="-4.1280000000000001"/>
    <x v="0"/>
    <x v="0"/>
    <x v="0"/>
    <n v="4.1280000000000001"/>
  </r>
  <r>
    <n v="1748"/>
    <x v="6"/>
    <x v="3"/>
    <n v="27"/>
    <n v="-0.48"/>
    <x v="0"/>
    <x v="0"/>
    <x v="0"/>
    <n v="0.48"/>
  </r>
  <r>
    <n v="1749"/>
    <x v="6"/>
    <x v="3"/>
    <n v="29"/>
    <n v="-19.8"/>
    <x v="14"/>
    <x v="1"/>
    <x v="0"/>
    <n v="19.8"/>
  </r>
  <r>
    <n v="1750"/>
    <x v="6"/>
    <x v="3"/>
    <n v="29"/>
    <n v="-2.0100000000000002"/>
    <x v="0"/>
    <x v="0"/>
    <x v="0"/>
    <n v="2.0100000000000002"/>
  </r>
  <r>
    <n v="1751"/>
    <x v="6"/>
    <x v="3"/>
    <n v="29"/>
    <n v="-0.96"/>
    <x v="0"/>
    <x v="0"/>
    <x v="0"/>
    <n v="0.96"/>
  </r>
  <r>
    <n v="1752"/>
    <x v="6"/>
    <x v="3"/>
    <n v="29"/>
    <n v="-5.4659999999999993"/>
    <x v="0"/>
    <x v="0"/>
    <x v="0"/>
    <n v="5.4659999999999993"/>
  </r>
  <r>
    <n v="1753"/>
    <x v="6"/>
    <x v="3"/>
    <n v="30"/>
    <n v="-34.69"/>
    <x v="21"/>
    <x v="1"/>
    <x v="0"/>
    <n v="34.69"/>
  </r>
  <r>
    <n v="1754"/>
    <x v="6"/>
    <x v="3"/>
    <n v="30"/>
    <n v="5.4479999999999995"/>
    <x v="3"/>
    <x v="2"/>
    <x v="1"/>
    <n v="5.4479999999999995"/>
  </r>
  <r>
    <n v="1755"/>
    <x v="6"/>
    <x v="3"/>
    <n v="30"/>
    <n v="2E-3"/>
    <x v="3"/>
    <x v="2"/>
    <x v="1"/>
    <n v="2E-3"/>
  </r>
  <r>
    <n v="1756"/>
    <x v="6"/>
    <x v="3"/>
    <n v="30"/>
    <n v="-1.198"/>
    <x v="2"/>
    <x v="1"/>
    <x v="0"/>
    <n v="1.198"/>
  </r>
  <r>
    <n v="1757"/>
    <x v="6"/>
    <x v="3"/>
    <n v="30"/>
    <n v="-0.7"/>
    <x v="2"/>
    <x v="1"/>
    <x v="0"/>
    <n v="0.7"/>
  </r>
  <r>
    <n v="1758"/>
    <x v="6"/>
    <x v="3"/>
    <n v="30"/>
    <n v="-2E-3"/>
    <x v="2"/>
    <x v="1"/>
    <x v="0"/>
    <n v="2E-3"/>
  </r>
  <r>
    <n v="1759"/>
    <x v="6"/>
    <x v="3"/>
    <n v="30"/>
    <n v="-46.4"/>
    <x v="12"/>
    <x v="1"/>
    <x v="0"/>
    <n v="46.4"/>
  </r>
  <r>
    <n v="1760"/>
    <x v="6"/>
    <x v="4"/>
    <n v="1"/>
    <n v="-6.0840000000000005"/>
    <x v="1"/>
    <x v="1"/>
    <x v="0"/>
    <n v="6.0840000000000005"/>
  </r>
  <r>
    <n v="1761"/>
    <x v="6"/>
    <x v="4"/>
    <n v="1"/>
    <n v="-61.69"/>
    <x v="13"/>
    <x v="1"/>
    <x v="0"/>
    <n v="61.69"/>
  </r>
  <r>
    <n v="1762"/>
    <x v="6"/>
    <x v="4"/>
    <n v="1"/>
    <n v="-6.15"/>
    <x v="18"/>
    <x v="1"/>
    <x v="0"/>
    <n v="6.15"/>
  </r>
  <r>
    <n v="1763"/>
    <x v="6"/>
    <x v="4"/>
    <n v="1"/>
    <n v="-7.38"/>
    <x v="19"/>
    <x v="1"/>
    <x v="0"/>
    <n v="7.38"/>
  </r>
  <r>
    <n v="1764"/>
    <x v="6"/>
    <x v="4"/>
    <n v="1"/>
    <n v="-11.616"/>
    <x v="16"/>
    <x v="1"/>
    <x v="0"/>
    <n v="11.616"/>
  </r>
  <r>
    <n v="1765"/>
    <x v="6"/>
    <x v="4"/>
    <n v="2"/>
    <n v="125.34200000000001"/>
    <x v="8"/>
    <x v="3"/>
    <x v="1"/>
    <n v="125.34200000000001"/>
  </r>
  <r>
    <n v="1766"/>
    <x v="6"/>
    <x v="4"/>
    <n v="6"/>
    <n v="-23.137999999999998"/>
    <x v="0"/>
    <x v="0"/>
    <x v="0"/>
    <n v="23.137999999999998"/>
  </r>
  <r>
    <n v="1767"/>
    <x v="6"/>
    <x v="4"/>
    <n v="7"/>
    <n v="-12.504000000000001"/>
    <x v="7"/>
    <x v="5"/>
    <x v="0"/>
    <n v="12.504000000000001"/>
  </r>
  <r>
    <n v="1768"/>
    <x v="6"/>
    <x v="4"/>
    <n v="9"/>
    <n v="-33.4"/>
    <x v="11"/>
    <x v="1"/>
    <x v="0"/>
    <n v="33.4"/>
  </r>
  <r>
    <n v="1769"/>
    <x v="6"/>
    <x v="4"/>
    <n v="10"/>
    <n v="-1.1460000000000001"/>
    <x v="0"/>
    <x v="0"/>
    <x v="0"/>
    <n v="1.1460000000000001"/>
  </r>
  <r>
    <n v="1770"/>
    <x v="6"/>
    <x v="4"/>
    <n v="11"/>
    <n v="-4.492"/>
    <x v="0"/>
    <x v="0"/>
    <x v="0"/>
    <n v="4.492"/>
  </r>
  <r>
    <n v="1771"/>
    <x v="6"/>
    <x v="4"/>
    <n v="13"/>
    <n v="-1.1499999999999999"/>
    <x v="7"/>
    <x v="5"/>
    <x v="0"/>
    <n v="1.1499999999999999"/>
  </r>
  <r>
    <n v="1772"/>
    <x v="6"/>
    <x v="4"/>
    <n v="13"/>
    <n v="-0.39800000000000002"/>
    <x v="2"/>
    <x v="1"/>
    <x v="0"/>
    <n v="0.39800000000000002"/>
  </r>
  <r>
    <n v="1773"/>
    <x v="6"/>
    <x v="4"/>
    <n v="13"/>
    <n v="-0.48"/>
    <x v="0"/>
    <x v="0"/>
    <x v="0"/>
    <n v="0.48"/>
  </r>
  <r>
    <n v="1774"/>
    <x v="6"/>
    <x v="4"/>
    <n v="13"/>
    <n v="-7.0720000000000001"/>
    <x v="0"/>
    <x v="0"/>
    <x v="0"/>
    <n v="7.0720000000000001"/>
  </r>
  <r>
    <n v="1775"/>
    <x v="6"/>
    <x v="4"/>
    <n v="16"/>
    <n v="-0.8"/>
    <x v="2"/>
    <x v="1"/>
    <x v="0"/>
    <n v="0.8"/>
  </r>
  <r>
    <n v="1776"/>
    <x v="6"/>
    <x v="4"/>
    <n v="18"/>
    <n v="-1.47"/>
    <x v="0"/>
    <x v="0"/>
    <x v="0"/>
    <n v="1.47"/>
  </r>
  <r>
    <n v="1777"/>
    <x v="6"/>
    <x v="4"/>
    <n v="20"/>
    <n v="-10.736000000000001"/>
    <x v="0"/>
    <x v="0"/>
    <x v="0"/>
    <n v="10.736000000000001"/>
  </r>
  <r>
    <n v="1778"/>
    <x v="6"/>
    <x v="4"/>
    <n v="24"/>
    <n v="-3.1160000000000001"/>
    <x v="0"/>
    <x v="0"/>
    <x v="0"/>
    <n v="3.1160000000000001"/>
  </r>
  <r>
    <n v="1779"/>
    <x v="6"/>
    <x v="4"/>
    <n v="24"/>
    <n v="-1.234"/>
    <x v="0"/>
    <x v="0"/>
    <x v="0"/>
    <n v="1.234"/>
  </r>
  <r>
    <n v="1780"/>
    <x v="6"/>
    <x v="4"/>
    <n v="25"/>
    <n v="478.61400000000003"/>
    <x v="4"/>
    <x v="3"/>
    <x v="1"/>
    <n v="478.61400000000003"/>
  </r>
  <r>
    <n v="1781"/>
    <x v="6"/>
    <x v="4"/>
    <n v="25"/>
    <n v="-0.87200000000000011"/>
    <x v="0"/>
    <x v="0"/>
    <x v="0"/>
    <n v="0.87200000000000011"/>
  </r>
  <r>
    <n v="1782"/>
    <x v="6"/>
    <x v="4"/>
    <n v="25"/>
    <n v="-27.582000000000001"/>
    <x v="0"/>
    <x v="0"/>
    <x v="0"/>
    <n v="27.582000000000001"/>
  </r>
  <r>
    <n v="1783"/>
    <x v="6"/>
    <x v="4"/>
    <n v="27"/>
    <n v="-19.8"/>
    <x v="14"/>
    <x v="1"/>
    <x v="0"/>
    <n v="19.8"/>
  </r>
  <r>
    <n v="1784"/>
    <x v="6"/>
    <x v="4"/>
    <n v="27"/>
    <n v="-14.790000000000001"/>
    <x v="0"/>
    <x v="0"/>
    <x v="0"/>
    <n v="14.790000000000001"/>
  </r>
  <r>
    <n v="1785"/>
    <x v="6"/>
    <x v="4"/>
    <n v="31"/>
    <n v="4.0000000000000001E-3"/>
    <x v="3"/>
    <x v="2"/>
    <x v="1"/>
    <n v="4.0000000000000001E-3"/>
  </r>
  <r>
    <n v="1786"/>
    <x v="6"/>
    <x v="4"/>
    <n v="31"/>
    <n v="-1.198"/>
    <x v="2"/>
    <x v="1"/>
    <x v="0"/>
    <n v="1.198"/>
  </r>
  <r>
    <n v="1787"/>
    <x v="6"/>
    <x v="4"/>
    <n v="31"/>
    <n v="-0.1"/>
    <x v="2"/>
    <x v="1"/>
    <x v="0"/>
    <n v="0.1"/>
  </r>
  <r>
    <n v="1788"/>
    <x v="6"/>
    <x v="4"/>
    <n v="31"/>
    <n v="-2E-3"/>
    <x v="2"/>
    <x v="1"/>
    <x v="0"/>
    <n v="2E-3"/>
  </r>
  <r>
    <n v="1789"/>
    <x v="6"/>
    <x v="5"/>
    <n v="1"/>
    <n v="0.30199999999999999"/>
    <x v="3"/>
    <x v="2"/>
    <x v="1"/>
    <n v="0.30199999999999999"/>
  </r>
  <r>
    <n v="1790"/>
    <x v="6"/>
    <x v="5"/>
    <n v="3"/>
    <n v="-0.48"/>
    <x v="0"/>
    <x v="0"/>
    <x v="0"/>
    <n v="0.48"/>
  </r>
  <r>
    <n v="1791"/>
    <x v="6"/>
    <x v="5"/>
    <n v="3"/>
    <n v="-5.9880000000000004"/>
    <x v="0"/>
    <x v="0"/>
    <x v="0"/>
    <n v="5.9880000000000004"/>
  </r>
  <r>
    <n v="1792"/>
    <x v="6"/>
    <x v="5"/>
    <n v="3"/>
    <n v="-2.4219999999999997"/>
    <x v="0"/>
    <x v="0"/>
    <x v="0"/>
    <n v="2.4219999999999997"/>
  </r>
  <r>
    <n v="1793"/>
    <x v="6"/>
    <x v="5"/>
    <n v="4"/>
    <n v="-61.69"/>
    <x v="13"/>
    <x v="1"/>
    <x v="0"/>
    <n v="61.69"/>
  </r>
  <r>
    <n v="1794"/>
    <x v="6"/>
    <x v="5"/>
    <n v="4"/>
    <n v="-7.38"/>
    <x v="19"/>
    <x v="1"/>
    <x v="0"/>
    <n v="7.38"/>
  </r>
  <r>
    <n v="1795"/>
    <x v="6"/>
    <x v="5"/>
    <n v="4"/>
    <n v="-6.0359999999999996"/>
    <x v="1"/>
    <x v="1"/>
    <x v="0"/>
    <n v="6.0359999999999996"/>
  </r>
  <r>
    <n v="1796"/>
    <x v="6"/>
    <x v="5"/>
    <n v="10"/>
    <n v="-5.3079999999999998"/>
    <x v="0"/>
    <x v="0"/>
    <x v="0"/>
    <n v="5.3079999999999998"/>
  </r>
  <r>
    <n v="1797"/>
    <x v="6"/>
    <x v="5"/>
    <n v="14"/>
    <n v="-8.0560000000000009"/>
    <x v="0"/>
    <x v="0"/>
    <x v="0"/>
    <n v="8.0560000000000009"/>
  </r>
  <r>
    <n v="1798"/>
    <x v="6"/>
    <x v="5"/>
    <n v="14"/>
    <n v="-2.6920000000000002"/>
    <x v="0"/>
    <x v="0"/>
    <x v="0"/>
    <n v="2.6920000000000002"/>
  </r>
  <r>
    <n v="1799"/>
    <x v="6"/>
    <x v="5"/>
    <n v="15"/>
    <n v="-0.39800000000000002"/>
    <x v="2"/>
    <x v="1"/>
    <x v="0"/>
    <n v="0.39800000000000002"/>
  </r>
  <r>
    <n v="1800"/>
    <x v="6"/>
    <x v="5"/>
    <n v="15"/>
    <n v="-0.54600000000000004"/>
    <x v="0"/>
    <x v="0"/>
    <x v="0"/>
    <n v="0.54600000000000004"/>
  </r>
  <r>
    <n v="1801"/>
    <x v="6"/>
    <x v="5"/>
    <n v="16"/>
    <n v="-0.8"/>
    <x v="2"/>
    <x v="1"/>
    <x v="0"/>
    <n v="0.8"/>
  </r>
  <r>
    <n v="1802"/>
    <x v="6"/>
    <x v="5"/>
    <n v="16"/>
    <n v="-9.4879999999999995"/>
    <x v="0"/>
    <x v="0"/>
    <x v="0"/>
    <n v="9.4879999999999995"/>
  </r>
  <r>
    <n v="1803"/>
    <x v="6"/>
    <x v="5"/>
    <n v="20"/>
    <n v="-4.0739999999999998"/>
    <x v="0"/>
    <x v="0"/>
    <x v="0"/>
    <n v="4.0739999999999998"/>
  </r>
  <r>
    <n v="1804"/>
    <x v="6"/>
    <x v="5"/>
    <n v="21"/>
    <n v="-3.044"/>
    <x v="0"/>
    <x v="0"/>
    <x v="0"/>
    <n v="3.044"/>
  </r>
  <r>
    <n v="1805"/>
    <x v="6"/>
    <x v="5"/>
    <n v="24"/>
    <n v="478.61400000000003"/>
    <x v="4"/>
    <x v="3"/>
    <x v="1"/>
    <n v="478.61400000000003"/>
  </r>
  <r>
    <n v="1806"/>
    <x v="6"/>
    <x v="5"/>
    <n v="26"/>
    <n v="-8.6"/>
    <x v="7"/>
    <x v="5"/>
    <x v="0"/>
    <n v="8.6"/>
  </r>
  <r>
    <n v="1807"/>
    <x v="6"/>
    <x v="5"/>
    <n v="28"/>
    <n v="-19.8"/>
    <x v="14"/>
    <x v="1"/>
    <x v="0"/>
    <n v="19.8"/>
  </r>
  <r>
    <n v="1808"/>
    <x v="6"/>
    <x v="5"/>
    <n v="28"/>
    <n v="-3.13"/>
    <x v="0"/>
    <x v="0"/>
    <x v="0"/>
    <n v="3.13"/>
  </r>
  <r>
    <n v="1809"/>
    <x v="6"/>
    <x v="5"/>
    <n v="29"/>
    <n v="-7.1440000000000001"/>
    <x v="0"/>
    <x v="0"/>
    <x v="0"/>
    <n v="7.1440000000000001"/>
  </r>
  <r>
    <n v="1810"/>
    <x v="6"/>
    <x v="5"/>
    <n v="29"/>
    <n v="-1.51"/>
    <x v="0"/>
    <x v="0"/>
    <x v="0"/>
    <n v="1.51"/>
  </r>
  <r>
    <n v="1811"/>
    <x v="6"/>
    <x v="5"/>
    <n v="30"/>
    <n v="6.0000000000000001E-3"/>
    <x v="3"/>
    <x v="2"/>
    <x v="1"/>
    <n v="6.0000000000000001E-3"/>
  </r>
  <r>
    <n v="1812"/>
    <x v="6"/>
    <x v="5"/>
    <n v="30"/>
    <n v="-1.198"/>
    <x v="2"/>
    <x v="1"/>
    <x v="0"/>
    <n v="1.198"/>
  </r>
  <r>
    <n v="1813"/>
    <x v="6"/>
    <x v="5"/>
    <n v="30"/>
    <n v="-0.3"/>
    <x v="2"/>
    <x v="1"/>
    <x v="0"/>
    <n v="0.3"/>
  </r>
  <r>
    <n v="1814"/>
    <x v="6"/>
    <x v="5"/>
    <n v="30"/>
    <n v="-2E-3"/>
    <x v="2"/>
    <x v="1"/>
    <x v="0"/>
    <n v="2E-3"/>
  </r>
  <r>
    <n v="1815"/>
    <x v="6"/>
    <x v="5"/>
    <n v="30"/>
    <n v="-5.4560000000000004"/>
    <x v="0"/>
    <x v="0"/>
    <x v="0"/>
    <n v="5.4560000000000004"/>
  </r>
  <r>
    <n v="1816"/>
    <x v="6"/>
    <x v="6"/>
    <n v="1"/>
    <n v="-0.93"/>
    <x v="0"/>
    <x v="0"/>
    <x v="0"/>
    <n v="0.93"/>
  </r>
  <r>
    <n v="1817"/>
    <x v="6"/>
    <x v="6"/>
    <n v="2"/>
    <n v="-61.69"/>
    <x v="13"/>
    <x v="1"/>
    <x v="0"/>
    <n v="61.69"/>
  </r>
  <r>
    <n v="1818"/>
    <x v="6"/>
    <x v="6"/>
    <n v="2"/>
    <n v="-8.9"/>
    <x v="18"/>
    <x v="1"/>
    <x v="0"/>
    <n v="8.9"/>
  </r>
  <r>
    <n v="1819"/>
    <x v="6"/>
    <x v="6"/>
    <n v="2"/>
    <n v="-7.38"/>
    <x v="19"/>
    <x v="1"/>
    <x v="0"/>
    <n v="7.38"/>
  </r>
  <r>
    <n v="1820"/>
    <x v="6"/>
    <x v="6"/>
    <n v="2"/>
    <n v="-12.874000000000001"/>
    <x v="16"/>
    <x v="1"/>
    <x v="0"/>
    <n v="12.874000000000001"/>
  </r>
  <r>
    <n v="1821"/>
    <x v="6"/>
    <x v="6"/>
    <n v="2"/>
    <n v="-5.9979999999999993"/>
    <x v="1"/>
    <x v="1"/>
    <x v="0"/>
    <n v="5.9979999999999993"/>
  </r>
  <r>
    <n v="1822"/>
    <x v="6"/>
    <x v="6"/>
    <n v="4"/>
    <n v="0.29199999999999998"/>
    <x v="3"/>
    <x v="2"/>
    <x v="1"/>
    <n v="0.29199999999999998"/>
  </r>
  <r>
    <n v="1823"/>
    <x v="6"/>
    <x v="6"/>
    <n v="5"/>
    <n v="-29.225999999999999"/>
    <x v="0"/>
    <x v="0"/>
    <x v="0"/>
    <n v="29.225999999999999"/>
  </r>
  <r>
    <n v="1824"/>
    <x v="6"/>
    <x v="6"/>
    <n v="6"/>
    <n v="-4.6459999999999999"/>
    <x v="0"/>
    <x v="0"/>
    <x v="0"/>
    <n v="4.6459999999999999"/>
  </r>
  <r>
    <n v="1825"/>
    <x v="6"/>
    <x v="6"/>
    <n v="6"/>
    <n v="-1.7440000000000002"/>
    <x v="0"/>
    <x v="0"/>
    <x v="0"/>
    <n v="1.7440000000000002"/>
  </r>
  <r>
    <n v="1826"/>
    <x v="6"/>
    <x v="6"/>
    <n v="8"/>
    <n v="-30"/>
    <x v="7"/>
    <x v="5"/>
    <x v="0"/>
    <n v="30"/>
  </r>
  <r>
    <n v="1827"/>
    <x v="6"/>
    <x v="6"/>
    <n v="8"/>
    <n v="-4.3319999999999999"/>
    <x v="0"/>
    <x v="0"/>
    <x v="0"/>
    <n v="4.3319999999999999"/>
  </r>
  <r>
    <n v="1828"/>
    <x v="6"/>
    <x v="6"/>
    <n v="9"/>
    <n v="-12.17"/>
    <x v="0"/>
    <x v="0"/>
    <x v="0"/>
    <n v="12.17"/>
  </r>
  <r>
    <n v="1829"/>
    <x v="6"/>
    <x v="6"/>
    <n v="15"/>
    <n v="-0.39800000000000002"/>
    <x v="2"/>
    <x v="1"/>
    <x v="0"/>
    <n v="0.39800000000000002"/>
  </r>
  <r>
    <n v="1830"/>
    <x v="6"/>
    <x v="6"/>
    <n v="15"/>
    <n v="-8"/>
    <x v="0"/>
    <x v="0"/>
    <x v="0"/>
    <n v="8"/>
  </r>
  <r>
    <n v="1831"/>
    <x v="6"/>
    <x v="6"/>
    <n v="15"/>
    <n v="-5.0179999999999998"/>
    <x v="0"/>
    <x v="0"/>
    <x v="0"/>
    <n v="5.0179999999999998"/>
  </r>
  <r>
    <n v="1832"/>
    <x v="6"/>
    <x v="6"/>
    <n v="16"/>
    <n v="-0.8"/>
    <x v="2"/>
    <x v="1"/>
    <x v="0"/>
    <n v="0.8"/>
  </r>
  <r>
    <n v="1833"/>
    <x v="6"/>
    <x v="6"/>
    <n v="18"/>
    <n v="-10.736000000000001"/>
    <x v="0"/>
    <x v="0"/>
    <x v="0"/>
    <n v="10.736000000000001"/>
  </r>
  <r>
    <n v="1834"/>
    <x v="6"/>
    <x v="6"/>
    <n v="22"/>
    <n v="-20"/>
    <x v="7"/>
    <x v="5"/>
    <x v="0"/>
    <n v="20"/>
  </r>
  <r>
    <n v="1835"/>
    <x v="6"/>
    <x v="6"/>
    <n v="25"/>
    <n v="478.61400000000003"/>
    <x v="4"/>
    <x v="3"/>
    <x v="1"/>
    <n v="478.61400000000003"/>
  </r>
  <r>
    <n v="1836"/>
    <x v="6"/>
    <x v="6"/>
    <n v="25"/>
    <n v="-3.4"/>
    <x v="0"/>
    <x v="0"/>
    <x v="0"/>
    <n v="3.4"/>
  </r>
  <r>
    <n v="1837"/>
    <x v="6"/>
    <x v="6"/>
    <n v="28"/>
    <n v="-3.5460000000000003"/>
    <x v="0"/>
    <x v="0"/>
    <x v="0"/>
    <n v="3.5460000000000003"/>
  </r>
  <r>
    <n v="1838"/>
    <x v="6"/>
    <x v="6"/>
    <n v="29"/>
    <n v="-19.8"/>
    <x v="14"/>
    <x v="1"/>
    <x v="0"/>
    <n v="19.8"/>
  </r>
  <r>
    <n v="1839"/>
    <x v="6"/>
    <x v="6"/>
    <n v="29"/>
    <n v="97.534000000000006"/>
    <x v="8"/>
    <x v="3"/>
    <x v="1"/>
    <n v="97.534000000000006"/>
  </r>
  <r>
    <n v="1840"/>
    <x v="6"/>
    <x v="6"/>
    <n v="29"/>
    <n v="-6.5060000000000002"/>
    <x v="0"/>
    <x v="0"/>
    <x v="0"/>
    <n v="6.5060000000000002"/>
  </r>
  <r>
    <n v="1841"/>
    <x v="6"/>
    <x v="6"/>
    <n v="29"/>
    <n v="-3.9979999999999998"/>
    <x v="0"/>
    <x v="0"/>
    <x v="0"/>
    <n v="3.9979999999999998"/>
  </r>
  <r>
    <n v="1842"/>
    <x v="6"/>
    <x v="6"/>
    <n v="30"/>
    <n v="-14.6"/>
    <x v="7"/>
    <x v="5"/>
    <x v="0"/>
    <n v="14.6"/>
  </r>
  <r>
    <n v="1843"/>
    <x v="6"/>
    <x v="6"/>
    <n v="31"/>
    <n v="4.0000000000000001E-3"/>
    <x v="3"/>
    <x v="2"/>
    <x v="1"/>
    <n v="4.0000000000000001E-3"/>
  </r>
  <r>
    <n v="1844"/>
    <x v="6"/>
    <x v="6"/>
    <n v="31"/>
    <n v="-1.198"/>
    <x v="2"/>
    <x v="1"/>
    <x v="0"/>
    <n v="1.198"/>
  </r>
  <r>
    <n v="1845"/>
    <x v="6"/>
    <x v="6"/>
    <n v="31"/>
    <n v="-0.7"/>
    <x v="2"/>
    <x v="1"/>
    <x v="0"/>
    <n v="0.7"/>
  </r>
  <r>
    <n v="1846"/>
    <x v="6"/>
    <x v="6"/>
    <n v="31"/>
    <n v="-2E-3"/>
    <x v="2"/>
    <x v="1"/>
    <x v="0"/>
    <n v="2E-3"/>
  </r>
  <r>
    <n v="1847"/>
    <x v="6"/>
    <x v="7"/>
    <n v="1"/>
    <n v="-6.16"/>
    <x v="1"/>
    <x v="1"/>
    <x v="0"/>
    <n v="6.16"/>
  </r>
  <r>
    <n v="1848"/>
    <x v="6"/>
    <x v="7"/>
    <n v="1"/>
    <n v="-61.69"/>
    <x v="13"/>
    <x v="1"/>
    <x v="0"/>
    <n v="61.69"/>
  </r>
  <r>
    <n v="1849"/>
    <x v="6"/>
    <x v="7"/>
    <n v="1"/>
    <n v="-7.38"/>
    <x v="19"/>
    <x v="1"/>
    <x v="0"/>
    <n v="7.38"/>
  </r>
  <r>
    <n v="1850"/>
    <x v="6"/>
    <x v="7"/>
    <n v="2"/>
    <n v="-3.3979999999999997"/>
    <x v="0"/>
    <x v="0"/>
    <x v="0"/>
    <n v="3.3979999999999997"/>
  </r>
  <r>
    <n v="1851"/>
    <x v="6"/>
    <x v="7"/>
    <n v="3"/>
    <n v="-5.5679999999999996"/>
    <x v="0"/>
    <x v="0"/>
    <x v="0"/>
    <n v="5.5679999999999996"/>
  </r>
  <r>
    <n v="1852"/>
    <x v="6"/>
    <x v="7"/>
    <n v="3"/>
    <n v="-3.6399999999999997"/>
    <x v="0"/>
    <x v="0"/>
    <x v="0"/>
    <n v="3.6399999999999997"/>
  </r>
  <r>
    <n v="1853"/>
    <x v="6"/>
    <x v="7"/>
    <n v="3"/>
    <n v="-2.5179999999999998"/>
    <x v="0"/>
    <x v="0"/>
    <x v="0"/>
    <n v="2.5179999999999998"/>
  </r>
  <r>
    <n v="1854"/>
    <x v="6"/>
    <x v="7"/>
    <n v="4"/>
    <n v="-15.672000000000001"/>
    <x v="0"/>
    <x v="0"/>
    <x v="0"/>
    <n v="15.672000000000001"/>
  </r>
  <r>
    <n v="1855"/>
    <x v="6"/>
    <x v="7"/>
    <n v="6"/>
    <n v="-12.55"/>
    <x v="0"/>
    <x v="0"/>
    <x v="0"/>
    <n v="12.55"/>
  </r>
  <r>
    <n v="1856"/>
    <x v="6"/>
    <x v="7"/>
    <n v="12"/>
    <n v="-6.1240000000000006"/>
    <x v="0"/>
    <x v="0"/>
    <x v="0"/>
    <n v="6.1240000000000006"/>
  </r>
  <r>
    <n v="1857"/>
    <x v="6"/>
    <x v="7"/>
    <n v="12"/>
    <n v="-5.0640000000000001"/>
    <x v="0"/>
    <x v="0"/>
    <x v="0"/>
    <n v="5.0640000000000001"/>
  </r>
  <r>
    <n v="1858"/>
    <x v="6"/>
    <x v="7"/>
    <n v="18"/>
    <n v="-0.39800000000000002"/>
    <x v="2"/>
    <x v="1"/>
    <x v="0"/>
    <n v="0.39800000000000002"/>
  </r>
  <r>
    <n v="1859"/>
    <x v="6"/>
    <x v="7"/>
    <n v="20"/>
    <n v="-17.66"/>
    <x v="0"/>
    <x v="0"/>
    <x v="0"/>
    <n v="17.66"/>
  </r>
  <r>
    <n v="1860"/>
    <x v="6"/>
    <x v="7"/>
    <n v="20"/>
    <n v="-26.612000000000002"/>
    <x v="0"/>
    <x v="0"/>
    <x v="0"/>
    <n v="26.612000000000002"/>
  </r>
  <r>
    <n v="1861"/>
    <x v="6"/>
    <x v="7"/>
    <n v="20"/>
    <n v="-2.8540000000000001"/>
    <x v="0"/>
    <x v="0"/>
    <x v="0"/>
    <n v="2.8540000000000001"/>
  </r>
  <r>
    <n v="1862"/>
    <x v="6"/>
    <x v="7"/>
    <n v="22"/>
    <n v="-31.881999999999998"/>
    <x v="7"/>
    <x v="5"/>
    <x v="0"/>
    <n v="31.881999999999998"/>
  </r>
  <r>
    <n v="1863"/>
    <x v="6"/>
    <x v="7"/>
    <n v="22"/>
    <n v="-2.6139999999999999"/>
    <x v="0"/>
    <x v="0"/>
    <x v="0"/>
    <n v="2.6139999999999999"/>
  </r>
  <r>
    <n v="1864"/>
    <x v="6"/>
    <x v="7"/>
    <n v="23"/>
    <n v="-1.0680000000000001"/>
    <x v="0"/>
    <x v="0"/>
    <x v="0"/>
    <n v="1.0680000000000001"/>
  </r>
  <r>
    <n v="1865"/>
    <x v="6"/>
    <x v="7"/>
    <n v="23"/>
    <n v="-10.148"/>
    <x v="0"/>
    <x v="0"/>
    <x v="0"/>
    <n v="10.148"/>
  </r>
  <r>
    <n v="1866"/>
    <x v="6"/>
    <x v="7"/>
    <n v="23"/>
    <n v="-1.9420000000000002"/>
    <x v="0"/>
    <x v="0"/>
    <x v="0"/>
    <n v="1.9420000000000002"/>
  </r>
  <r>
    <n v="1867"/>
    <x v="6"/>
    <x v="7"/>
    <n v="25"/>
    <n v="478.61400000000003"/>
    <x v="4"/>
    <x v="3"/>
    <x v="1"/>
    <n v="478.61400000000003"/>
  </r>
  <r>
    <n v="1868"/>
    <x v="6"/>
    <x v="7"/>
    <n v="26"/>
    <n v="-3.0940000000000003"/>
    <x v="0"/>
    <x v="0"/>
    <x v="0"/>
    <n v="3.0940000000000003"/>
  </r>
  <r>
    <n v="1869"/>
    <x v="6"/>
    <x v="7"/>
    <n v="26"/>
    <n v="-1.0680000000000001"/>
    <x v="0"/>
    <x v="0"/>
    <x v="0"/>
    <n v="1.0680000000000001"/>
  </r>
  <r>
    <n v="1870"/>
    <x v="6"/>
    <x v="7"/>
    <n v="26"/>
    <n v="-8.5760000000000005"/>
    <x v="0"/>
    <x v="0"/>
    <x v="0"/>
    <n v="8.5760000000000005"/>
  </r>
  <r>
    <n v="1871"/>
    <x v="6"/>
    <x v="7"/>
    <n v="28"/>
    <n v="-8.6"/>
    <x v="7"/>
    <x v="5"/>
    <x v="0"/>
    <n v="8.6"/>
  </r>
  <r>
    <n v="1872"/>
    <x v="6"/>
    <x v="7"/>
    <n v="28"/>
    <n v="5.0359999999999996"/>
    <x v="3"/>
    <x v="2"/>
    <x v="1"/>
    <n v="5.0359999999999996"/>
  </r>
  <r>
    <n v="1873"/>
    <x v="6"/>
    <x v="7"/>
    <n v="29"/>
    <n v="-19.8"/>
    <x v="14"/>
    <x v="1"/>
    <x v="0"/>
    <n v="19.8"/>
  </r>
  <r>
    <n v="1874"/>
    <x v="6"/>
    <x v="7"/>
    <n v="31"/>
    <n v="2E-3"/>
    <x v="3"/>
    <x v="2"/>
    <x v="1"/>
    <n v="2E-3"/>
  </r>
  <r>
    <n v="1875"/>
    <x v="6"/>
    <x v="7"/>
    <n v="31"/>
    <n v="-1.198"/>
    <x v="2"/>
    <x v="1"/>
    <x v="0"/>
    <n v="1.198"/>
  </r>
  <r>
    <n v="1876"/>
    <x v="6"/>
    <x v="7"/>
    <n v="31"/>
    <n v="-0.2"/>
    <x v="2"/>
    <x v="1"/>
    <x v="0"/>
    <n v="0.2"/>
  </r>
  <r>
    <n v="1877"/>
    <x v="6"/>
    <x v="7"/>
    <n v="31"/>
    <n v="-2E-3"/>
    <x v="2"/>
    <x v="1"/>
    <x v="0"/>
    <n v="2E-3"/>
  </r>
  <r>
    <n v="1878"/>
    <x v="6"/>
    <x v="8"/>
    <n v="1"/>
    <n v="-6.1459999999999999"/>
    <x v="18"/>
    <x v="1"/>
    <x v="0"/>
    <n v="6.1459999999999999"/>
  </r>
  <r>
    <n v="1879"/>
    <x v="6"/>
    <x v="8"/>
    <n v="1"/>
    <n v="-12.712"/>
    <x v="16"/>
    <x v="1"/>
    <x v="0"/>
    <n v="12.712"/>
  </r>
  <r>
    <n v="1880"/>
    <x v="6"/>
    <x v="8"/>
    <n v="1"/>
    <n v="-6.1479999999999997"/>
    <x v="1"/>
    <x v="1"/>
    <x v="0"/>
    <n v="6.1479999999999997"/>
  </r>
  <r>
    <n v="1881"/>
    <x v="6"/>
    <x v="8"/>
    <n v="1"/>
    <n v="-9.202"/>
    <x v="0"/>
    <x v="0"/>
    <x v="0"/>
    <n v="9.202"/>
  </r>
  <r>
    <n v="1882"/>
    <x v="6"/>
    <x v="8"/>
    <n v="1"/>
    <n v="-2.7480000000000002"/>
    <x v="0"/>
    <x v="0"/>
    <x v="0"/>
    <n v="2.7480000000000002"/>
  </r>
  <r>
    <n v="1883"/>
    <x v="6"/>
    <x v="8"/>
    <n v="2"/>
    <n v="-61.69"/>
    <x v="13"/>
    <x v="1"/>
    <x v="0"/>
    <n v="61.69"/>
  </r>
  <r>
    <n v="1884"/>
    <x v="6"/>
    <x v="8"/>
    <n v="2"/>
    <n v="-7.38"/>
    <x v="19"/>
    <x v="1"/>
    <x v="0"/>
    <n v="7.38"/>
  </r>
  <r>
    <n v="1885"/>
    <x v="6"/>
    <x v="8"/>
    <n v="3"/>
    <n v="-39.995999999999995"/>
    <x v="6"/>
    <x v="4"/>
    <x v="0"/>
    <n v="39.995999999999995"/>
  </r>
  <r>
    <n v="1886"/>
    <x v="6"/>
    <x v="8"/>
    <n v="3"/>
    <n v="-4"/>
    <x v="7"/>
    <x v="5"/>
    <x v="0"/>
    <n v="4"/>
  </r>
  <r>
    <n v="1887"/>
    <x v="6"/>
    <x v="8"/>
    <n v="5"/>
    <n v="-72.205999999999989"/>
    <x v="0"/>
    <x v="0"/>
    <x v="0"/>
    <n v="72.205999999999989"/>
  </r>
  <r>
    <n v="1888"/>
    <x v="6"/>
    <x v="8"/>
    <n v="6"/>
    <n v="-28.48"/>
    <x v="17"/>
    <x v="4"/>
    <x v="0"/>
    <n v="28.48"/>
  </r>
  <r>
    <n v="1889"/>
    <x v="6"/>
    <x v="8"/>
    <n v="8"/>
    <n v="-24.175999999999998"/>
    <x v="0"/>
    <x v="0"/>
    <x v="0"/>
    <n v="24.175999999999998"/>
  </r>
  <r>
    <n v="1890"/>
    <x v="6"/>
    <x v="8"/>
    <n v="9"/>
    <n v="-5.5739999999999998"/>
    <x v="0"/>
    <x v="0"/>
    <x v="0"/>
    <n v="5.5739999999999998"/>
  </r>
  <r>
    <n v="1891"/>
    <x v="6"/>
    <x v="8"/>
    <n v="12"/>
    <n v="-27.798000000000002"/>
    <x v="15"/>
    <x v="4"/>
    <x v="0"/>
    <n v="27.798000000000002"/>
  </r>
  <r>
    <n v="1892"/>
    <x v="6"/>
    <x v="8"/>
    <n v="12"/>
    <n v="-9.8000000000000007"/>
    <x v="0"/>
    <x v="0"/>
    <x v="0"/>
    <n v="9.8000000000000007"/>
  </r>
  <r>
    <n v="1893"/>
    <x v="6"/>
    <x v="8"/>
    <n v="13"/>
    <n v="-489.8"/>
    <x v="6"/>
    <x v="4"/>
    <x v="0"/>
    <n v="489.8"/>
  </r>
  <r>
    <n v="1894"/>
    <x v="6"/>
    <x v="8"/>
    <n v="14"/>
    <n v="-0.79600000000000004"/>
    <x v="2"/>
    <x v="1"/>
    <x v="0"/>
    <n v="0.79600000000000004"/>
  </r>
  <r>
    <n v="1895"/>
    <x v="6"/>
    <x v="8"/>
    <n v="14"/>
    <n v="-19.8"/>
    <x v="14"/>
    <x v="1"/>
    <x v="0"/>
    <n v="19.8"/>
  </r>
  <r>
    <n v="1896"/>
    <x v="6"/>
    <x v="8"/>
    <n v="14"/>
    <n v="-4.1180000000000003"/>
    <x v="0"/>
    <x v="0"/>
    <x v="0"/>
    <n v="4.1180000000000003"/>
  </r>
  <r>
    <n v="1897"/>
    <x v="6"/>
    <x v="8"/>
    <n v="15"/>
    <n v="-4"/>
    <x v="0"/>
    <x v="0"/>
    <x v="0"/>
    <n v="4"/>
  </r>
  <r>
    <n v="1898"/>
    <x v="6"/>
    <x v="8"/>
    <n v="15"/>
    <n v="-31.798000000000002"/>
    <x v="0"/>
    <x v="0"/>
    <x v="0"/>
    <n v="31.798000000000002"/>
  </r>
  <r>
    <n v="1899"/>
    <x v="6"/>
    <x v="8"/>
    <n v="17"/>
    <n v="-36.795999999999999"/>
    <x v="17"/>
    <x v="4"/>
    <x v="0"/>
    <n v="36.795999999999999"/>
  </r>
  <r>
    <n v="1900"/>
    <x v="6"/>
    <x v="8"/>
    <n v="17"/>
    <n v="-85.8"/>
    <x v="7"/>
    <x v="5"/>
    <x v="0"/>
    <n v="85.8"/>
  </r>
  <r>
    <n v="1901"/>
    <x v="6"/>
    <x v="8"/>
    <n v="23"/>
    <n v="478.61400000000003"/>
    <x v="4"/>
    <x v="3"/>
    <x v="1"/>
    <n v="478.61400000000003"/>
  </r>
  <r>
    <n v="1902"/>
    <x v="6"/>
    <x v="8"/>
    <n v="27"/>
    <n v="95.6"/>
    <x v="9"/>
    <x v="3"/>
    <x v="1"/>
    <n v="95.6"/>
  </r>
  <r>
    <n v="1903"/>
    <x v="6"/>
    <x v="8"/>
    <n v="30"/>
    <n v="-3.5979999999999999"/>
    <x v="7"/>
    <x v="5"/>
    <x v="0"/>
    <n v="3.5979999999999999"/>
  </r>
  <r>
    <n v="1904"/>
    <x v="6"/>
    <x v="8"/>
    <n v="30"/>
    <n v="2E-3"/>
    <x v="3"/>
    <x v="2"/>
    <x v="1"/>
    <n v="2E-3"/>
  </r>
  <r>
    <n v="1905"/>
    <x v="6"/>
    <x v="8"/>
    <n v="30"/>
    <n v="-1.198"/>
    <x v="2"/>
    <x v="1"/>
    <x v="0"/>
    <n v="1.198"/>
  </r>
  <r>
    <n v="1906"/>
    <x v="6"/>
    <x v="8"/>
    <n v="30"/>
    <n v="-0.2"/>
    <x v="2"/>
    <x v="1"/>
    <x v="0"/>
    <n v="0.2"/>
  </r>
  <r>
    <n v="1907"/>
    <x v="6"/>
    <x v="8"/>
    <n v="30"/>
    <n v="-2E-3"/>
    <x v="2"/>
    <x v="1"/>
    <x v="0"/>
    <n v="2E-3"/>
  </r>
  <r>
    <n v="1908"/>
    <x v="6"/>
    <x v="8"/>
    <n v="30"/>
    <n v="-3.944"/>
    <x v="0"/>
    <x v="0"/>
    <x v="0"/>
    <n v="3.944"/>
  </r>
  <r>
    <n v="1909"/>
    <x v="6"/>
    <x v="9"/>
    <n v="1"/>
    <n v="-61.69"/>
    <x v="13"/>
    <x v="1"/>
    <x v="0"/>
    <n v="61.69"/>
  </r>
  <r>
    <n v="1910"/>
    <x v="6"/>
    <x v="9"/>
    <n v="1"/>
    <n v="-7.38"/>
    <x v="19"/>
    <x v="1"/>
    <x v="0"/>
    <n v="7.38"/>
  </r>
  <r>
    <n v="1911"/>
    <x v="6"/>
    <x v="9"/>
    <n v="1"/>
    <n v="-8.6"/>
    <x v="7"/>
    <x v="5"/>
    <x v="0"/>
    <n v="8.6"/>
  </r>
  <r>
    <n v="1912"/>
    <x v="6"/>
    <x v="9"/>
    <n v="1"/>
    <n v="-6.1479999999999997"/>
    <x v="1"/>
    <x v="1"/>
    <x v="0"/>
    <n v="6.1479999999999997"/>
  </r>
  <r>
    <n v="1913"/>
    <x v="6"/>
    <x v="9"/>
    <n v="1"/>
    <n v="-46.4"/>
    <x v="12"/>
    <x v="1"/>
    <x v="0"/>
    <n v="46.4"/>
  </r>
  <r>
    <n v="1914"/>
    <x v="6"/>
    <x v="9"/>
    <n v="5"/>
    <n v="-4.4979999999999993"/>
    <x v="7"/>
    <x v="5"/>
    <x v="0"/>
    <n v="4.4979999999999993"/>
  </r>
  <r>
    <n v="1915"/>
    <x v="6"/>
    <x v="9"/>
    <n v="5"/>
    <n v="-3.59"/>
    <x v="0"/>
    <x v="0"/>
    <x v="0"/>
    <n v="3.59"/>
  </r>
  <r>
    <n v="1916"/>
    <x v="6"/>
    <x v="9"/>
    <n v="6"/>
    <n v="11.128"/>
    <x v="3"/>
    <x v="2"/>
    <x v="1"/>
    <n v="11.128"/>
  </r>
  <r>
    <n v="1917"/>
    <x v="6"/>
    <x v="9"/>
    <n v="11"/>
    <n v="-5.5720000000000001"/>
    <x v="0"/>
    <x v="0"/>
    <x v="0"/>
    <n v="5.5720000000000001"/>
  </r>
  <r>
    <n v="1918"/>
    <x v="6"/>
    <x v="9"/>
    <n v="11"/>
    <n v="-6.9099999999999993"/>
    <x v="0"/>
    <x v="0"/>
    <x v="0"/>
    <n v="6.9099999999999993"/>
  </r>
  <r>
    <n v="1919"/>
    <x v="6"/>
    <x v="9"/>
    <n v="13"/>
    <n v="-3.9180000000000001"/>
    <x v="0"/>
    <x v="0"/>
    <x v="0"/>
    <n v="3.9180000000000001"/>
  </r>
  <r>
    <n v="1920"/>
    <x v="6"/>
    <x v="9"/>
    <n v="18"/>
    <n v="-0.83800000000000008"/>
    <x v="0"/>
    <x v="0"/>
    <x v="0"/>
    <n v="0.83800000000000008"/>
  </r>
  <r>
    <n v="1921"/>
    <x v="6"/>
    <x v="9"/>
    <n v="19"/>
    <n v="-3.5259999999999998"/>
    <x v="17"/>
    <x v="4"/>
    <x v="0"/>
    <n v="3.5259999999999998"/>
  </r>
  <r>
    <n v="1922"/>
    <x v="6"/>
    <x v="9"/>
    <n v="19"/>
    <n v="-0.79600000000000004"/>
    <x v="0"/>
    <x v="0"/>
    <x v="0"/>
    <n v="0.79600000000000004"/>
  </r>
  <r>
    <n v="1923"/>
    <x v="6"/>
    <x v="9"/>
    <n v="21"/>
    <n v="-18.753999999999998"/>
    <x v="0"/>
    <x v="0"/>
    <x v="0"/>
    <n v="18.753999999999998"/>
  </r>
  <r>
    <n v="1924"/>
    <x v="6"/>
    <x v="9"/>
    <n v="24"/>
    <n v="478.61400000000003"/>
    <x v="4"/>
    <x v="3"/>
    <x v="1"/>
    <n v="478.61400000000003"/>
  </r>
  <r>
    <n v="1925"/>
    <x v="6"/>
    <x v="9"/>
    <n v="26"/>
    <n v="-39.6"/>
    <x v="14"/>
    <x v="1"/>
    <x v="0"/>
    <n v="39.6"/>
  </r>
  <r>
    <n v="1926"/>
    <x v="6"/>
    <x v="9"/>
    <n v="26"/>
    <n v="-0.75"/>
    <x v="0"/>
    <x v="0"/>
    <x v="0"/>
    <n v="0.75"/>
  </r>
  <r>
    <n v="1927"/>
    <x v="6"/>
    <x v="9"/>
    <n v="26"/>
    <n v="-1.8059999999999998"/>
    <x v="0"/>
    <x v="0"/>
    <x v="0"/>
    <n v="1.8059999999999998"/>
  </r>
  <r>
    <n v="1928"/>
    <x v="6"/>
    <x v="9"/>
    <n v="27"/>
    <n v="-37.998000000000005"/>
    <x v="6"/>
    <x v="4"/>
    <x v="0"/>
    <n v="37.998000000000005"/>
  </r>
  <r>
    <n v="1929"/>
    <x v="6"/>
    <x v="9"/>
    <n v="27"/>
    <n v="-1.998"/>
    <x v="6"/>
    <x v="4"/>
    <x v="0"/>
    <n v="1.998"/>
  </r>
  <r>
    <n v="1930"/>
    <x v="6"/>
    <x v="9"/>
    <n v="28"/>
    <n v="-1.3980000000000001"/>
    <x v="0"/>
    <x v="0"/>
    <x v="0"/>
    <n v="1.3980000000000001"/>
  </r>
  <r>
    <n v="1931"/>
    <x v="6"/>
    <x v="9"/>
    <n v="28"/>
    <n v="-6.8680000000000003"/>
    <x v="0"/>
    <x v="0"/>
    <x v="0"/>
    <n v="6.8680000000000003"/>
  </r>
  <r>
    <n v="1932"/>
    <x v="6"/>
    <x v="9"/>
    <n v="31"/>
    <n v="2E-3"/>
    <x v="3"/>
    <x v="2"/>
    <x v="1"/>
    <n v="2E-3"/>
  </r>
  <r>
    <n v="1933"/>
    <x v="6"/>
    <x v="9"/>
    <n v="31"/>
    <n v="-1.198"/>
    <x v="2"/>
    <x v="1"/>
    <x v="0"/>
    <n v="1.198"/>
  </r>
  <r>
    <n v="1934"/>
    <x v="6"/>
    <x v="9"/>
    <n v="31"/>
    <n v="-0.4"/>
    <x v="2"/>
    <x v="1"/>
    <x v="0"/>
    <n v="0.4"/>
  </r>
  <r>
    <n v="1935"/>
    <x v="6"/>
    <x v="9"/>
    <n v="31"/>
    <n v="-2E-3"/>
    <x v="2"/>
    <x v="1"/>
    <x v="0"/>
    <n v="2E-3"/>
  </r>
  <r>
    <n v="1936"/>
    <x v="6"/>
    <x v="10"/>
    <n v="1"/>
    <n v="-61.69"/>
    <x v="13"/>
    <x v="1"/>
    <x v="0"/>
    <n v="61.69"/>
  </r>
  <r>
    <n v="1937"/>
    <x v="6"/>
    <x v="10"/>
    <n v="1"/>
    <n v="-6.0640000000000001"/>
    <x v="18"/>
    <x v="1"/>
    <x v="0"/>
    <n v="6.0640000000000001"/>
  </r>
  <r>
    <n v="1938"/>
    <x v="6"/>
    <x v="10"/>
    <n v="1"/>
    <n v="-7.38"/>
    <x v="19"/>
    <x v="1"/>
    <x v="0"/>
    <n v="7.38"/>
  </r>
  <r>
    <n v="1939"/>
    <x v="6"/>
    <x v="10"/>
    <n v="1"/>
    <n v="-14.215999999999999"/>
    <x v="16"/>
    <x v="1"/>
    <x v="0"/>
    <n v="14.215999999999999"/>
  </r>
  <r>
    <n v="1940"/>
    <x v="6"/>
    <x v="10"/>
    <n v="1"/>
    <n v="-8.6"/>
    <x v="7"/>
    <x v="5"/>
    <x v="0"/>
    <n v="8.6"/>
  </r>
  <r>
    <n v="1941"/>
    <x v="6"/>
    <x v="10"/>
    <n v="1"/>
    <n v="-6.3520000000000003"/>
    <x v="1"/>
    <x v="1"/>
    <x v="0"/>
    <n v="6.3520000000000003"/>
  </r>
  <r>
    <n v="1942"/>
    <x v="6"/>
    <x v="10"/>
    <n v="3"/>
    <n v="-6.3620000000000001"/>
    <x v="0"/>
    <x v="0"/>
    <x v="0"/>
    <n v="6.3620000000000001"/>
  </r>
  <r>
    <n v="1943"/>
    <x v="6"/>
    <x v="10"/>
    <n v="8"/>
    <n v="-12.818000000000001"/>
    <x v="0"/>
    <x v="0"/>
    <x v="0"/>
    <n v="12.818000000000001"/>
  </r>
  <r>
    <n v="1944"/>
    <x v="6"/>
    <x v="10"/>
    <n v="9"/>
    <n v="-4.3840000000000003"/>
    <x v="0"/>
    <x v="0"/>
    <x v="0"/>
    <n v="4.3840000000000003"/>
  </r>
  <r>
    <n v="1945"/>
    <x v="6"/>
    <x v="10"/>
    <n v="9"/>
    <n v="-7.6"/>
    <x v="0"/>
    <x v="0"/>
    <x v="0"/>
    <n v="7.6"/>
  </r>
  <r>
    <n v="1946"/>
    <x v="6"/>
    <x v="10"/>
    <n v="10"/>
    <n v="125.34400000000001"/>
    <x v="8"/>
    <x v="3"/>
    <x v="1"/>
    <n v="125.34400000000001"/>
  </r>
  <r>
    <n v="1947"/>
    <x v="6"/>
    <x v="10"/>
    <n v="12"/>
    <n v="-31.768000000000001"/>
    <x v="0"/>
    <x v="0"/>
    <x v="0"/>
    <n v="31.768000000000001"/>
  </r>
  <r>
    <n v="1948"/>
    <x v="6"/>
    <x v="10"/>
    <n v="13"/>
    <n v="-27.4"/>
    <x v="6"/>
    <x v="4"/>
    <x v="0"/>
    <n v="27.4"/>
  </r>
  <r>
    <n v="1949"/>
    <x v="6"/>
    <x v="10"/>
    <n v="14"/>
    <n v="-4.2359999999999998"/>
    <x v="0"/>
    <x v="0"/>
    <x v="0"/>
    <n v="4.2359999999999998"/>
  </r>
  <r>
    <n v="1950"/>
    <x v="6"/>
    <x v="10"/>
    <n v="14"/>
    <n v="-0.48"/>
    <x v="0"/>
    <x v="0"/>
    <x v="0"/>
    <n v="0.48"/>
  </r>
  <r>
    <n v="1951"/>
    <x v="6"/>
    <x v="10"/>
    <n v="15"/>
    <n v="-11.808"/>
    <x v="0"/>
    <x v="0"/>
    <x v="0"/>
    <n v="11.808"/>
  </r>
  <r>
    <n v="1952"/>
    <x v="6"/>
    <x v="10"/>
    <n v="17"/>
    <n v="-0.79600000000000004"/>
    <x v="2"/>
    <x v="1"/>
    <x v="0"/>
    <n v="0.79600000000000004"/>
  </r>
  <r>
    <n v="1953"/>
    <x v="6"/>
    <x v="10"/>
    <n v="17"/>
    <n v="-5.7080000000000002"/>
    <x v="0"/>
    <x v="0"/>
    <x v="0"/>
    <n v="5.7080000000000002"/>
  </r>
  <r>
    <n v="1954"/>
    <x v="6"/>
    <x v="10"/>
    <n v="18"/>
    <n v="-12.574"/>
    <x v="0"/>
    <x v="0"/>
    <x v="0"/>
    <n v="12.574"/>
  </r>
  <r>
    <n v="1955"/>
    <x v="6"/>
    <x v="10"/>
    <n v="21"/>
    <n v="-0.48"/>
    <x v="0"/>
    <x v="0"/>
    <x v="0"/>
    <n v="0.48"/>
  </r>
  <r>
    <n v="1956"/>
    <x v="6"/>
    <x v="10"/>
    <n v="22"/>
    <n v="-44.480000000000004"/>
    <x v="7"/>
    <x v="5"/>
    <x v="0"/>
    <n v="44.480000000000004"/>
  </r>
  <r>
    <n v="1957"/>
    <x v="6"/>
    <x v="10"/>
    <n v="22"/>
    <n v="-12.991999999999999"/>
    <x v="0"/>
    <x v="0"/>
    <x v="0"/>
    <n v="12.991999999999999"/>
  </r>
  <r>
    <n v="1958"/>
    <x v="6"/>
    <x v="10"/>
    <n v="25"/>
    <n v="482.65600000000006"/>
    <x v="4"/>
    <x v="3"/>
    <x v="1"/>
    <n v="482.65600000000006"/>
  </r>
  <r>
    <n v="1959"/>
    <x v="6"/>
    <x v="10"/>
    <n v="25"/>
    <n v="-2.1239999999999997"/>
    <x v="0"/>
    <x v="0"/>
    <x v="0"/>
    <n v="2.1239999999999997"/>
  </r>
  <r>
    <n v="1960"/>
    <x v="6"/>
    <x v="10"/>
    <n v="29"/>
    <n v="-2.98"/>
    <x v="7"/>
    <x v="5"/>
    <x v="0"/>
    <n v="2.98"/>
  </r>
  <r>
    <n v="1961"/>
    <x v="6"/>
    <x v="10"/>
    <n v="29"/>
    <n v="-52"/>
    <x v="7"/>
    <x v="5"/>
    <x v="0"/>
    <n v="52"/>
  </r>
  <r>
    <n v="1962"/>
    <x v="6"/>
    <x v="10"/>
    <n v="29"/>
    <n v="-9.9980000000000011"/>
    <x v="6"/>
    <x v="4"/>
    <x v="0"/>
    <n v="9.9980000000000011"/>
  </r>
  <r>
    <n v="1963"/>
    <x v="6"/>
    <x v="10"/>
    <n v="30"/>
    <n v="4.0000000000000001E-3"/>
    <x v="3"/>
    <x v="2"/>
    <x v="1"/>
    <n v="4.0000000000000001E-3"/>
  </r>
  <r>
    <n v="1964"/>
    <x v="6"/>
    <x v="10"/>
    <n v="30"/>
    <n v="-1.198"/>
    <x v="2"/>
    <x v="1"/>
    <x v="0"/>
    <n v="1.198"/>
  </r>
  <r>
    <n v="1965"/>
    <x v="6"/>
    <x v="10"/>
    <n v="30"/>
    <n v="-0.4"/>
    <x v="2"/>
    <x v="1"/>
    <x v="0"/>
    <n v="0.4"/>
  </r>
  <r>
    <n v="1966"/>
    <x v="6"/>
    <x v="10"/>
    <n v="30"/>
    <n v="-2E-3"/>
    <x v="2"/>
    <x v="1"/>
    <x v="0"/>
    <n v="2E-3"/>
  </r>
  <r>
    <n v="1967"/>
    <x v="6"/>
    <x v="10"/>
    <n v="30"/>
    <n v="-1.298"/>
    <x v="0"/>
    <x v="0"/>
    <x v="0"/>
    <n v="1.298"/>
  </r>
  <r>
    <n v="1968"/>
    <x v="6"/>
    <x v="11"/>
    <n v="1"/>
    <n v="-3.9859999999999998"/>
    <x v="0"/>
    <x v="0"/>
    <x v="0"/>
    <n v="3.9859999999999998"/>
  </r>
  <r>
    <n v="1969"/>
    <x v="6"/>
    <x v="11"/>
    <n v="3"/>
    <n v="-62.089999999999996"/>
    <x v="13"/>
    <x v="1"/>
    <x v="0"/>
    <n v="62.089999999999996"/>
  </r>
  <r>
    <n v="1970"/>
    <x v="6"/>
    <x v="11"/>
    <n v="3"/>
    <n v="-7.38"/>
    <x v="19"/>
    <x v="1"/>
    <x v="0"/>
    <n v="7.38"/>
  </r>
  <r>
    <n v="1971"/>
    <x v="6"/>
    <x v="11"/>
    <n v="3"/>
    <n v="-5.9979999999999993"/>
    <x v="1"/>
    <x v="1"/>
    <x v="0"/>
    <n v="5.9979999999999993"/>
  </r>
  <r>
    <n v="1972"/>
    <x v="6"/>
    <x v="11"/>
    <n v="8"/>
    <n v="-2.3559999999999999"/>
    <x v="0"/>
    <x v="0"/>
    <x v="0"/>
    <n v="2.3559999999999999"/>
  </r>
  <r>
    <n v="1973"/>
    <x v="6"/>
    <x v="11"/>
    <n v="10"/>
    <n v="-36.22"/>
    <x v="0"/>
    <x v="0"/>
    <x v="0"/>
    <n v="36.22"/>
  </r>
  <r>
    <n v="1974"/>
    <x v="6"/>
    <x v="11"/>
    <n v="12"/>
    <n v="-5.0439999999999996"/>
    <x v="0"/>
    <x v="0"/>
    <x v="0"/>
    <n v="5.0439999999999996"/>
  </r>
  <r>
    <n v="1975"/>
    <x v="6"/>
    <x v="11"/>
    <n v="13"/>
    <n v="108.2"/>
    <x v="9"/>
    <x v="3"/>
    <x v="1"/>
    <n v="108.2"/>
  </r>
  <r>
    <n v="1976"/>
    <x v="6"/>
    <x v="11"/>
    <n v="13"/>
    <n v="-21.997999999999998"/>
    <x v="6"/>
    <x v="4"/>
    <x v="0"/>
    <n v="21.997999999999998"/>
  </r>
  <r>
    <n v="1977"/>
    <x v="6"/>
    <x v="11"/>
    <n v="14"/>
    <n v="-8.1819999999999986"/>
    <x v="0"/>
    <x v="0"/>
    <x v="0"/>
    <n v="8.1819999999999986"/>
  </r>
  <r>
    <n v="1978"/>
    <x v="6"/>
    <x v="11"/>
    <n v="15"/>
    <n v="-4"/>
    <x v="7"/>
    <x v="5"/>
    <x v="0"/>
    <n v="4"/>
  </r>
  <r>
    <n v="1979"/>
    <x v="6"/>
    <x v="11"/>
    <n v="15"/>
    <n v="-0.79600000000000004"/>
    <x v="2"/>
    <x v="1"/>
    <x v="0"/>
    <n v="0.79600000000000004"/>
  </r>
  <r>
    <n v="1980"/>
    <x v="6"/>
    <x v="11"/>
    <n v="15"/>
    <n v="-3.6020000000000003"/>
    <x v="0"/>
    <x v="0"/>
    <x v="0"/>
    <n v="3.6020000000000003"/>
  </r>
  <r>
    <n v="1981"/>
    <x v="6"/>
    <x v="11"/>
    <n v="16"/>
    <n v="482.65800000000002"/>
    <x v="4"/>
    <x v="3"/>
    <x v="1"/>
    <n v="482.65800000000002"/>
  </r>
  <r>
    <n v="1982"/>
    <x v="6"/>
    <x v="11"/>
    <n v="16"/>
    <n v="-5.4939999999999998"/>
    <x v="0"/>
    <x v="0"/>
    <x v="0"/>
    <n v="5.4939999999999998"/>
  </r>
  <r>
    <n v="1983"/>
    <x v="6"/>
    <x v="11"/>
    <n v="23"/>
    <n v="50.06"/>
    <x v="9"/>
    <x v="3"/>
    <x v="1"/>
    <n v="50.06"/>
  </r>
  <r>
    <n v="1984"/>
    <x v="6"/>
    <x v="11"/>
    <n v="28"/>
    <n v="187.898"/>
    <x v="8"/>
    <x v="3"/>
    <x v="1"/>
    <n v="187.898"/>
  </r>
  <r>
    <n v="1985"/>
    <x v="6"/>
    <x v="11"/>
    <n v="31"/>
    <n v="8.0000000000000002E-3"/>
    <x v="3"/>
    <x v="2"/>
    <x v="1"/>
    <n v="8.0000000000000002E-3"/>
  </r>
  <r>
    <n v="1986"/>
    <x v="6"/>
    <x v="11"/>
    <n v="31"/>
    <n v="-1.198"/>
    <x v="2"/>
    <x v="1"/>
    <x v="0"/>
    <n v="1.198"/>
  </r>
  <r>
    <n v="1987"/>
    <x v="6"/>
    <x v="11"/>
    <n v="31"/>
    <n v="-0.6"/>
    <x v="2"/>
    <x v="1"/>
    <x v="0"/>
    <n v="0.6"/>
  </r>
  <r>
    <n v="1988"/>
    <x v="6"/>
    <x v="11"/>
    <n v="31"/>
    <n v="-2E-3"/>
    <x v="2"/>
    <x v="1"/>
    <x v="0"/>
    <n v="2E-3"/>
  </r>
  <r>
    <n v="1989"/>
    <x v="7"/>
    <x v="0"/>
    <n v="1"/>
    <n v="-5.9979999999999993"/>
    <x v="1"/>
    <x v="1"/>
    <x v="0"/>
    <n v="5.9979999999999993"/>
  </r>
  <r>
    <n v="1990"/>
    <x v="7"/>
    <x v="0"/>
    <n v="1"/>
    <n v="-6.6280000000000001"/>
    <x v="18"/>
    <x v="1"/>
    <x v="0"/>
    <n v="6.6280000000000001"/>
  </r>
  <r>
    <n v="1991"/>
    <x v="7"/>
    <x v="0"/>
    <n v="1"/>
    <n v="-7.38"/>
    <x v="19"/>
    <x v="1"/>
    <x v="0"/>
    <n v="7.38"/>
  </r>
  <r>
    <n v="1992"/>
    <x v="7"/>
    <x v="0"/>
    <n v="1"/>
    <n v="-14.113999999999999"/>
    <x v="16"/>
    <x v="1"/>
    <x v="0"/>
    <n v="14.113999999999999"/>
  </r>
  <r>
    <n v="1993"/>
    <x v="7"/>
    <x v="0"/>
    <n v="7"/>
    <n v="-51.527999999999999"/>
    <x v="13"/>
    <x v="1"/>
    <x v="0"/>
    <n v="51.527999999999999"/>
  </r>
  <r>
    <n v="1994"/>
    <x v="7"/>
    <x v="0"/>
    <n v="8"/>
    <n v="13.102"/>
    <x v="3"/>
    <x v="2"/>
    <x v="1"/>
    <n v="13.102"/>
  </r>
  <r>
    <n v="1995"/>
    <x v="7"/>
    <x v="0"/>
    <n v="9"/>
    <n v="0.54600000000000004"/>
    <x v="3"/>
    <x v="2"/>
    <x v="1"/>
    <n v="0.54600000000000004"/>
  </r>
  <r>
    <n v="1996"/>
    <x v="7"/>
    <x v="0"/>
    <n v="14"/>
    <n v="-4.54"/>
    <x v="21"/>
    <x v="1"/>
    <x v="0"/>
    <n v="4.54"/>
  </r>
  <r>
    <n v="1997"/>
    <x v="7"/>
    <x v="0"/>
    <n v="16"/>
    <n v="-0.8"/>
    <x v="2"/>
    <x v="1"/>
    <x v="0"/>
    <n v="0.8"/>
  </r>
  <r>
    <n v="1998"/>
    <x v="7"/>
    <x v="0"/>
    <n v="17"/>
    <n v="-0.39800000000000002"/>
    <x v="2"/>
    <x v="1"/>
    <x v="0"/>
    <n v="0.39800000000000002"/>
  </r>
  <r>
    <n v="1999"/>
    <x v="7"/>
    <x v="0"/>
    <n v="25"/>
    <n v="-19.8"/>
    <x v="14"/>
    <x v="1"/>
    <x v="0"/>
    <n v="19.8"/>
  </r>
  <r>
    <n v="2000"/>
    <x v="7"/>
    <x v="0"/>
    <n v="25"/>
    <n v="482.65800000000002"/>
    <x v="4"/>
    <x v="3"/>
    <x v="1"/>
    <n v="482.65800000000002"/>
  </r>
  <r>
    <n v="2001"/>
    <x v="7"/>
    <x v="0"/>
    <n v="27"/>
    <n v="-5.9560000000000004"/>
    <x v="0"/>
    <x v="0"/>
    <x v="0"/>
    <n v="5.9560000000000004"/>
  </r>
  <r>
    <n v="2002"/>
    <x v="7"/>
    <x v="0"/>
    <n v="31"/>
    <n v="0.01"/>
    <x v="3"/>
    <x v="2"/>
    <x v="1"/>
    <n v="0.01"/>
  </r>
  <r>
    <n v="2003"/>
    <x v="7"/>
    <x v="0"/>
    <n v="31"/>
    <n v="-1.198"/>
    <x v="2"/>
    <x v="1"/>
    <x v="0"/>
    <n v="1.198"/>
  </r>
  <r>
    <n v="2004"/>
    <x v="7"/>
    <x v="0"/>
    <n v="31"/>
    <n v="-0.1"/>
    <x v="2"/>
    <x v="1"/>
    <x v="0"/>
    <n v="0.1"/>
  </r>
  <r>
    <n v="2005"/>
    <x v="7"/>
    <x v="0"/>
    <n v="31"/>
    <n v="-2E-3"/>
    <x v="2"/>
    <x v="1"/>
    <x v="0"/>
    <n v="2E-3"/>
  </r>
  <r>
    <n v="2006"/>
    <x v="7"/>
    <x v="0"/>
    <n v="31"/>
    <n v="-8.6"/>
    <x v="0"/>
    <x v="0"/>
    <x v="0"/>
    <n v="8.6"/>
  </r>
  <r>
    <n v="2007"/>
    <x v="7"/>
    <x v="1"/>
    <n v="3"/>
    <n v="475.29200000000003"/>
    <x v="5"/>
    <x v="3"/>
    <x v="1"/>
    <n v="475.29200000000003"/>
  </r>
  <r>
    <n v="2008"/>
    <x v="7"/>
    <x v="1"/>
    <n v="3"/>
    <n v="-11.446"/>
    <x v="0"/>
    <x v="0"/>
    <x v="0"/>
    <n v="11.446"/>
  </r>
  <r>
    <n v="2009"/>
    <x v="7"/>
    <x v="1"/>
    <n v="4"/>
    <n v="-4.54"/>
    <x v="21"/>
    <x v="1"/>
    <x v="0"/>
    <n v="4.54"/>
  </r>
  <r>
    <n v="2010"/>
    <x v="7"/>
    <x v="1"/>
    <n v="4"/>
    <n v="-65.25800000000001"/>
    <x v="13"/>
    <x v="1"/>
    <x v="0"/>
    <n v="65.25800000000001"/>
  </r>
  <r>
    <n v="2011"/>
    <x v="7"/>
    <x v="1"/>
    <n v="4"/>
    <n v="-7.38"/>
    <x v="19"/>
    <x v="1"/>
    <x v="0"/>
    <n v="7.38"/>
  </r>
  <r>
    <n v="2012"/>
    <x v="7"/>
    <x v="1"/>
    <n v="4"/>
    <n v="-8.1999999999999993"/>
    <x v="20"/>
    <x v="1"/>
    <x v="0"/>
    <n v="8.1999999999999993"/>
  </r>
  <r>
    <n v="2013"/>
    <x v="7"/>
    <x v="1"/>
    <n v="4"/>
    <n v="-5.9979999999999993"/>
    <x v="1"/>
    <x v="1"/>
    <x v="0"/>
    <n v="5.9979999999999993"/>
  </r>
  <r>
    <n v="2014"/>
    <x v="7"/>
    <x v="1"/>
    <n v="6"/>
    <n v="-32.631999999999998"/>
    <x v="6"/>
    <x v="4"/>
    <x v="0"/>
    <n v="32.631999999999998"/>
  </r>
  <r>
    <n v="2015"/>
    <x v="7"/>
    <x v="1"/>
    <n v="7"/>
    <n v="-0.66799999999999993"/>
    <x v="0"/>
    <x v="0"/>
    <x v="0"/>
    <n v="0.66799999999999993"/>
  </r>
  <r>
    <n v="2016"/>
    <x v="7"/>
    <x v="1"/>
    <n v="9"/>
    <n v="-9.5180000000000007"/>
    <x v="0"/>
    <x v="0"/>
    <x v="0"/>
    <n v="9.5180000000000007"/>
  </r>
  <r>
    <n v="2017"/>
    <x v="7"/>
    <x v="1"/>
    <n v="9"/>
    <n v="-0.65999999999999992"/>
    <x v="0"/>
    <x v="0"/>
    <x v="0"/>
    <n v="0.65999999999999992"/>
  </r>
  <r>
    <n v="2018"/>
    <x v="7"/>
    <x v="1"/>
    <n v="10"/>
    <n v="-3.254"/>
    <x v="0"/>
    <x v="0"/>
    <x v="0"/>
    <n v="3.254"/>
  </r>
  <r>
    <n v="2019"/>
    <x v="7"/>
    <x v="1"/>
    <n v="14"/>
    <n v="-0.79600000000000004"/>
    <x v="2"/>
    <x v="1"/>
    <x v="0"/>
    <n v="0.79600000000000004"/>
  </r>
  <r>
    <n v="2020"/>
    <x v="7"/>
    <x v="1"/>
    <n v="16"/>
    <n v="-0.8"/>
    <x v="2"/>
    <x v="1"/>
    <x v="0"/>
    <n v="0.8"/>
  </r>
  <r>
    <n v="2021"/>
    <x v="7"/>
    <x v="1"/>
    <n v="16"/>
    <n v="-4.1840000000000002"/>
    <x v="0"/>
    <x v="0"/>
    <x v="0"/>
    <n v="4.1840000000000002"/>
  </r>
  <r>
    <n v="2022"/>
    <x v="7"/>
    <x v="1"/>
    <n v="20"/>
    <n v="-4.016"/>
    <x v="0"/>
    <x v="0"/>
    <x v="0"/>
    <n v="4.016"/>
  </r>
  <r>
    <n v="2023"/>
    <x v="7"/>
    <x v="1"/>
    <n v="21"/>
    <n v="482.65600000000006"/>
    <x v="4"/>
    <x v="3"/>
    <x v="1"/>
    <n v="482.65600000000006"/>
  </r>
  <r>
    <n v="2024"/>
    <x v="7"/>
    <x v="1"/>
    <n v="24"/>
    <n v="-1.3880000000000001"/>
    <x v="0"/>
    <x v="0"/>
    <x v="0"/>
    <n v="1.3880000000000001"/>
  </r>
  <r>
    <n v="2025"/>
    <x v="7"/>
    <x v="1"/>
    <n v="24"/>
    <n v="-3.0640000000000001"/>
    <x v="0"/>
    <x v="0"/>
    <x v="0"/>
    <n v="3.0640000000000001"/>
  </r>
  <r>
    <n v="2026"/>
    <x v="7"/>
    <x v="1"/>
    <n v="25"/>
    <n v="-19.8"/>
    <x v="14"/>
    <x v="1"/>
    <x v="0"/>
    <n v="19.8"/>
  </r>
  <r>
    <n v="2027"/>
    <x v="7"/>
    <x v="1"/>
    <n v="28"/>
    <n v="4.0000000000000001E-3"/>
    <x v="3"/>
    <x v="2"/>
    <x v="1"/>
    <n v="4.0000000000000001E-3"/>
  </r>
  <r>
    <n v="2028"/>
    <x v="7"/>
    <x v="1"/>
    <n v="28"/>
    <n v="-1.198"/>
    <x v="2"/>
    <x v="1"/>
    <x v="0"/>
    <n v="1.198"/>
  </r>
  <r>
    <n v="2029"/>
    <x v="7"/>
    <x v="1"/>
    <n v="28"/>
    <n v="-0.5"/>
    <x v="2"/>
    <x v="1"/>
    <x v="0"/>
    <n v="0.5"/>
  </r>
  <r>
    <n v="2030"/>
    <x v="7"/>
    <x v="1"/>
    <n v="28"/>
    <n v="-2E-3"/>
    <x v="2"/>
    <x v="1"/>
    <x v="0"/>
    <n v="2E-3"/>
  </r>
  <r>
    <n v="2031"/>
    <x v="7"/>
    <x v="1"/>
    <n v="28"/>
    <n v="0.4"/>
    <x v="9"/>
    <x v="3"/>
    <x v="1"/>
    <n v="0.4"/>
  </r>
  <r>
    <n v="2032"/>
    <x v="7"/>
    <x v="2"/>
    <n v="2"/>
    <n v="-8.5239999999999991"/>
    <x v="0"/>
    <x v="0"/>
    <x v="0"/>
    <n v="8.5239999999999991"/>
  </r>
  <r>
    <n v="2033"/>
    <x v="7"/>
    <x v="2"/>
    <n v="4"/>
    <n v="-4.54"/>
    <x v="21"/>
    <x v="1"/>
    <x v="0"/>
    <n v="4.54"/>
  </r>
  <r>
    <n v="2034"/>
    <x v="7"/>
    <x v="2"/>
    <n v="4"/>
    <n v="-65.25800000000001"/>
    <x v="13"/>
    <x v="1"/>
    <x v="0"/>
    <n v="65.25800000000001"/>
  </r>
  <r>
    <n v="2035"/>
    <x v="7"/>
    <x v="2"/>
    <n v="4"/>
    <n v="-5.5460000000000003"/>
    <x v="18"/>
    <x v="1"/>
    <x v="0"/>
    <n v="5.5460000000000003"/>
  </r>
  <r>
    <n v="2036"/>
    <x v="7"/>
    <x v="2"/>
    <n v="4"/>
    <n v="-7.38"/>
    <x v="19"/>
    <x v="1"/>
    <x v="0"/>
    <n v="7.38"/>
  </r>
  <r>
    <n v="2037"/>
    <x v="7"/>
    <x v="2"/>
    <n v="4"/>
    <n v="-16.622"/>
    <x v="16"/>
    <x v="1"/>
    <x v="0"/>
    <n v="16.622"/>
  </r>
  <r>
    <n v="2038"/>
    <x v="7"/>
    <x v="2"/>
    <n v="4"/>
    <n v="-8.6"/>
    <x v="0"/>
    <x v="0"/>
    <x v="0"/>
    <n v="8.6"/>
  </r>
  <r>
    <n v="2039"/>
    <x v="7"/>
    <x v="2"/>
    <n v="4"/>
    <n v="-6.2140000000000004"/>
    <x v="1"/>
    <x v="1"/>
    <x v="0"/>
    <n v="6.2140000000000004"/>
  </r>
  <r>
    <n v="2040"/>
    <x v="7"/>
    <x v="2"/>
    <n v="14"/>
    <n v="-0.39800000000000002"/>
    <x v="2"/>
    <x v="1"/>
    <x v="0"/>
    <n v="0.39800000000000002"/>
  </r>
  <r>
    <n v="2041"/>
    <x v="7"/>
    <x v="2"/>
    <n v="14"/>
    <n v="-9.3520000000000003"/>
    <x v="7"/>
    <x v="5"/>
    <x v="0"/>
    <n v="9.3520000000000003"/>
  </r>
  <r>
    <n v="2042"/>
    <x v="7"/>
    <x v="2"/>
    <n v="16"/>
    <n v="-0.8"/>
    <x v="2"/>
    <x v="1"/>
    <x v="0"/>
    <n v="0.8"/>
  </r>
  <r>
    <n v="2043"/>
    <x v="7"/>
    <x v="2"/>
    <n v="16"/>
    <n v="-1.9420000000000002"/>
    <x v="0"/>
    <x v="0"/>
    <x v="0"/>
    <n v="1.9420000000000002"/>
  </r>
  <r>
    <n v="2044"/>
    <x v="7"/>
    <x v="2"/>
    <n v="18"/>
    <n v="-49.488"/>
    <x v="0"/>
    <x v="0"/>
    <x v="0"/>
    <n v="49.488"/>
  </r>
  <r>
    <n v="2045"/>
    <x v="7"/>
    <x v="2"/>
    <n v="23"/>
    <n v="-11.129999999999999"/>
    <x v="7"/>
    <x v="5"/>
    <x v="0"/>
    <n v="11.129999999999999"/>
  </r>
  <r>
    <n v="2046"/>
    <x v="7"/>
    <x v="2"/>
    <n v="24"/>
    <n v="-1.754"/>
    <x v="0"/>
    <x v="0"/>
    <x v="0"/>
    <n v="1.754"/>
  </r>
  <r>
    <n v="2047"/>
    <x v="7"/>
    <x v="2"/>
    <n v="27"/>
    <n v="-19.8"/>
    <x v="14"/>
    <x v="1"/>
    <x v="0"/>
    <n v="19.8"/>
  </r>
  <r>
    <n v="2048"/>
    <x v="7"/>
    <x v="2"/>
    <n v="27"/>
    <n v="482.65800000000002"/>
    <x v="4"/>
    <x v="3"/>
    <x v="1"/>
    <n v="482.65800000000002"/>
  </r>
  <r>
    <n v="2049"/>
    <x v="7"/>
    <x v="2"/>
    <n v="30"/>
    <n v="-8.5299999999999994"/>
    <x v="0"/>
    <x v="0"/>
    <x v="0"/>
    <n v="8.5299999999999994"/>
  </r>
  <r>
    <n v="2050"/>
    <x v="7"/>
    <x v="2"/>
    <n v="31"/>
    <n v="2E-3"/>
    <x v="3"/>
    <x v="2"/>
    <x v="1"/>
    <n v="2E-3"/>
  </r>
  <r>
    <n v="2051"/>
    <x v="7"/>
    <x v="2"/>
    <n v="31"/>
    <n v="-1.198"/>
    <x v="2"/>
    <x v="1"/>
    <x v="0"/>
    <n v="1.198"/>
  </r>
  <r>
    <n v="2052"/>
    <x v="7"/>
    <x v="2"/>
    <n v="31"/>
    <n v="-0.2"/>
    <x v="2"/>
    <x v="1"/>
    <x v="0"/>
    <n v="0.2"/>
  </r>
  <r>
    <n v="2053"/>
    <x v="7"/>
    <x v="2"/>
    <n v="31"/>
    <n v="-2E-3"/>
    <x v="2"/>
    <x v="1"/>
    <x v="0"/>
    <n v="2E-3"/>
  </r>
  <r>
    <n v="2054"/>
    <x v="7"/>
    <x v="2"/>
    <n v="31"/>
    <n v="-2.5019999999999998"/>
    <x v="0"/>
    <x v="0"/>
    <x v="0"/>
    <n v="2.5019999999999998"/>
  </r>
  <r>
    <n v="2055"/>
    <x v="7"/>
    <x v="3"/>
    <n v="1"/>
    <n v="-4.54"/>
    <x v="21"/>
    <x v="1"/>
    <x v="0"/>
    <n v="4.54"/>
  </r>
  <r>
    <n v="2056"/>
    <x v="7"/>
    <x v="3"/>
    <n v="1"/>
    <n v="-66.058000000000007"/>
    <x v="13"/>
    <x v="1"/>
    <x v="0"/>
    <n v="66.058000000000007"/>
  </r>
  <r>
    <n v="2057"/>
    <x v="7"/>
    <x v="3"/>
    <n v="1"/>
    <n v="-7.38"/>
    <x v="19"/>
    <x v="1"/>
    <x v="0"/>
    <n v="7.38"/>
  </r>
  <r>
    <n v="2058"/>
    <x v="7"/>
    <x v="3"/>
    <n v="1"/>
    <n v="-6.194"/>
    <x v="1"/>
    <x v="1"/>
    <x v="0"/>
    <n v="6.194"/>
  </r>
  <r>
    <n v="2059"/>
    <x v="7"/>
    <x v="3"/>
    <n v="4"/>
    <n v="-9.2140000000000004"/>
    <x v="0"/>
    <x v="0"/>
    <x v="0"/>
    <n v="9.2140000000000004"/>
  </r>
  <r>
    <n v="2060"/>
    <x v="7"/>
    <x v="3"/>
    <n v="7"/>
    <n v="-0.84000000000000008"/>
    <x v="0"/>
    <x v="0"/>
    <x v="0"/>
    <n v="0.84000000000000008"/>
  </r>
  <r>
    <n v="2061"/>
    <x v="7"/>
    <x v="3"/>
    <n v="7"/>
    <n v="-5.1159999999999997"/>
    <x v="0"/>
    <x v="0"/>
    <x v="0"/>
    <n v="5.1159999999999997"/>
  </r>
  <r>
    <n v="2062"/>
    <x v="7"/>
    <x v="3"/>
    <n v="7"/>
    <n v="-2.044"/>
    <x v="0"/>
    <x v="0"/>
    <x v="0"/>
    <n v="2.044"/>
  </r>
  <r>
    <n v="2063"/>
    <x v="7"/>
    <x v="3"/>
    <n v="9"/>
    <n v="10.686"/>
    <x v="3"/>
    <x v="2"/>
    <x v="1"/>
    <n v="10.686"/>
  </r>
  <r>
    <n v="2064"/>
    <x v="7"/>
    <x v="3"/>
    <n v="10"/>
    <n v="-0.76400000000000001"/>
    <x v="0"/>
    <x v="0"/>
    <x v="0"/>
    <n v="0.76400000000000001"/>
  </r>
  <r>
    <n v="2065"/>
    <x v="7"/>
    <x v="3"/>
    <n v="13"/>
    <n v="-1.8660000000000001"/>
    <x v="0"/>
    <x v="0"/>
    <x v="0"/>
    <n v="1.8660000000000001"/>
  </r>
  <r>
    <n v="2066"/>
    <x v="7"/>
    <x v="3"/>
    <n v="14"/>
    <n v="-0.39800000000000002"/>
    <x v="2"/>
    <x v="1"/>
    <x v="0"/>
    <n v="0.39800000000000002"/>
  </r>
  <r>
    <n v="2067"/>
    <x v="7"/>
    <x v="3"/>
    <n v="16"/>
    <n v="-0.8"/>
    <x v="2"/>
    <x v="1"/>
    <x v="0"/>
    <n v="0.8"/>
  </r>
  <r>
    <n v="2068"/>
    <x v="7"/>
    <x v="3"/>
    <n v="18"/>
    <n v="55.820000000000007"/>
    <x v="8"/>
    <x v="3"/>
    <x v="1"/>
    <n v="55.820000000000007"/>
  </r>
  <r>
    <n v="2069"/>
    <x v="7"/>
    <x v="3"/>
    <n v="18"/>
    <n v="-33.06"/>
    <x v="0"/>
    <x v="0"/>
    <x v="0"/>
    <n v="33.06"/>
  </r>
  <r>
    <n v="2070"/>
    <x v="7"/>
    <x v="3"/>
    <n v="19"/>
    <n v="-2"/>
    <x v="7"/>
    <x v="5"/>
    <x v="0"/>
    <n v="2"/>
  </r>
  <r>
    <n v="2071"/>
    <x v="7"/>
    <x v="3"/>
    <n v="21"/>
    <n v="-3"/>
    <x v="0"/>
    <x v="0"/>
    <x v="0"/>
    <n v="3"/>
  </r>
  <r>
    <n v="2072"/>
    <x v="7"/>
    <x v="3"/>
    <n v="23"/>
    <n v="-46.4"/>
    <x v="12"/>
    <x v="1"/>
    <x v="0"/>
    <n v="46.4"/>
  </r>
  <r>
    <n v="2073"/>
    <x v="7"/>
    <x v="3"/>
    <n v="26"/>
    <n v="-19.8"/>
    <x v="14"/>
    <x v="1"/>
    <x v="0"/>
    <n v="19.8"/>
  </r>
  <r>
    <n v="2074"/>
    <x v="7"/>
    <x v="3"/>
    <n v="26"/>
    <n v="482.65600000000006"/>
    <x v="4"/>
    <x v="3"/>
    <x v="1"/>
    <n v="482.65600000000006"/>
  </r>
  <r>
    <n v="2075"/>
    <x v="7"/>
    <x v="3"/>
    <n v="28"/>
    <n v="-3.9979999999999998"/>
    <x v="0"/>
    <x v="0"/>
    <x v="0"/>
    <n v="3.9979999999999998"/>
  </r>
  <r>
    <n v="2076"/>
    <x v="7"/>
    <x v="3"/>
    <n v="29"/>
    <n v="-4.1479999999999997"/>
    <x v="0"/>
    <x v="0"/>
    <x v="0"/>
    <n v="4.1479999999999997"/>
  </r>
  <r>
    <n v="2077"/>
    <x v="7"/>
    <x v="3"/>
    <n v="30"/>
    <n v="2E-3"/>
    <x v="3"/>
    <x v="2"/>
    <x v="1"/>
    <n v="2E-3"/>
  </r>
  <r>
    <n v="2078"/>
    <x v="7"/>
    <x v="3"/>
    <n v="30"/>
    <n v="-1.198"/>
    <x v="2"/>
    <x v="1"/>
    <x v="0"/>
    <n v="1.198"/>
  </r>
  <r>
    <n v="2079"/>
    <x v="7"/>
    <x v="3"/>
    <n v="30"/>
    <n v="-0.8"/>
    <x v="2"/>
    <x v="1"/>
    <x v="0"/>
    <n v="0.8"/>
  </r>
  <r>
    <n v="2080"/>
    <x v="7"/>
    <x v="3"/>
    <n v="30"/>
    <n v="-2E-3"/>
    <x v="2"/>
    <x v="1"/>
    <x v="0"/>
    <n v="2E-3"/>
  </r>
  <r>
    <n v="2081"/>
    <x v="7"/>
    <x v="4"/>
    <n v="1"/>
    <n v="-35.200000000000003"/>
    <x v="11"/>
    <x v="1"/>
    <x v="0"/>
    <n v="35.200000000000003"/>
  </r>
  <r>
    <n v="2082"/>
    <x v="7"/>
    <x v="4"/>
    <n v="1"/>
    <n v="-4.54"/>
    <x v="21"/>
    <x v="1"/>
    <x v="0"/>
    <n v="4.54"/>
  </r>
  <r>
    <n v="2083"/>
    <x v="7"/>
    <x v="4"/>
    <n v="1"/>
    <n v="-66.058000000000007"/>
    <x v="13"/>
    <x v="1"/>
    <x v="0"/>
    <n v="66.058000000000007"/>
  </r>
  <r>
    <n v="2084"/>
    <x v="7"/>
    <x v="4"/>
    <n v="1"/>
    <n v="-6.1459999999999999"/>
    <x v="18"/>
    <x v="1"/>
    <x v="0"/>
    <n v="6.1459999999999999"/>
  </r>
  <r>
    <n v="2085"/>
    <x v="7"/>
    <x v="4"/>
    <n v="1"/>
    <n v="-7.38"/>
    <x v="19"/>
    <x v="1"/>
    <x v="0"/>
    <n v="7.38"/>
  </r>
  <r>
    <n v="2086"/>
    <x v="7"/>
    <x v="4"/>
    <n v="1"/>
    <n v="-12.64"/>
    <x v="16"/>
    <x v="1"/>
    <x v="0"/>
    <n v="12.64"/>
  </r>
  <r>
    <n v="2087"/>
    <x v="7"/>
    <x v="4"/>
    <n v="1"/>
    <n v="-6.1479999999999997"/>
    <x v="1"/>
    <x v="1"/>
    <x v="0"/>
    <n v="6.1479999999999997"/>
  </r>
  <r>
    <n v="2088"/>
    <x v="7"/>
    <x v="4"/>
    <n v="4"/>
    <n v="-10.574"/>
    <x v="0"/>
    <x v="0"/>
    <x v="0"/>
    <n v="10.574"/>
  </r>
  <r>
    <n v="2089"/>
    <x v="7"/>
    <x v="4"/>
    <n v="4"/>
    <n v="-4.25"/>
    <x v="0"/>
    <x v="0"/>
    <x v="0"/>
    <n v="4.25"/>
  </r>
  <r>
    <n v="2090"/>
    <x v="7"/>
    <x v="4"/>
    <n v="11"/>
    <n v="-1.722"/>
    <x v="0"/>
    <x v="0"/>
    <x v="0"/>
    <n v="1.722"/>
  </r>
  <r>
    <n v="2091"/>
    <x v="7"/>
    <x v="4"/>
    <n v="13"/>
    <n v="-2.6320000000000001"/>
    <x v="0"/>
    <x v="0"/>
    <x v="0"/>
    <n v="2.6320000000000001"/>
  </r>
  <r>
    <n v="2092"/>
    <x v="7"/>
    <x v="4"/>
    <n v="15"/>
    <n v="-9.2739999999999991"/>
    <x v="0"/>
    <x v="0"/>
    <x v="0"/>
    <n v="9.2739999999999991"/>
  </r>
  <r>
    <n v="2093"/>
    <x v="7"/>
    <x v="4"/>
    <n v="16"/>
    <n v="-0.8"/>
    <x v="2"/>
    <x v="1"/>
    <x v="0"/>
    <n v="0.8"/>
  </r>
  <r>
    <n v="2094"/>
    <x v="7"/>
    <x v="4"/>
    <n v="16"/>
    <n v="-0.39800000000000002"/>
    <x v="2"/>
    <x v="1"/>
    <x v="0"/>
    <n v="0.39800000000000002"/>
  </r>
  <r>
    <n v="2095"/>
    <x v="7"/>
    <x v="4"/>
    <n v="17"/>
    <n v="-3.6259999999999999"/>
    <x v="0"/>
    <x v="0"/>
    <x v="0"/>
    <n v="3.6259999999999999"/>
  </r>
  <r>
    <n v="2096"/>
    <x v="7"/>
    <x v="4"/>
    <n v="19"/>
    <n v="-0.748"/>
    <x v="0"/>
    <x v="0"/>
    <x v="0"/>
    <n v="0.748"/>
  </r>
  <r>
    <n v="2097"/>
    <x v="7"/>
    <x v="4"/>
    <n v="23"/>
    <n v="-13.206"/>
    <x v="0"/>
    <x v="0"/>
    <x v="0"/>
    <n v="13.206"/>
  </r>
  <r>
    <n v="2098"/>
    <x v="7"/>
    <x v="4"/>
    <n v="25"/>
    <n v="-19.8"/>
    <x v="14"/>
    <x v="1"/>
    <x v="0"/>
    <n v="19.8"/>
  </r>
  <r>
    <n v="2099"/>
    <x v="7"/>
    <x v="4"/>
    <n v="25"/>
    <n v="-9.3659999999999997"/>
    <x v="0"/>
    <x v="0"/>
    <x v="0"/>
    <n v="9.3659999999999997"/>
  </r>
  <r>
    <n v="2100"/>
    <x v="7"/>
    <x v="4"/>
    <n v="26"/>
    <n v="492.52600000000001"/>
    <x v="4"/>
    <x v="3"/>
    <x v="1"/>
    <n v="492.52600000000001"/>
  </r>
  <r>
    <n v="2101"/>
    <x v="7"/>
    <x v="4"/>
    <n v="27"/>
    <n v="-8.6"/>
    <x v="7"/>
    <x v="5"/>
    <x v="0"/>
    <n v="8.6"/>
  </r>
  <r>
    <n v="2102"/>
    <x v="7"/>
    <x v="4"/>
    <n v="29"/>
    <n v="-4.1079999999999997"/>
    <x v="0"/>
    <x v="0"/>
    <x v="0"/>
    <n v="4.1079999999999997"/>
  </r>
  <r>
    <n v="2103"/>
    <x v="7"/>
    <x v="4"/>
    <n v="30"/>
    <n v="-0.20400000000000001"/>
    <x v="7"/>
    <x v="5"/>
    <x v="0"/>
    <n v="0.20400000000000001"/>
  </r>
  <r>
    <n v="2104"/>
    <x v="7"/>
    <x v="4"/>
    <n v="30"/>
    <n v="-1.6620000000000001"/>
    <x v="0"/>
    <x v="0"/>
    <x v="0"/>
    <n v="1.6620000000000001"/>
  </r>
  <r>
    <n v="2105"/>
    <x v="7"/>
    <x v="4"/>
    <n v="31"/>
    <n v="-4.1079999999999997"/>
    <x v="7"/>
    <x v="5"/>
    <x v="0"/>
    <n v="4.1079999999999997"/>
  </r>
  <r>
    <n v="2106"/>
    <x v="7"/>
    <x v="4"/>
    <n v="31"/>
    <n v="4.0000000000000001E-3"/>
    <x v="3"/>
    <x v="2"/>
    <x v="1"/>
    <n v="4.0000000000000001E-3"/>
  </r>
  <r>
    <n v="2107"/>
    <x v="7"/>
    <x v="4"/>
    <n v="31"/>
    <n v="-1.198"/>
    <x v="2"/>
    <x v="1"/>
    <x v="0"/>
    <n v="1.198"/>
  </r>
  <r>
    <n v="2108"/>
    <x v="7"/>
    <x v="4"/>
    <n v="31"/>
    <n v="-2E-3"/>
    <x v="2"/>
    <x v="1"/>
    <x v="0"/>
    <n v="2E-3"/>
  </r>
  <r>
    <n v="2109"/>
    <x v="7"/>
    <x v="5"/>
    <n v="1"/>
    <n v="-15.696000000000002"/>
    <x v="0"/>
    <x v="0"/>
    <x v="0"/>
    <n v="15.696000000000002"/>
  </r>
  <r>
    <n v="2110"/>
    <x v="7"/>
    <x v="5"/>
    <n v="2"/>
    <n v="-2.46"/>
    <x v="0"/>
    <x v="0"/>
    <x v="0"/>
    <n v="2.46"/>
  </r>
  <r>
    <n v="2111"/>
    <x v="7"/>
    <x v="5"/>
    <n v="3"/>
    <n v="-4.54"/>
    <x v="21"/>
    <x v="1"/>
    <x v="0"/>
    <n v="4.54"/>
  </r>
  <r>
    <n v="2112"/>
    <x v="7"/>
    <x v="5"/>
    <n v="3"/>
    <n v="-66.058000000000007"/>
    <x v="13"/>
    <x v="1"/>
    <x v="0"/>
    <n v="66.058000000000007"/>
  </r>
  <r>
    <n v="2113"/>
    <x v="7"/>
    <x v="5"/>
    <n v="3"/>
    <n v="-7.38"/>
    <x v="19"/>
    <x v="1"/>
    <x v="0"/>
    <n v="7.38"/>
  </r>
  <r>
    <n v="2114"/>
    <x v="7"/>
    <x v="5"/>
    <n v="3"/>
    <n v="-6.1479999999999997"/>
    <x v="1"/>
    <x v="1"/>
    <x v="0"/>
    <n v="6.1479999999999997"/>
  </r>
  <r>
    <n v="2115"/>
    <x v="7"/>
    <x v="5"/>
    <n v="8"/>
    <n v="-4.5999999999999996"/>
    <x v="0"/>
    <x v="0"/>
    <x v="0"/>
    <n v="4.5999999999999996"/>
  </r>
  <r>
    <n v="2116"/>
    <x v="7"/>
    <x v="5"/>
    <n v="9"/>
    <n v="-0.77800000000000002"/>
    <x v="0"/>
    <x v="0"/>
    <x v="0"/>
    <n v="0.77800000000000002"/>
  </r>
  <r>
    <n v="2117"/>
    <x v="7"/>
    <x v="5"/>
    <n v="13"/>
    <n v="-9.0359999999999996"/>
    <x v="0"/>
    <x v="0"/>
    <x v="0"/>
    <n v="9.0359999999999996"/>
  </r>
  <r>
    <n v="2118"/>
    <x v="7"/>
    <x v="5"/>
    <n v="14"/>
    <n v="-0.39800000000000002"/>
    <x v="2"/>
    <x v="1"/>
    <x v="0"/>
    <n v="0.39800000000000002"/>
  </r>
  <r>
    <n v="2119"/>
    <x v="7"/>
    <x v="5"/>
    <n v="16"/>
    <n v="-37.998000000000005"/>
    <x v="7"/>
    <x v="5"/>
    <x v="0"/>
    <n v="37.998000000000005"/>
  </r>
  <r>
    <n v="2120"/>
    <x v="7"/>
    <x v="5"/>
    <n v="16"/>
    <n v="-68.796000000000006"/>
    <x v="6"/>
    <x v="4"/>
    <x v="0"/>
    <n v="68.796000000000006"/>
  </r>
  <r>
    <n v="2121"/>
    <x v="7"/>
    <x v="5"/>
    <n v="16"/>
    <n v="-12.456"/>
    <x v="7"/>
    <x v="5"/>
    <x v="0"/>
    <n v="12.456"/>
  </r>
  <r>
    <n v="2122"/>
    <x v="7"/>
    <x v="5"/>
    <n v="16"/>
    <n v="-28"/>
    <x v="7"/>
    <x v="5"/>
    <x v="0"/>
    <n v="28"/>
  </r>
  <r>
    <n v="2123"/>
    <x v="7"/>
    <x v="5"/>
    <n v="16"/>
    <n v="-0.8"/>
    <x v="2"/>
    <x v="1"/>
    <x v="0"/>
    <n v="0.8"/>
  </r>
  <r>
    <n v="2124"/>
    <x v="7"/>
    <x v="5"/>
    <n v="16"/>
    <n v="-21.448"/>
    <x v="0"/>
    <x v="0"/>
    <x v="0"/>
    <n v="21.448"/>
  </r>
  <r>
    <n v="2125"/>
    <x v="7"/>
    <x v="5"/>
    <n v="19"/>
    <n v="-6.0819999999999999"/>
    <x v="0"/>
    <x v="0"/>
    <x v="0"/>
    <n v="6.0819999999999999"/>
  </r>
  <r>
    <n v="2126"/>
    <x v="7"/>
    <x v="5"/>
    <n v="22"/>
    <n v="-7.9980000000000002"/>
    <x v="6"/>
    <x v="4"/>
    <x v="0"/>
    <n v="7.9980000000000002"/>
  </r>
  <r>
    <n v="2127"/>
    <x v="7"/>
    <x v="5"/>
    <n v="22"/>
    <n v="-16.78"/>
    <x v="0"/>
    <x v="0"/>
    <x v="0"/>
    <n v="16.78"/>
  </r>
  <r>
    <n v="2128"/>
    <x v="7"/>
    <x v="5"/>
    <n v="23"/>
    <n v="492.52600000000001"/>
    <x v="4"/>
    <x v="3"/>
    <x v="1"/>
    <n v="492.52600000000001"/>
  </r>
  <r>
    <n v="2129"/>
    <x v="7"/>
    <x v="5"/>
    <n v="23"/>
    <n v="-6.2859999999999996"/>
    <x v="0"/>
    <x v="0"/>
    <x v="0"/>
    <n v="6.2859999999999996"/>
  </r>
  <r>
    <n v="2130"/>
    <x v="7"/>
    <x v="5"/>
    <n v="24"/>
    <n v="-247.42"/>
    <x v="15"/>
    <x v="4"/>
    <x v="0"/>
    <n v="247.42"/>
  </r>
  <r>
    <n v="2131"/>
    <x v="7"/>
    <x v="5"/>
    <n v="24"/>
    <n v="-11.864000000000001"/>
    <x v="17"/>
    <x v="4"/>
    <x v="0"/>
    <n v="11.864000000000001"/>
  </r>
  <r>
    <n v="2132"/>
    <x v="7"/>
    <x v="5"/>
    <n v="26"/>
    <n v="-19.8"/>
    <x v="14"/>
    <x v="1"/>
    <x v="0"/>
    <n v="19.8"/>
  </r>
  <r>
    <n v="2133"/>
    <x v="7"/>
    <x v="5"/>
    <n v="26"/>
    <n v="-19.496000000000002"/>
    <x v="17"/>
    <x v="4"/>
    <x v="0"/>
    <n v="19.496000000000002"/>
  </r>
  <r>
    <n v="2134"/>
    <x v="7"/>
    <x v="5"/>
    <n v="28"/>
    <n v="-6.7099999999999991"/>
    <x v="0"/>
    <x v="0"/>
    <x v="0"/>
    <n v="6.7099999999999991"/>
  </r>
  <r>
    <n v="2135"/>
    <x v="7"/>
    <x v="5"/>
    <n v="29"/>
    <n v="-7.9560000000000004"/>
    <x v="0"/>
    <x v="0"/>
    <x v="0"/>
    <n v="7.9560000000000004"/>
  </r>
  <r>
    <n v="2136"/>
    <x v="7"/>
    <x v="5"/>
    <n v="30"/>
    <n v="4.0000000000000001E-3"/>
    <x v="3"/>
    <x v="2"/>
    <x v="1"/>
    <n v="4.0000000000000001E-3"/>
  </r>
  <r>
    <n v="2137"/>
    <x v="7"/>
    <x v="5"/>
    <n v="30"/>
    <n v="-1.198"/>
    <x v="2"/>
    <x v="1"/>
    <x v="0"/>
    <n v="1.198"/>
  </r>
  <r>
    <n v="2138"/>
    <x v="7"/>
    <x v="5"/>
    <n v="30"/>
    <n v="-0.4"/>
    <x v="2"/>
    <x v="1"/>
    <x v="0"/>
    <n v="0.4"/>
  </r>
  <r>
    <n v="2139"/>
    <x v="7"/>
    <x v="5"/>
    <n v="30"/>
    <n v="-2E-3"/>
    <x v="2"/>
    <x v="1"/>
    <x v="0"/>
    <n v="2E-3"/>
  </r>
  <r>
    <n v="2140"/>
    <x v="7"/>
    <x v="6"/>
    <n v="1"/>
    <n v="-40.968000000000004"/>
    <x v="17"/>
    <x v="4"/>
    <x v="0"/>
    <n v="40.968000000000004"/>
  </r>
  <r>
    <n v="2141"/>
    <x v="7"/>
    <x v="6"/>
    <n v="2"/>
    <n v="-4.54"/>
    <x v="21"/>
    <x v="1"/>
    <x v="0"/>
    <n v="4.54"/>
  </r>
  <r>
    <n v="2142"/>
    <x v="7"/>
    <x v="6"/>
    <n v="2"/>
    <n v="-66.058000000000007"/>
    <x v="13"/>
    <x v="1"/>
    <x v="0"/>
    <n v="66.058000000000007"/>
  </r>
  <r>
    <n v="2143"/>
    <x v="7"/>
    <x v="6"/>
    <n v="2"/>
    <n v="-10.786"/>
    <x v="7"/>
    <x v="5"/>
    <x v="0"/>
    <n v="10.786"/>
  </r>
  <r>
    <n v="2144"/>
    <x v="7"/>
    <x v="6"/>
    <n v="2"/>
    <n v="-6.1479999999999997"/>
    <x v="18"/>
    <x v="1"/>
    <x v="0"/>
    <n v="6.1479999999999997"/>
  </r>
  <r>
    <n v="2145"/>
    <x v="7"/>
    <x v="6"/>
    <n v="2"/>
    <n v="-7.38"/>
    <x v="19"/>
    <x v="1"/>
    <x v="0"/>
    <n v="7.38"/>
  </r>
  <r>
    <n v="2146"/>
    <x v="7"/>
    <x v="6"/>
    <n v="2"/>
    <n v="-16.46"/>
    <x v="16"/>
    <x v="1"/>
    <x v="0"/>
    <n v="16.46"/>
  </r>
  <r>
    <n v="2147"/>
    <x v="7"/>
    <x v="6"/>
    <n v="3"/>
    <n v="-8.6"/>
    <x v="7"/>
    <x v="5"/>
    <x v="0"/>
    <n v="8.6"/>
  </r>
  <r>
    <n v="2148"/>
    <x v="7"/>
    <x v="6"/>
    <n v="4"/>
    <n v="-22.158000000000001"/>
    <x v="7"/>
    <x v="5"/>
    <x v="0"/>
    <n v="22.158000000000001"/>
  </r>
  <r>
    <n v="2149"/>
    <x v="7"/>
    <x v="6"/>
    <n v="5"/>
    <n v="-6.29"/>
    <x v="1"/>
    <x v="1"/>
    <x v="0"/>
    <n v="6.29"/>
  </r>
  <r>
    <n v="2150"/>
    <x v="7"/>
    <x v="6"/>
    <n v="7"/>
    <n v="-18.797999999999998"/>
    <x v="17"/>
    <x v="4"/>
    <x v="0"/>
    <n v="18.797999999999998"/>
  </r>
  <r>
    <n v="2151"/>
    <x v="7"/>
    <x v="6"/>
    <n v="8"/>
    <n v="-9.0220000000000002"/>
    <x v="0"/>
    <x v="0"/>
    <x v="0"/>
    <n v="9.0220000000000002"/>
  </r>
  <r>
    <n v="2152"/>
    <x v="7"/>
    <x v="6"/>
    <n v="10"/>
    <n v="12.888"/>
    <x v="3"/>
    <x v="2"/>
    <x v="1"/>
    <n v="12.888"/>
  </r>
  <r>
    <n v="2153"/>
    <x v="7"/>
    <x v="6"/>
    <n v="12"/>
    <n v="-8.3620000000000001"/>
    <x v="0"/>
    <x v="0"/>
    <x v="0"/>
    <n v="8.3620000000000001"/>
  </r>
  <r>
    <n v="2154"/>
    <x v="7"/>
    <x v="6"/>
    <n v="12"/>
    <n v="-1.8559999999999999"/>
    <x v="0"/>
    <x v="0"/>
    <x v="0"/>
    <n v="1.8559999999999999"/>
  </r>
  <r>
    <n v="2155"/>
    <x v="7"/>
    <x v="6"/>
    <n v="13"/>
    <n v="-35.6"/>
    <x v="17"/>
    <x v="4"/>
    <x v="0"/>
    <n v="35.6"/>
  </r>
  <r>
    <n v="2156"/>
    <x v="7"/>
    <x v="6"/>
    <n v="14"/>
    <n v="-0.39800000000000002"/>
    <x v="2"/>
    <x v="1"/>
    <x v="0"/>
    <n v="0.39800000000000002"/>
  </r>
  <r>
    <n v="2157"/>
    <x v="7"/>
    <x v="6"/>
    <n v="15"/>
    <n v="-38.275999999999996"/>
    <x v="7"/>
    <x v="5"/>
    <x v="0"/>
    <n v="38.275999999999996"/>
  </r>
  <r>
    <n v="2158"/>
    <x v="7"/>
    <x v="6"/>
    <n v="16"/>
    <n v="-0.8"/>
    <x v="2"/>
    <x v="1"/>
    <x v="0"/>
    <n v="0.8"/>
  </r>
  <r>
    <n v="2159"/>
    <x v="7"/>
    <x v="6"/>
    <n v="18"/>
    <n v="-4.2700000000000005"/>
    <x v="0"/>
    <x v="0"/>
    <x v="0"/>
    <n v="4.2700000000000005"/>
  </r>
  <r>
    <n v="2160"/>
    <x v="7"/>
    <x v="6"/>
    <n v="19"/>
    <n v="-7.0220000000000002"/>
    <x v="0"/>
    <x v="0"/>
    <x v="0"/>
    <n v="7.0220000000000002"/>
  </r>
  <r>
    <n v="2161"/>
    <x v="7"/>
    <x v="6"/>
    <n v="21"/>
    <n v="-16.240000000000002"/>
    <x v="0"/>
    <x v="0"/>
    <x v="0"/>
    <n v="16.240000000000002"/>
  </r>
  <r>
    <n v="2162"/>
    <x v="7"/>
    <x v="6"/>
    <n v="22"/>
    <n v="-28.326000000000001"/>
    <x v="0"/>
    <x v="0"/>
    <x v="0"/>
    <n v="28.326000000000001"/>
  </r>
  <r>
    <n v="2163"/>
    <x v="7"/>
    <x v="6"/>
    <n v="24"/>
    <n v="-19.8"/>
    <x v="14"/>
    <x v="1"/>
    <x v="0"/>
    <n v="19.8"/>
  </r>
  <r>
    <n v="2164"/>
    <x v="7"/>
    <x v="6"/>
    <n v="24"/>
    <n v="-7.6620000000000008"/>
    <x v="0"/>
    <x v="0"/>
    <x v="0"/>
    <n v="7.6620000000000008"/>
  </r>
  <r>
    <n v="2165"/>
    <x v="7"/>
    <x v="6"/>
    <n v="26"/>
    <n v="492.52600000000001"/>
    <x v="4"/>
    <x v="3"/>
    <x v="1"/>
    <n v="492.52600000000001"/>
  </r>
  <r>
    <n v="2166"/>
    <x v="7"/>
    <x v="6"/>
    <n v="27"/>
    <n v="-13.882"/>
    <x v="0"/>
    <x v="0"/>
    <x v="0"/>
    <n v="13.882"/>
  </r>
  <r>
    <n v="2167"/>
    <x v="7"/>
    <x v="6"/>
    <n v="28"/>
    <n v="-13.616"/>
    <x v="0"/>
    <x v="0"/>
    <x v="0"/>
    <n v="13.616"/>
  </r>
  <r>
    <n v="2168"/>
    <x v="7"/>
    <x v="6"/>
    <n v="31"/>
    <n v="2E-3"/>
    <x v="3"/>
    <x v="2"/>
    <x v="1"/>
    <n v="2E-3"/>
  </r>
  <r>
    <n v="2169"/>
    <x v="7"/>
    <x v="6"/>
    <n v="31"/>
    <n v="-1.198"/>
    <x v="2"/>
    <x v="1"/>
    <x v="0"/>
    <n v="1.198"/>
  </r>
  <r>
    <n v="2170"/>
    <x v="7"/>
    <x v="6"/>
    <n v="31"/>
    <n v="-0.2"/>
    <x v="2"/>
    <x v="1"/>
    <x v="0"/>
    <n v="0.2"/>
  </r>
  <r>
    <n v="2171"/>
    <x v="7"/>
    <x v="6"/>
    <n v="31"/>
    <n v="-2E-3"/>
    <x v="2"/>
    <x v="1"/>
    <x v="0"/>
    <n v="2E-3"/>
  </r>
  <r>
    <n v="2172"/>
    <x v="7"/>
    <x v="7"/>
    <n v="2"/>
    <n v="-6.5980000000000008"/>
    <x v="0"/>
    <x v="0"/>
    <x v="0"/>
    <n v="6.5980000000000008"/>
  </r>
  <r>
    <n v="2173"/>
    <x v="7"/>
    <x v="7"/>
    <n v="3"/>
    <n v="-18.584"/>
    <x v="0"/>
    <x v="0"/>
    <x v="0"/>
    <n v="18.584"/>
  </r>
  <r>
    <n v="2174"/>
    <x v="7"/>
    <x v="7"/>
    <n v="5"/>
    <n v="-15.996"/>
    <x v="7"/>
    <x v="5"/>
    <x v="0"/>
    <n v="15.996"/>
  </r>
  <r>
    <n v="2175"/>
    <x v="7"/>
    <x v="7"/>
    <n v="5"/>
    <n v="-5.1920000000000002"/>
    <x v="7"/>
    <x v="5"/>
    <x v="0"/>
    <n v="5.1920000000000002"/>
  </r>
  <r>
    <n v="2176"/>
    <x v="7"/>
    <x v="7"/>
    <n v="6"/>
    <n v="-4.54"/>
    <x v="21"/>
    <x v="1"/>
    <x v="0"/>
    <n v="4.54"/>
  </r>
  <r>
    <n v="2177"/>
    <x v="7"/>
    <x v="7"/>
    <n v="6"/>
    <n v="-66.058000000000007"/>
    <x v="13"/>
    <x v="1"/>
    <x v="0"/>
    <n v="66.058000000000007"/>
  </r>
  <r>
    <n v="2178"/>
    <x v="7"/>
    <x v="7"/>
    <n v="6"/>
    <n v="-7.38"/>
    <x v="19"/>
    <x v="1"/>
    <x v="0"/>
    <n v="7.38"/>
  </r>
  <r>
    <n v="2179"/>
    <x v="7"/>
    <x v="7"/>
    <n v="6"/>
    <n v="-6.1579999999999995"/>
    <x v="1"/>
    <x v="1"/>
    <x v="0"/>
    <n v="6.1579999999999995"/>
  </r>
  <r>
    <n v="2180"/>
    <x v="7"/>
    <x v="7"/>
    <n v="8"/>
    <n v="-5.1719999999999997"/>
    <x v="0"/>
    <x v="0"/>
    <x v="0"/>
    <n v="5.1719999999999997"/>
  </r>
  <r>
    <n v="2181"/>
    <x v="7"/>
    <x v="7"/>
    <n v="9"/>
    <n v="-0.39800000000000002"/>
    <x v="2"/>
    <x v="1"/>
    <x v="0"/>
    <n v="0.39800000000000002"/>
  </r>
  <r>
    <n v="2182"/>
    <x v="7"/>
    <x v="7"/>
    <n v="10"/>
    <n v="-1.04"/>
    <x v="0"/>
    <x v="0"/>
    <x v="0"/>
    <n v="1.04"/>
  </r>
  <r>
    <n v="2183"/>
    <x v="7"/>
    <x v="7"/>
    <n v="10"/>
    <n v="-6.3420000000000005"/>
    <x v="0"/>
    <x v="0"/>
    <x v="0"/>
    <n v="6.3420000000000005"/>
  </r>
  <r>
    <n v="2184"/>
    <x v="7"/>
    <x v="7"/>
    <n v="10"/>
    <n v="-1.0820000000000001"/>
    <x v="0"/>
    <x v="0"/>
    <x v="0"/>
    <n v="1.0820000000000001"/>
  </r>
  <r>
    <n v="2185"/>
    <x v="7"/>
    <x v="7"/>
    <n v="11"/>
    <n v="-14.6"/>
    <x v="7"/>
    <x v="5"/>
    <x v="0"/>
    <n v="14.6"/>
  </r>
  <r>
    <n v="2186"/>
    <x v="7"/>
    <x v="7"/>
    <n v="12"/>
    <n v="-23.18"/>
    <x v="17"/>
    <x v="4"/>
    <x v="0"/>
    <n v="23.18"/>
  </r>
  <r>
    <n v="2187"/>
    <x v="7"/>
    <x v="7"/>
    <n v="14"/>
    <n v="-18"/>
    <x v="7"/>
    <x v="5"/>
    <x v="0"/>
    <n v="18"/>
  </r>
  <r>
    <n v="2188"/>
    <x v="7"/>
    <x v="7"/>
    <n v="14"/>
    <n v="-20"/>
    <x v="14"/>
    <x v="1"/>
    <x v="0"/>
    <n v="20"/>
  </r>
  <r>
    <n v="2189"/>
    <x v="7"/>
    <x v="7"/>
    <n v="14"/>
    <n v="-28.916000000000004"/>
    <x v="0"/>
    <x v="0"/>
    <x v="0"/>
    <n v="28.916000000000004"/>
  </r>
  <r>
    <n v="2190"/>
    <x v="7"/>
    <x v="7"/>
    <n v="16"/>
    <n v="-0.8"/>
    <x v="2"/>
    <x v="1"/>
    <x v="0"/>
    <n v="0.8"/>
  </r>
  <r>
    <n v="2191"/>
    <x v="7"/>
    <x v="7"/>
    <n v="16"/>
    <n v="-3.1920000000000002"/>
    <x v="0"/>
    <x v="0"/>
    <x v="0"/>
    <n v="3.1920000000000002"/>
  </r>
  <r>
    <n v="2192"/>
    <x v="7"/>
    <x v="7"/>
    <n v="17"/>
    <n v="-4.3259999999999996"/>
    <x v="0"/>
    <x v="0"/>
    <x v="0"/>
    <n v="4.3259999999999996"/>
  </r>
  <r>
    <n v="2193"/>
    <x v="7"/>
    <x v="7"/>
    <n v="17"/>
    <n v="-0.73799999999999999"/>
    <x v="0"/>
    <x v="0"/>
    <x v="0"/>
    <n v="0.73799999999999999"/>
  </r>
  <r>
    <n v="2194"/>
    <x v="7"/>
    <x v="7"/>
    <n v="20"/>
    <n v="-26.04"/>
    <x v="7"/>
    <x v="5"/>
    <x v="0"/>
    <n v="26.04"/>
  </r>
  <r>
    <n v="2195"/>
    <x v="7"/>
    <x v="7"/>
    <n v="20"/>
    <n v="-26.04"/>
    <x v="7"/>
    <x v="5"/>
    <x v="0"/>
    <n v="26.04"/>
  </r>
  <r>
    <n v="2196"/>
    <x v="7"/>
    <x v="7"/>
    <n v="21"/>
    <n v="-17.64"/>
    <x v="7"/>
    <x v="5"/>
    <x v="0"/>
    <n v="17.64"/>
  </r>
  <r>
    <n v="2197"/>
    <x v="7"/>
    <x v="7"/>
    <n v="22"/>
    <n v="-19.8"/>
    <x v="0"/>
    <x v="0"/>
    <x v="0"/>
    <n v="19.8"/>
  </r>
  <r>
    <n v="2198"/>
    <x v="7"/>
    <x v="7"/>
    <n v="22"/>
    <n v="-6.6599999999999993"/>
    <x v="0"/>
    <x v="0"/>
    <x v="0"/>
    <n v="6.6599999999999993"/>
  </r>
  <r>
    <n v="2199"/>
    <x v="7"/>
    <x v="7"/>
    <n v="22"/>
    <n v="-2.444"/>
    <x v="0"/>
    <x v="0"/>
    <x v="0"/>
    <n v="2.444"/>
  </r>
  <r>
    <n v="2200"/>
    <x v="7"/>
    <x v="7"/>
    <n v="23"/>
    <n v="52.878"/>
    <x v="8"/>
    <x v="3"/>
    <x v="1"/>
    <n v="52.878"/>
  </r>
  <r>
    <n v="2201"/>
    <x v="7"/>
    <x v="7"/>
    <n v="23"/>
    <n v="-5.9859999999999998"/>
    <x v="0"/>
    <x v="0"/>
    <x v="0"/>
    <n v="5.9859999999999998"/>
  </r>
  <r>
    <n v="2202"/>
    <x v="7"/>
    <x v="7"/>
    <n v="26"/>
    <n v="-6.9980000000000002"/>
    <x v="6"/>
    <x v="4"/>
    <x v="0"/>
    <n v="6.9980000000000002"/>
  </r>
  <r>
    <n v="2203"/>
    <x v="7"/>
    <x v="7"/>
    <n v="26"/>
    <n v="-12.26"/>
    <x v="0"/>
    <x v="0"/>
    <x v="0"/>
    <n v="12.26"/>
  </r>
  <r>
    <n v="2204"/>
    <x v="7"/>
    <x v="7"/>
    <n v="28"/>
    <n v="492.524"/>
    <x v="4"/>
    <x v="3"/>
    <x v="1"/>
    <n v="492.524"/>
  </r>
  <r>
    <n v="2205"/>
    <x v="7"/>
    <x v="7"/>
    <n v="28"/>
    <n v="-7.5739999999999998"/>
    <x v="0"/>
    <x v="0"/>
    <x v="0"/>
    <n v="7.5739999999999998"/>
  </r>
  <r>
    <n v="2206"/>
    <x v="7"/>
    <x v="7"/>
    <n v="29"/>
    <n v="-4.8940000000000001"/>
    <x v="0"/>
    <x v="0"/>
    <x v="0"/>
    <n v="4.8940000000000001"/>
  </r>
  <r>
    <n v="2207"/>
    <x v="7"/>
    <x v="7"/>
    <n v="30"/>
    <n v="-0.91799999999999993"/>
    <x v="0"/>
    <x v="0"/>
    <x v="0"/>
    <n v="0.91799999999999993"/>
  </r>
  <r>
    <n v="2208"/>
    <x v="7"/>
    <x v="7"/>
    <n v="31"/>
    <n v="4.0000000000000001E-3"/>
    <x v="3"/>
    <x v="2"/>
    <x v="1"/>
    <n v="4.0000000000000001E-3"/>
  </r>
  <r>
    <n v="2209"/>
    <x v="7"/>
    <x v="7"/>
    <n v="31"/>
    <n v="-1.198"/>
    <x v="2"/>
    <x v="1"/>
    <x v="0"/>
    <n v="1.198"/>
  </r>
  <r>
    <n v="2210"/>
    <x v="7"/>
    <x v="7"/>
    <n v="31"/>
    <n v="-0.2"/>
    <x v="2"/>
    <x v="1"/>
    <x v="0"/>
    <n v="0.2"/>
  </r>
  <r>
    <n v="2211"/>
    <x v="7"/>
    <x v="7"/>
    <n v="31"/>
    <n v="-2E-3"/>
    <x v="2"/>
    <x v="1"/>
    <x v="0"/>
    <n v="2E-3"/>
  </r>
  <r>
    <n v="2212"/>
    <x v="7"/>
    <x v="8"/>
    <n v="1"/>
    <n v="-4.5999999999999996"/>
    <x v="0"/>
    <x v="0"/>
    <x v="0"/>
    <n v="4.5999999999999996"/>
  </r>
  <r>
    <n v="2213"/>
    <x v="7"/>
    <x v="8"/>
    <n v="2"/>
    <n v="-4.54"/>
    <x v="21"/>
    <x v="1"/>
    <x v="0"/>
    <n v="4.54"/>
  </r>
  <r>
    <n v="2214"/>
    <x v="7"/>
    <x v="8"/>
    <n v="2"/>
    <n v="-66.058000000000007"/>
    <x v="13"/>
    <x v="1"/>
    <x v="0"/>
    <n v="66.058000000000007"/>
  </r>
  <r>
    <n v="2215"/>
    <x v="7"/>
    <x v="8"/>
    <n v="2"/>
    <n v="-6.34"/>
    <x v="18"/>
    <x v="1"/>
    <x v="0"/>
    <n v="6.34"/>
  </r>
  <r>
    <n v="2216"/>
    <x v="7"/>
    <x v="8"/>
    <n v="2"/>
    <n v="-7.38"/>
    <x v="19"/>
    <x v="1"/>
    <x v="0"/>
    <n v="7.38"/>
  </r>
  <r>
    <n v="2217"/>
    <x v="7"/>
    <x v="8"/>
    <n v="2"/>
    <n v="-13.058000000000002"/>
    <x v="16"/>
    <x v="1"/>
    <x v="0"/>
    <n v="13.058000000000002"/>
  </r>
  <r>
    <n v="2218"/>
    <x v="7"/>
    <x v="8"/>
    <n v="2"/>
    <n v="-8.6"/>
    <x v="7"/>
    <x v="5"/>
    <x v="0"/>
    <n v="8.6"/>
  </r>
  <r>
    <n v="2219"/>
    <x v="7"/>
    <x v="8"/>
    <n v="2"/>
    <n v="-6.9959999999999996"/>
    <x v="1"/>
    <x v="1"/>
    <x v="0"/>
    <n v="6.9959999999999996"/>
  </r>
  <r>
    <n v="2220"/>
    <x v="7"/>
    <x v="8"/>
    <n v="7"/>
    <n v="-2.4460000000000002"/>
    <x v="0"/>
    <x v="0"/>
    <x v="0"/>
    <n v="2.4460000000000002"/>
  </r>
  <r>
    <n v="2221"/>
    <x v="7"/>
    <x v="8"/>
    <n v="7"/>
    <n v="-3.6680000000000001"/>
    <x v="0"/>
    <x v="0"/>
    <x v="0"/>
    <n v="3.6680000000000001"/>
  </r>
  <r>
    <n v="2222"/>
    <x v="7"/>
    <x v="8"/>
    <n v="8"/>
    <n v="-2.2960000000000003"/>
    <x v="0"/>
    <x v="0"/>
    <x v="0"/>
    <n v="2.2960000000000003"/>
  </r>
  <r>
    <n v="2223"/>
    <x v="7"/>
    <x v="8"/>
    <n v="11"/>
    <n v="-1.1519999999999999"/>
    <x v="0"/>
    <x v="0"/>
    <x v="0"/>
    <n v="1.1519999999999999"/>
  </r>
  <r>
    <n v="2224"/>
    <x v="7"/>
    <x v="8"/>
    <n v="11"/>
    <n v="-2.1260000000000003"/>
    <x v="0"/>
    <x v="0"/>
    <x v="0"/>
    <n v="2.1260000000000003"/>
  </r>
  <r>
    <n v="2225"/>
    <x v="7"/>
    <x v="8"/>
    <n v="12"/>
    <n v="-9.9580000000000002"/>
    <x v="0"/>
    <x v="0"/>
    <x v="0"/>
    <n v="9.9580000000000002"/>
  </r>
  <r>
    <n v="2226"/>
    <x v="7"/>
    <x v="8"/>
    <n v="13"/>
    <n v="-0.39800000000000002"/>
    <x v="2"/>
    <x v="1"/>
    <x v="0"/>
    <n v="0.39800000000000002"/>
  </r>
  <r>
    <n v="2227"/>
    <x v="7"/>
    <x v="8"/>
    <n v="16"/>
    <n v="-0.8"/>
    <x v="2"/>
    <x v="1"/>
    <x v="0"/>
    <n v="0.8"/>
  </r>
  <r>
    <n v="2228"/>
    <x v="7"/>
    <x v="8"/>
    <n v="17"/>
    <n v="-38.880000000000003"/>
    <x v="7"/>
    <x v="5"/>
    <x v="0"/>
    <n v="38.880000000000003"/>
  </r>
  <r>
    <n v="2229"/>
    <x v="7"/>
    <x v="8"/>
    <n v="18"/>
    <n v="-19.8"/>
    <x v="14"/>
    <x v="1"/>
    <x v="0"/>
    <n v="19.8"/>
  </r>
  <r>
    <n v="2230"/>
    <x v="7"/>
    <x v="8"/>
    <n v="19"/>
    <n v="-2"/>
    <x v="0"/>
    <x v="0"/>
    <x v="0"/>
    <n v="2"/>
  </r>
  <r>
    <n v="2231"/>
    <x v="7"/>
    <x v="8"/>
    <n v="19"/>
    <n v="-9.9980000000000011"/>
    <x v="0"/>
    <x v="0"/>
    <x v="0"/>
    <n v="9.9980000000000011"/>
  </r>
  <r>
    <n v="2232"/>
    <x v="7"/>
    <x v="8"/>
    <n v="21"/>
    <n v="-45.78"/>
    <x v="7"/>
    <x v="5"/>
    <x v="0"/>
    <n v="45.78"/>
  </r>
  <r>
    <n v="2233"/>
    <x v="7"/>
    <x v="8"/>
    <n v="21"/>
    <n v="-25.85"/>
    <x v="17"/>
    <x v="4"/>
    <x v="0"/>
    <n v="25.85"/>
  </r>
  <r>
    <n v="2234"/>
    <x v="7"/>
    <x v="8"/>
    <n v="21"/>
    <n v="-2.5499999999999998"/>
    <x v="0"/>
    <x v="0"/>
    <x v="0"/>
    <n v="2.5499999999999998"/>
  </r>
  <r>
    <n v="2235"/>
    <x v="7"/>
    <x v="8"/>
    <n v="21"/>
    <n v="-7.7840000000000007"/>
    <x v="0"/>
    <x v="0"/>
    <x v="0"/>
    <n v="7.7840000000000007"/>
  </r>
  <r>
    <n v="2236"/>
    <x v="7"/>
    <x v="8"/>
    <n v="24"/>
    <n v="-14.280000000000001"/>
    <x v="0"/>
    <x v="0"/>
    <x v="0"/>
    <n v="14.280000000000001"/>
  </r>
  <r>
    <n v="2237"/>
    <x v="7"/>
    <x v="8"/>
    <n v="25"/>
    <n v="-3.3180000000000001"/>
    <x v="0"/>
    <x v="0"/>
    <x v="0"/>
    <n v="3.3180000000000001"/>
  </r>
  <r>
    <n v="2238"/>
    <x v="7"/>
    <x v="8"/>
    <n v="26"/>
    <n v="511.11"/>
    <x v="4"/>
    <x v="3"/>
    <x v="1"/>
    <n v="511.11"/>
  </r>
  <r>
    <n v="2239"/>
    <x v="7"/>
    <x v="8"/>
    <n v="30"/>
    <n v="4.0000000000000001E-3"/>
    <x v="3"/>
    <x v="2"/>
    <x v="1"/>
    <n v="4.0000000000000001E-3"/>
  </r>
  <r>
    <n v="2240"/>
    <x v="7"/>
    <x v="8"/>
    <n v="30"/>
    <n v="-1.198"/>
    <x v="2"/>
    <x v="1"/>
    <x v="0"/>
    <n v="1.198"/>
  </r>
  <r>
    <n v="2241"/>
    <x v="7"/>
    <x v="8"/>
    <n v="30"/>
    <n v="-1"/>
    <x v="2"/>
    <x v="1"/>
    <x v="0"/>
    <n v="1"/>
  </r>
  <r>
    <n v="2242"/>
    <x v="7"/>
    <x v="8"/>
    <n v="30"/>
    <n v="-2E-3"/>
    <x v="2"/>
    <x v="1"/>
    <x v="0"/>
    <n v="2E-3"/>
  </r>
  <r>
    <n v="2243"/>
    <x v="7"/>
    <x v="8"/>
    <n v="30"/>
    <n v="-46.4"/>
    <x v="12"/>
    <x v="1"/>
    <x v="0"/>
    <n v="46.4"/>
  </r>
  <r>
    <n v="2244"/>
    <x v="7"/>
    <x v="9"/>
    <n v="1"/>
    <n v="-4.54"/>
    <x v="21"/>
    <x v="1"/>
    <x v="0"/>
    <n v="4.54"/>
  </r>
  <r>
    <n v="2245"/>
    <x v="7"/>
    <x v="9"/>
    <n v="1"/>
    <n v="-66.058000000000007"/>
    <x v="13"/>
    <x v="1"/>
    <x v="0"/>
    <n v="66.058000000000007"/>
  </r>
  <r>
    <n v="2246"/>
    <x v="7"/>
    <x v="9"/>
    <n v="1"/>
    <n v="-7.38"/>
    <x v="19"/>
    <x v="1"/>
    <x v="0"/>
    <n v="7.38"/>
  </r>
  <r>
    <n v="2247"/>
    <x v="7"/>
    <x v="9"/>
    <n v="1"/>
    <n v="-11.778"/>
    <x v="0"/>
    <x v="0"/>
    <x v="0"/>
    <n v="11.778"/>
  </r>
  <r>
    <n v="2248"/>
    <x v="7"/>
    <x v="9"/>
    <n v="3"/>
    <n v="120.2"/>
    <x v="9"/>
    <x v="3"/>
    <x v="1"/>
    <n v="120.2"/>
  </r>
  <r>
    <n v="2249"/>
    <x v="7"/>
    <x v="9"/>
    <n v="6"/>
    <n v="-7.67"/>
    <x v="1"/>
    <x v="1"/>
    <x v="0"/>
    <n v="7.67"/>
  </r>
  <r>
    <n v="2250"/>
    <x v="7"/>
    <x v="9"/>
    <n v="9"/>
    <n v="-8.0259999999999998"/>
    <x v="0"/>
    <x v="0"/>
    <x v="0"/>
    <n v="8.0259999999999998"/>
  </r>
  <r>
    <n v="2251"/>
    <x v="7"/>
    <x v="9"/>
    <n v="9"/>
    <n v="-0.77800000000000002"/>
    <x v="0"/>
    <x v="0"/>
    <x v="0"/>
    <n v="0.77800000000000002"/>
  </r>
  <r>
    <n v="2252"/>
    <x v="7"/>
    <x v="9"/>
    <n v="13"/>
    <n v="-0.39800000000000002"/>
    <x v="2"/>
    <x v="1"/>
    <x v="0"/>
    <n v="0.39800000000000002"/>
  </r>
  <r>
    <n v="2253"/>
    <x v="7"/>
    <x v="9"/>
    <n v="14"/>
    <n v="-10.209999999999999"/>
    <x v="0"/>
    <x v="0"/>
    <x v="0"/>
    <n v="10.209999999999999"/>
  </r>
  <r>
    <n v="2254"/>
    <x v="7"/>
    <x v="9"/>
    <n v="16"/>
    <n v="-0.8"/>
    <x v="2"/>
    <x v="1"/>
    <x v="0"/>
    <n v="0.8"/>
  </r>
  <r>
    <n v="2255"/>
    <x v="7"/>
    <x v="9"/>
    <n v="19"/>
    <n v="-16.347999999999999"/>
    <x v="0"/>
    <x v="0"/>
    <x v="0"/>
    <n v="16.347999999999999"/>
  </r>
  <r>
    <n v="2256"/>
    <x v="7"/>
    <x v="9"/>
    <n v="20"/>
    <n v="-4.4479999999999995"/>
    <x v="0"/>
    <x v="0"/>
    <x v="0"/>
    <n v="4.4479999999999995"/>
  </r>
  <r>
    <n v="2257"/>
    <x v="7"/>
    <x v="9"/>
    <n v="20"/>
    <n v="-0.82799999999999996"/>
    <x v="0"/>
    <x v="0"/>
    <x v="0"/>
    <n v="0.82799999999999996"/>
  </r>
  <r>
    <n v="2258"/>
    <x v="7"/>
    <x v="9"/>
    <n v="23"/>
    <n v="-22.2"/>
    <x v="14"/>
    <x v="1"/>
    <x v="0"/>
    <n v="22.2"/>
  </r>
  <r>
    <n v="2259"/>
    <x v="7"/>
    <x v="9"/>
    <n v="24"/>
    <n v="105.328"/>
    <x v="8"/>
    <x v="3"/>
    <x v="1"/>
    <n v="105.328"/>
  </r>
  <r>
    <n v="2260"/>
    <x v="7"/>
    <x v="9"/>
    <n v="26"/>
    <n v="511.108"/>
    <x v="4"/>
    <x v="3"/>
    <x v="1"/>
    <n v="511.108"/>
  </r>
  <r>
    <n v="2261"/>
    <x v="7"/>
    <x v="9"/>
    <n v="26"/>
    <n v="-9.51"/>
    <x v="0"/>
    <x v="0"/>
    <x v="0"/>
    <n v="9.51"/>
  </r>
  <r>
    <n v="2262"/>
    <x v="7"/>
    <x v="9"/>
    <n v="27"/>
    <n v="-6.99"/>
    <x v="0"/>
    <x v="0"/>
    <x v="0"/>
    <n v="6.99"/>
  </r>
  <r>
    <n v="2263"/>
    <x v="7"/>
    <x v="9"/>
    <n v="28"/>
    <n v="-14.148"/>
    <x v="0"/>
    <x v="0"/>
    <x v="0"/>
    <n v="14.148"/>
  </r>
  <r>
    <n v="2264"/>
    <x v="7"/>
    <x v="9"/>
    <n v="30"/>
    <n v="-8.4"/>
    <x v="0"/>
    <x v="0"/>
    <x v="0"/>
    <n v="8.4"/>
  </r>
  <r>
    <n v="2265"/>
    <x v="7"/>
    <x v="9"/>
    <n v="31"/>
    <n v="2E-3"/>
    <x v="3"/>
    <x v="2"/>
    <x v="1"/>
    <n v="2E-3"/>
  </r>
  <r>
    <n v="2266"/>
    <x v="7"/>
    <x v="9"/>
    <n v="31"/>
    <n v="-1.198"/>
    <x v="2"/>
    <x v="1"/>
    <x v="0"/>
    <n v="1.198"/>
  </r>
  <r>
    <n v="2267"/>
    <x v="7"/>
    <x v="9"/>
    <n v="31"/>
    <n v="-2E-3"/>
    <x v="2"/>
    <x v="1"/>
    <x v="0"/>
    <n v="2E-3"/>
  </r>
  <r>
    <n v="2268"/>
    <x v="7"/>
    <x v="10"/>
    <n v="1"/>
    <n v="-4.54"/>
    <x v="21"/>
    <x v="1"/>
    <x v="0"/>
    <n v="4.54"/>
  </r>
  <r>
    <n v="2269"/>
    <x v="7"/>
    <x v="10"/>
    <n v="1"/>
    <n v="-66.058000000000007"/>
    <x v="13"/>
    <x v="1"/>
    <x v="0"/>
    <n v="66.058000000000007"/>
  </r>
  <r>
    <n v="2270"/>
    <x v="7"/>
    <x v="10"/>
    <n v="1"/>
    <n v="-6.44"/>
    <x v="18"/>
    <x v="1"/>
    <x v="0"/>
    <n v="6.44"/>
  </r>
  <r>
    <n v="2271"/>
    <x v="7"/>
    <x v="10"/>
    <n v="1"/>
    <n v="-7.38"/>
    <x v="19"/>
    <x v="1"/>
    <x v="0"/>
    <n v="7.38"/>
  </r>
  <r>
    <n v="2272"/>
    <x v="7"/>
    <x v="10"/>
    <n v="1"/>
    <n v="-15.013999999999999"/>
    <x v="16"/>
    <x v="1"/>
    <x v="0"/>
    <n v="15.013999999999999"/>
  </r>
  <r>
    <n v="2273"/>
    <x v="7"/>
    <x v="10"/>
    <n v="4"/>
    <n v="-13.752000000000001"/>
    <x v="0"/>
    <x v="0"/>
    <x v="0"/>
    <n v="13.752000000000001"/>
  </r>
  <r>
    <n v="2274"/>
    <x v="7"/>
    <x v="10"/>
    <n v="6"/>
    <n v="-4.21"/>
    <x v="0"/>
    <x v="0"/>
    <x v="0"/>
    <n v="4.21"/>
  </r>
  <r>
    <n v="2275"/>
    <x v="7"/>
    <x v="10"/>
    <n v="9"/>
    <n v="-0.74"/>
    <x v="0"/>
    <x v="0"/>
    <x v="0"/>
    <n v="0.74"/>
  </r>
  <r>
    <n v="2276"/>
    <x v="7"/>
    <x v="10"/>
    <n v="9"/>
    <n v="-4.91"/>
    <x v="0"/>
    <x v="0"/>
    <x v="0"/>
    <n v="4.91"/>
  </r>
  <r>
    <n v="2277"/>
    <x v="7"/>
    <x v="10"/>
    <n v="13"/>
    <n v="-5.2539999999999996"/>
    <x v="0"/>
    <x v="0"/>
    <x v="0"/>
    <n v="5.2539999999999996"/>
  </r>
  <r>
    <n v="2278"/>
    <x v="7"/>
    <x v="10"/>
    <n v="13"/>
    <n v="-0.84600000000000009"/>
    <x v="0"/>
    <x v="0"/>
    <x v="0"/>
    <n v="0.84600000000000009"/>
  </r>
  <r>
    <n v="2279"/>
    <x v="7"/>
    <x v="10"/>
    <n v="15"/>
    <n v="-0.39800000000000002"/>
    <x v="2"/>
    <x v="1"/>
    <x v="0"/>
    <n v="0.39800000000000002"/>
  </r>
  <r>
    <n v="2280"/>
    <x v="7"/>
    <x v="10"/>
    <n v="16"/>
    <n v="-0.8"/>
    <x v="2"/>
    <x v="1"/>
    <x v="0"/>
    <n v="0.8"/>
  </r>
  <r>
    <n v="2281"/>
    <x v="7"/>
    <x v="10"/>
    <n v="16"/>
    <n v="-0.54"/>
    <x v="0"/>
    <x v="0"/>
    <x v="0"/>
    <n v="0.54"/>
  </r>
  <r>
    <n v="2282"/>
    <x v="7"/>
    <x v="10"/>
    <n v="16"/>
    <n v="-6.604000000000001"/>
    <x v="1"/>
    <x v="1"/>
    <x v="0"/>
    <n v="6.604000000000001"/>
  </r>
  <r>
    <n v="2283"/>
    <x v="7"/>
    <x v="10"/>
    <n v="18"/>
    <n v="-41.251999999999995"/>
    <x v="7"/>
    <x v="5"/>
    <x v="0"/>
    <n v="41.251999999999995"/>
  </r>
  <r>
    <n v="2284"/>
    <x v="7"/>
    <x v="10"/>
    <n v="21"/>
    <n v="-13.146000000000001"/>
    <x v="0"/>
    <x v="0"/>
    <x v="0"/>
    <n v="13.146000000000001"/>
  </r>
  <r>
    <n v="2285"/>
    <x v="7"/>
    <x v="10"/>
    <n v="22"/>
    <n v="-5.9979999999999993"/>
    <x v="7"/>
    <x v="5"/>
    <x v="0"/>
    <n v="5.9979999999999993"/>
  </r>
  <r>
    <n v="2286"/>
    <x v="7"/>
    <x v="10"/>
    <n v="24"/>
    <n v="-20.399999999999999"/>
    <x v="14"/>
    <x v="1"/>
    <x v="0"/>
    <n v="20.399999999999999"/>
  </r>
  <r>
    <n v="2287"/>
    <x v="7"/>
    <x v="10"/>
    <n v="24"/>
    <n v="-54.872"/>
    <x v="0"/>
    <x v="0"/>
    <x v="0"/>
    <n v="54.872"/>
  </r>
  <r>
    <n v="2288"/>
    <x v="7"/>
    <x v="10"/>
    <n v="27"/>
    <n v="515.24799999999993"/>
    <x v="4"/>
    <x v="3"/>
    <x v="1"/>
    <n v="515.24799999999993"/>
  </r>
  <r>
    <n v="2289"/>
    <x v="7"/>
    <x v="10"/>
    <n v="28"/>
    <n v="-0.27"/>
    <x v="0"/>
    <x v="0"/>
    <x v="0"/>
    <n v="0.27"/>
  </r>
  <r>
    <n v="2290"/>
    <x v="7"/>
    <x v="10"/>
    <n v="28"/>
    <n v="-8.0259999999999998"/>
    <x v="0"/>
    <x v="0"/>
    <x v="0"/>
    <n v="8.0259999999999998"/>
  </r>
  <r>
    <n v="2291"/>
    <x v="7"/>
    <x v="10"/>
    <n v="30"/>
    <n v="4.0000000000000001E-3"/>
    <x v="3"/>
    <x v="2"/>
    <x v="1"/>
    <n v="4.0000000000000001E-3"/>
  </r>
  <r>
    <n v="2292"/>
    <x v="7"/>
    <x v="10"/>
    <n v="30"/>
    <n v="-1.198"/>
    <x v="2"/>
    <x v="1"/>
    <x v="0"/>
    <n v="1.198"/>
  </r>
  <r>
    <n v="2293"/>
    <x v="7"/>
    <x v="10"/>
    <n v="30"/>
    <n v="-0.3"/>
    <x v="2"/>
    <x v="1"/>
    <x v="0"/>
    <n v="0.3"/>
  </r>
  <r>
    <n v="2294"/>
    <x v="7"/>
    <x v="10"/>
    <n v="30"/>
    <n v="-2E-3"/>
    <x v="2"/>
    <x v="1"/>
    <x v="0"/>
    <n v="2E-3"/>
  </r>
  <r>
    <n v="2295"/>
    <x v="7"/>
    <x v="10"/>
    <n v="30"/>
    <n v="-3.556"/>
    <x v="0"/>
    <x v="0"/>
    <x v="0"/>
    <n v="3.556"/>
  </r>
  <r>
    <n v="2296"/>
    <x v="7"/>
    <x v="11"/>
    <n v="2"/>
    <n v="-4.54"/>
    <x v="21"/>
    <x v="1"/>
    <x v="0"/>
    <n v="4.54"/>
  </r>
  <r>
    <n v="2297"/>
    <x v="7"/>
    <x v="11"/>
    <n v="2"/>
    <n v="-66.058000000000007"/>
    <x v="13"/>
    <x v="1"/>
    <x v="0"/>
    <n v="66.058000000000007"/>
  </r>
  <r>
    <n v="2298"/>
    <x v="7"/>
    <x v="11"/>
    <n v="2"/>
    <n v="-7.38"/>
    <x v="19"/>
    <x v="1"/>
    <x v="0"/>
    <n v="7.38"/>
  </r>
  <r>
    <n v="2299"/>
    <x v="7"/>
    <x v="11"/>
    <n v="2"/>
    <n v="-4.7679999999999998"/>
    <x v="1"/>
    <x v="1"/>
    <x v="0"/>
    <n v="4.7679999999999998"/>
  </r>
  <r>
    <n v="2300"/>
    <x v="7"/>
    <x v="11"/>
    <n v="5"/>
    <n v="-15.069999999999999"/>
    <x v="0"/>
    <x v="0"/>
    <x v="0"/>
    <n v="15.069999999999999"/>
  </r>
  <r>
    <n v="2301"/>
    <x v="7"/>
    <x v="11"/>
    <n v="8"/>
    <n v="-16.350000000000001"/>
    <x v="0"/>
    <x v="0"/>
    <x v="0"/>
    <n v="16.350000000000001"/>
  </r>
  <r>
    <n v="2302"/>
    <x v="7"/>
    <x v="11"/>
    <n v="13"/>
    <n v="-4.2799999999999994"/>
    <x v="0"/>
    <x v="0"/>
    <x v="0"/>
    <n v="4.2799999999999994"/>
  </r>
  <r>
    <n v="2303"/>
    <x v="7"/>
    <x v="11"/>
    <n v="13"/>
    <n v="-4.4619999999999997"/>
    <x v="0"/>
    <x v="0"/>
    <x v="0"/>
    <n v="4.4619999999999997"/>
  </r>
  <r>
    <n v="2304"/>
    <x v="7"/>
    <x v="11"/>
    <n v="14"/>
    <n v="-0.39800000000000002"/>
    <x v="2"/>
    <x v="1"/>
    <x v="0"/>
    <n v="0.39800000000000002"/>
  </r>
  <r>
    <n v="2305"/>
    <x v="7"/>
    <x v="11"/>
    <n v="14"/>
    <n v="554.57799999999997"/>
    <x v="4"/>
    <x v="3"/>
    <x v="1"/>
    <n v="554.57799999999997"/>
  </r>
  <r>
    <n v="2306"/>
    <x v="7"/>
    <x v="11"/>
    <n v="14"/>
    <n v="-8.0019999999999989"/>
    <x v="0"/>
    <x v="0"/>
    <x v="0"/>
    <n v="8.0019999999999989"/>
  </r>
  <r>
    <n v="2307"/>
    <x v="7"/>
    <x v="11"/>
    <n v="15"/>
    <n v="116.4"/>
    <x v="9"/>
    <x v="3"/>
    <x v="1"/>
    <n v="116.4"/>
  </r>
  <r>
    <n v="2308"/>
    <x v="7"/>
    <x v="11"/>
    <n v="15"/>
    <n v="-7.6739999999999995"/>
    <x v="0"/>
    <x v="0"/>
    <x v="0"/>
    <n v="7.6739999999999995"/>
  </r>
  <r>
    <n v="2309"/>
    <x v="7"/>
    <x v="11"/>
    <n v="15"/>
    <n v="-1.5619999999999998"/>
    <x v="0"/>
    <x v="0"/>
    <x v="0"/>
    <n v="1.5619999999999998"/>
  </r>
  <r>
    <n v="2310"/>
    <x v="7"/>
    <x v="11"/>
    <n v="16"/>
    <n v="-0.78"/>
    <x v="7"/>
    <x v="5"/>
    <x v="0"/>
    <n v="0.78"/>
  </r>
  <r>
    <n v="2311"/>
    <x v="7"/>
    <x v="11"/>
    <n v="16"/>
    <n v="-0.8"/>
    <x v="2"/>
    <x v="1"/>
    <x v="0"/>
    <n v="0.8"/>
  </r>
  <r>
    <n v="2312"/>
    <x v="7"/>
    <x v="11"/>
    <n v="16"/>
    <n v="-15.27"/>
    <x v="0"/>
    <x v="0"/>
    <x v="0"/>
    <n v="15.27"/>
  </r>
  <r>
    <n v="2313"/>
    <x v="7"/>
    <x v="11"/>
    <n v="26"/>
    <n v="-10.190000000000001"/>
    <x v="7"/>
    <x v="5"/>
    <x v="0"/>
    <n v="10.190000000000001"/>
  </r>
  <r>
    <n v="2314"/>
    <x v="7"/>
    <x v="11"/>
    <n v="26"/>
    <n v="-4"/>
    <x v="7"/>
    <x v="5"/>
    <x v="0"/>
    <n v="4"/>
  </r>
  <r>
    <n v="2315"/>
    <x v="7"/>
    <x v="11"/>
    <n v="28"/>
    <n v="-15.122"/>
    <x v="17"/>
    <x v="4"/>
    <x v="0"/>
    <n v="15.122"/>
  </r>
  <r>
    <n v="2316"/>
    <x v="7"/>
    <x v="11"/>
    <n v="28"/>
    <n v="-32.466000000000001"/>
    <x v="7"/>
    <x v="5"/>
    <x v="0"/>
    <n v="32.466000000000001"/>
  </r>
  <r>
    <n v="2317"/>
    <x v="7"/>
    <x v="11"/>
    <n v="28"/>
    <n v="-59.998000000000005"/>
    <x v="7"/>
    <x v="5"/>
    <x v="0"/>
    <n v="59.998000000000005"/>
  </r>
  <r>
    <n v="2318"/>
    <x v="7"/>
    <x v="11"/>
    <n v="28"/>
    <n v="-0.54"/>
    <x v="0"/>
    <x v="0"/>
    <x v="0"/>
    <n v="0.54"/>
  </r>
  <r>
    <n v="2319"/>
    <x v="7"/>
    <x v="11"/>
    <n v="29"/>
    <n v="530.95000000000005"/>
    <x v="8"/>
    <x v="3"/>
    <x v="1"/>
    <n v="530.95000000000005"/>
  </r>
  <r>
    <n v="2320"/>
    <x v="7"/>
    <x v="11"/>
    <n v="30"/>
    <n v="-19.8"/>
    <x v="14"/>
    <x v="1"/>
    <x v="0"/>
    <n v="19.8"/>
  </r>
  <r>
    <n v="2321"/>
    <x v="7"/>
    <x v="11"/>
    <n v="30"/>
    <n v="-14.280000000000001"/>
    <x v="7"/>
    <x v="5"/>
    <x v="0"/>
    <n v="14.280000000000001"/>
  </r>
  <r>
    <n v="2322"/>
    <x v="7"/>
    <x v="11"/>
    <n v="30"/>
    <n v="-4.2"/>
    <x v="17"/>
    <x v="4"/>
    <x v="0"/>
    <n v="4.2"/>
  </r>
  <r>
    <n v="2323"/>
    <x v="7"/>
    <x v="11"/>
    <n v="30"/>
    <n v="-24"/>
    <x v="7"/>
    <x v="5"/>
    <x v="0"/>
    <n v="24"/>
  </r>
  <r>
    <n v="2324"/>
    <x v="7"/>
    <x v="11"/>
    <n v="31"/>
    <n v="8.0000000000000002E-3"/>
    <x v="3"/>
    <x v="2"/>
    <x v="1"/>
    <n v="8.0000000000000002E-3"/>
  </r>
  <r>
    <n v="2325"/>
    <x v="7"/>
    <x v="11"/>
    <n v="31"/>
    <n v="-1.198"/>
    <x v="2"/>
    <x v="1"/>
    <x v="0"/>
    <n v="1.198"/>
  </r>
  <r>
    <n v="2326"/>
    <x v="7"/>
    <x v="11"/>
    <n v="31"/>
    <n v="-0.5"/>
    <x v="2"/>
    <x v="1"/>
    <x v="0"/>
    <n v="0.5"/>
  </r>
  <r>
    <n v="2327"/>
    <x v="7"/>
    <x v="11"/>
    <n v="31"/>
    <n v="-2E-3"/>
    <x v="2"/>
    <x v="1"/>
    <x v="0"/>
    <n v="2E-3"/>
  </r>
  <r>
    <n v="2328"/>
    <x v="8"/>
    <x v="0"/>
    <n v="1"/>
    <n v="-5.8"/>
    <x v="1"/>
    <x v="1"/>
    <x v="0"/>
    <n v="5.8"/>
  </r>
  <r>
    <n v="2329"/>
    <x v="8"/>
    <x v="0"/>
    <n v="1"/>
    <n v="-6.34"/>
    <x v="18"/>
    <x v="1"/>
    <x v="0"/>
    <n v="6.34"/>
  </r>
  <r>
    <n v="2330"/>
    <x v="8"/>
    <x v="0"/>
    <n v="1"/>
    <n v="-7.38"/>
    <x v="19"/>
    <x v="1"/>
    <x v="0"/>
    <n v="7.38"/>
  </r>
  <r>
    <n v="2331"/>
    <x v="8"/>
    <x v="0"/>
    <n v="1"/>
    <n v="-5.8"/>
    <x v="7"/>
    <x v="5"/>
    <x v="0"/>
    <n v="5.8"/>
  </r>
  <r>
    <n v="2332"/>
    <x v="8"/>
    <x v="0"/>
    <n v="1"/>
    <n v="-12.952000000000002"/>
    <x v="16"/>
    <x v="1"/>
    <x v="0"/>
    <n v="12.952000000000002"/>
  </r>
  <r>
    <n v="2333"/>
    <x v="8"/>
    <x v="0"/>
    <n v="2"/>
    <n v="-49.03"/>
    <x v="21"/>
    <x v="1"/>
    <x v="0"/>
    <n v="49.03"/>
  </r>
  <r>
    <n v="2334"/>
    <x v="8"/>
    <x v="0"/>
    <n v="3"/>
    <n v="-36"/>
    <x v="0"/>
    <x v="0"/>
    <x v="0"/>
    <n v="36"/>
  </r>
  <r>
    <n v="2335"/>
    <x v="8"/>
    <x v="0"/>
    <n v="3"/>
    <n v="-2.1379999999999999"/>
    <x v="0"/>
    <x v="0"/>
    <x v="0"/>
    <n v="2.1379999999999999"/>
  </r>
  <r>
    <n v="2336"/>
    <x v="8"/>
    <x v="0"/>
    <n v="9"/>
    <n v="-1.8960000000000001"/>
    <x v="0"/>
    <x v="0"/>
    <x v="0"/>
    <n v="1.8960000000000001"/>
  </r>
  <r>
    <n v="2337"/>
    <x v="8"/>
    <x v="0"/>
    <n v="12"/>
    <n v="-0.54"/>
    <x v="0"/>
    <x v="0"/>
    <x v="0"/>
    <n v="0.54"/>
  </r>
  <r>
    <n v="2338"/>
    <x v="8"/>
    <x v="0"/>
    <n v="12"/>
    <n v="-5.1899999999999995"/>
    <x v="0"/>
    <x v="0"/>
    <x v="0"/>
    <n v="5.1899999999999995"/>
  </r>
  <r>
    <n v="2339"/>
    <x v="8"/>
    <x v="0"/>
    <n v="13"/>
    <n v="-67.66"/>
    <x v="13"/>
    <x v="1"/>
    <x v="0"/>
    <n v="67.66"/>
  </r>
  <r>
    <n v="2340"/>
    <x v="8"/>
    <x v="0"/>
    <n v="15"/>
    <n v="-2.9340000000000002"/>
    <x v="0"/>
    <x v="0"/>
    <x v="0"/>
    <n v="2.9340000000000002"/>
  </r>
  <r>
    <n v="2341"/>
    <x v="8"/>
    <x v="0"/>
    <n v="17"/>
    <n v="-0.39800000000000002"/>
    <x v="2"/>
    <x v="1"/>
    <x v="0"/>
    <n v="0.39800000000000002"/>
  </r>
  <r>
    <n v="2342"/>
    <x v="8"/>
    <x v="0"/>
    <n v="17"/>
    <n v="-9.57"/>
    <x v="0"/>
    <x v="0"/>
    <x v="0"/>
    <n v="9.57"/>
  </r>
  <r>
    <n v="2343"/>
    <x v="8"/>
    <x v="0"/>
    <n v="22"/>
    <n v="-6.6859999999999999"/>
    <x v="0"/>
    <x v="0"/>
    <x v="0"/>
    <n v="6.6859999999999999"/>
  </r>
  <r>
    <n v="2344"/>
    <x v="8"/>
    <x v="0"/>
    <n v="25"/>
    <n v="-1.546"/>
    <x v="0"/>
    <x v="0"/>
    <x v="0"/>
    <n v="1.546"/>
  </r>
  <r>
    <n v="2345"/>
    <x v="8"/>
    <x v="0"/>
    <n v="25"/>
    <n v="554.77800000000002"/>
    <x v="4"/>
    <x v="3"/>
    <x v="1"/>
    <n v="554.77800000000002"/>
  </r>
  <r>
    <n v="2346"/>
    <x v="8"/>
    <x v="0"/>
    <n v="25"/>
    <n v="-19.8"/>
    <x v="14"/>
    <x v="1"/>
    <x v="0"/>
    <n v="19.8"/>
  </r>
  <r>
    <n v="2347"/>
    <x v="8"/>
    <x v="0"/>
    <n v="27"/>
    <n v="-8.6"/>
    <x v="7"/>
    <x v="5"/>
    <x v="0"/>
    <n v="8.6"/>
  </r>
  <r>
    <n v="2348"/>
    <x v="8"/>
    <x v="0"/>
    <n v="30"/>
    <n v="-8.4580000000000002"/>
    <x v="0"/>
    <x v="0"/>
    <x v="0"/>
    <n v="8.4580000000000002"/>
  </r>
  <r>
    <n v="2349"/>
    <x v="8"/>
    <x v="0"/>
    <n v="31"/>
    <n v="-0.4"/>
    <x v="2"/>
    <x v="1"/>
    <x v="0"/>
    <n v="0.4"/>
  </r>
  <r>
    <n v="2350"/>
    <x v="8"/>
    <x v="0"/>
    <n v="31"/>
    <n v="4.0000000000000001E-3"/>
    <x v="3"/>
    <x v="2"/>
    <x v="1"/>
    <n v="4.0000000000000001E-3"/>
  </r>
  <r>
    <n v="2351"/>
    <x v="8"/>
    <x v="0"/>
    <n v="31"/>
    <n v="-2E-3"/>
    <x v="2"/>
    <x v="1"/>
    <x v="0"/>
    <n v="2E-3"/>
  </r>
  <r>
    <n v="2352"/>
    <x v="8"/>
    <x v="0"/>
    <n v="31"/>
    <n v="-1.198"/>
    <x v="2"/>
    <x v="1"/>
    <x v="0"/>
    <n v="1.198"/>
  </r>
  <r>
    <n v="2353"/>
    <x v="8"/>
    <x v="1"/>
    <n v="1"/>
    <n v="-0.76"/>
    <x v="0"/>
    <x v="0"/>
    <x v="0"/>
    <n v="0.76"/>
  </r>
  <r>
    <n v="2354"/>
    <x v="8"/>
    <x v="1"/>
    <n v="2"/>
    <n v="495.84"/>
    <x v="5"/>
    <x v="3"/>
    <x v="1"/>
    <n v="495.84"/>
  </r>
  <r>
    <n v="2355"/>
    <x v="8"/>
    <x v="1"/>
    <n v="3"/>
    <n v="-68.489999999999995"/>
    <x v="13"/>
    <x v="1"/>
    <x v="0"/>
    <n v="68.489999999999995"/>
  </r>
  <r>
    <n v="2356"/>
    <x v="8"/>
    <x v="1"/>
    <n v="3"/>
    <n v="-5.8"/>
    <x v="1"/>
    <x v="1"/>
    <x v="0"/>
    <n v="5.8"/>
  </r>
  <r>
    <n v="2357"/>
    <x v="8"/>
    <x v="1"/>
    <n v="3"/>
    <n v="-7.38"/>
    <x v="19"/>
    <x v="1"/>
    <x v="0"/>
    <n v="7.38"/>
  </r>
  <r>
    <n v="2358"/>
    <x v="8"/>
    <x v="1"/>
    <n v="6"/>
    <n v="-3.0940000000000003"/>
    <x v="0"/>
    <x v="0"/>
    <x v="0"/>
    <n v="3.0940000000000003"/>
  </r>
  <r>
    <n v="2359"/>
    <x v="8"/>
    <x v="1"/>
    <n v="7"/>
    <n v="-0.95799999999999996"/>
    <x v="0"/>
    <x v="0"/>
    <x v="0"/>
    <n v="0.95799999999999996"/>
  </r>
  <r>
    <n v="2360"/>
    <x v="8"/>
    <x v="1"/>
    <n v="8"/>
    <n v="-4.8280000000000003"/>
    <x v="0"/>
    <x v="0"/>
    <x v="0"/>
    <n v="4.8280000000000003"/>
  </r>
  <r>
    <n v="2361"/>
    <x v="8"/>
    <x v="1"/>
    <n v="9"/>
    <n v="-3.5460000000000003"/>
    <x v="0"/>
    <x v="0"/>
    <x v="0"/>
    <n v="3.5460000000000003"/>
  </r>
  <r>
    <n v="2362"/>
    <x v="8"/>
    <x v="1"/>
    <n v="10"/>
    <n v="-8.4"/>
    <x v="20"/>
    <x v="1"/>
    <x v="0"/>
    <n v="8.4"/>
  </r>
  <r>
    <n v="2363"/>
    <x v="8"/>
    <x v="1"/>
    <n v="12"/>
    <n v="-6.3680000000000003"/>
    <x v="0"/>
    <x v="0"/>
    <x v="0"/>
    <n v="6.3680000000000003"/>
  </r>
  <r>
    <n v="2364"/>
    <x v="8"/>
    <x v="1"/>
    <n v="13"/>
    <n v="-5.29"/>
    <x v="0"/>
    <x v="0"/>
    <x v="0"/>
    <n v="5.29"/>
  </r>
  <r>
    <n v="2365"/>
    <x v="8"/>
    <x v="1"/>
    <n v="14"/>
    <n v="-0.39800000000000002"/>
    <x v="2"/>
    <x v="1"/>
    <x v="0"/>
    <n v="0.39800000000000002"/>
  </r>
  <r>
    <n v="2366"/>
    <x v="8"/>
    <x v="1"/>
    <n v="16"/>
    <n v="-10.888"/>
    <x v="0"/>
    <x v="0"/>
    <x v="0"/>
    <n v="10.888"/>
  </r>
  <r>
    <n v="2367"/>
    <x v="8"/>
    <x v="1"/>
    <n v="19"/>
    <n v="-6.2479999999999993"/>
    <x v="0"/>
    <x v="0"/>
    <x v="0"/>
    <n v="6.2479999999999993"/>
  </r>
  <r>
    <n v="2368"/>
    <x v="8"/>
    <x v="1"/>
    <n v="20"/>
    <n v="-1.014"/>
    <x v="0"/>
    <x v="0"/>
    <x v="0"/>
    <n v="1.014"/>
  </r>
  <r>
    <n v="2369"/>
    <x v="8"/>
    <x v="1"/>
    <n v="23"/>
    <n v="554.77800000000002"/>
    <x v="4"/>
    <x v="3"/>
    <x v="1"/>
    <n v="554.77800000000002"/>
  </r>
  <r>
    <n v="2370"/>
    <x v="8"/>
    <x v="1"/>
    <n v="23"/>
    <n v="-8.8079999999999998"/>
    <x v="0"/>
    <x v="0"/>
    <x v="0"/>
    <n v="8.8079999999999998"/>
  </r>
  <r>
    <n v="2371"/>
    <x v="8"/>
    <x v="1"/>
    <n v="27"/>
    <n v="-19.8"/>
    <x v="14"/>
    <x v="1"/>
    <x v="0"/>
    <n v="19.8"/>
  </r>
  <r>
    <n v="2372"/>
    <x v="8"/>
    <x v="1"/>
    <n v="27"/>
    <n v="-1.3599999999999999"/>
    <x v="0"/>
    <x v="0"/>
    <x v="0"/>
    <n v="1.3599999999999999"/>
  </r>
  <r>
    <n v="2373"/>
    <x v="8"/>
    <x v="1"/>
    <n v="27"/>
    <n v="-1.56"/>
    <x v="0"/>
    <x v="0"/>
    <x v="0"/>
    <n v="1.56"/>
  </r>
  <r>
    <n v="2374"/>
    <x v="8"/>
    <x v="1"/>
    <n v="28"/>
    <n v="2E-3"/>
    <x v="3"/>
    <x v="2"/>
    <x v="1"/>
    <n v="2E-3"/>
  </r>
  <r>
    <n v="2375"/>
    <x v="8"/>
    <x v="1"/>
    <n v="28"/>
    <n v="-2E-3"/>
    <x v="2"/>
    <x v="1"/>
    <x v="0"/>
    <n v="2E-3"/>
  </r>
  <r>
    <n v="2376"/>
    <x v="8"/>
    <x v="1"/>
    <n v="28"/>
    <n v="-0.4"/>
    <x v="2"/>
    <x v="1"/>
    <x v="0"/>
    <n v="0.4"/>
  </r>
  <r>
    <n v="2377"/>
    <x v="8"/>
    <x v="1"/>
    <n v="28"/>
    <n v="-1.198"/>
    <x v="2"/>
    <x v="1"/>
    <x v="0"/>
    <n v="1.198"/>
  </r>
  <r>
    <n v="2378"/>
    <x v="8"/>
    <x v="2"/>
    <n v="1"/>
    <n v="-10.501999999999999"/>
    <x v="0"/>
    <x v="0"/>
    <x v="0"/>
    <n v="10.501999999999999"/>
  </r>
  <r>
    <n v="2379"/>
    <x v="8"/>
    <x v="2"/>
    <n v="2"/>
    <n v="-7.7879999999999994"/>
    <x v="0"/>
    <x v="0"/>
    <x v="0"/>
    <n v="7.7879999999999994"/>
  </r>
  <r>
    <n v="2380"/>
    <x v="8"/>
    <x v="2"/>
    <n v="3"/>
    <n v="-7.38"/>
    <x v="19"/>
    <x v="1"/>
    <x v="0"/>
    <n v="7.38"/>
  </r>
  <r>
    <n v="2381"/>
    <x v="8"/>
    <x v="2"/>
    <n v="3"/>
    <n v="-5.8"/>
    <x v="1"/>
    <x v="1"/>
    <x v="0"/>
    <n v="5.8"/>
  </r>
  <r>
    <n v="2382"/>
    <x v="8"/>
    <x v="2"/>
    <n v="3"/>
    <n v="-15.222"/>
    <x v="16"/>
    <x v="1"/>
    <x v="0"/>
    <n v="15.222"/>
  </r>
  <r>
    <n v="2383"/>
    <x v="8"/>
    <x v="2"/>
    <n v="3"/>
    <n v="-23.48"/>
    <x v="7"/>
    <x v="5"/>
    <x v="0"/>
    <n v="23.48"/>
  </r>
  <r>
    <n v="2384"/>
    <x v="8"/>
    <x v="2"/>
    <n v="3"/>
    <n v="-68.489999999999995"/>
    <x v="13"/>
    <x v="1"/>
    <x v="0"/>
    <n v="68.489999999999995"/>
  </r>
  <r>
    <n v="2385"/>
    <x v="8"/>
    <x v="2"/>
    <n v="3"/>
    <n v="-6.34"/>
    <x v="18"/>
    <x v="1"/>
    <x v="0"/>
    <n v="6.34"/>
  </r>
  <r>
    <n v="2386"/>
    <x v="8"/>
    <x v="2"/>
    <n v="6"/>
    <n v="-1.4220000000000002"/>
    <x v="0"/>
    <x v="0"/>
    <x v="0"/>
    <n v="1.4220000000000002"/>
  </r>
  <r>
    <n v="2387"/>
    <x v="8"/>
    <x v="2"/>
    <n v="7"/>
    <n v="-9.4659999999999993"/>
    <x v="0"/>
    <x v="0"/>
    <x v="0"/>
    <n v="9.4659999999999993"/>
  </r>
  <r>
    <n v="2388"/>
    <x v="8"/>
    <x v="2"/>
    <n v="7"/>
    <n v="-0.27"/>
    <x v="0"/>
    <x v="0"/>
    <x v="0"/>
    <n v="0.27"/>
  </r>
  <r>
    <n v="2389"/>
    <x v="8"/>
    <x v="2"/>
    <n v="9"/>
    <n v="-4.1579999999999995"/>
    <x v="0"/>
    <x v="0"/>
    <x v="0"/>
    <n v="4.1579999999999995"/>
  </r>
  <r>
    <n v="2390"/>
    <x v="8"/>
    <x v="2"/>
    <n v="14"/>
    <n v="-0.39800000000000002"/>
    <x v="2"/>
    <x v="1"/>
    <x v="0"/>
    <n v="0.39800000000000002"/>
  </r>
  <r>
    <n v="2391"/>
    <x v="8"/>
    <x v="2"/>
    <n v="14"/>
    <n v="-5.1920000000000002"/>
    <x v="0"/>
    <x v="0"/>
    <x v="0"/>
    <n v="5.1920000000000002"/>
  </r>
  <r>
    <n v="2392"/>
    <x v="8"/>
    <x v="2"/>
    <n v="15"/>
    <n v="-4.1880000000000006"/>
    <x v="0"/>
    <x v="0"/>
    <x v="0"/>
    <n v="4.1880000000000006"/>
  </r>
  <r>
    <n v="2393"/>
    <x v="8"/>
    <x v="2"/>
    <n v="16"/>
    <n v="-9.7919999999999998"/>
    <x v="0"/>
    <x v="0"/>
    <x v="0"/>
    <n v="9.7919999999999998"/>
  </r>
  <r>
    <n v="2394"/>
    <x v="8"/>
    <x v="2"/>
    <n v="20"/>
    <n v="-2.0819999999999999"/>
    <x v="0"/>
    <x v="0"/>
    <x v="0"/>
    <n v="2.0819999999999999"/>
  </r>
  <r>
    <n v="2395"/>
    <x v="8"/>
    <x v="2"/>
    <n v="20"/>
    <n v="-1.218"/>
    <x v="0"/>
    <x v="0"/>
    <x v="0"/>
    <n v="1.218"/>
  </r>
  <r>
    <n v="2396"/>
    <x v="8"/>
    <x v="2"/>
    <n v="21"/>
    <n v="-5.7080000000000002"/>
    <x v="0"/>
    <x v="0"/>
    <x v="0"/>
    <n v="5.7080000000000002"/>
  </r>
  <r>
    <n v="2397"/>
    <x v="8"/>
    <x v="2"/>
    <n v="26"/>
    <n v="-3.996"/>
    <x v="0"/>
    <x v="0"/>
    <x v="0"/>
    <n v="3.996"/>
  </r>
  <r>
    <n v="2398"/>
    <x v="8"/>
    <x v="2"/>
    <n v="26"/>
    <n v="554.77800000000002"/>
    <x v="4"/>
    <x v="3"/>
    <x v="1"/>
    <n v="554.77800000000002"/>
  </r>
  <r>
    <n v="2399"/>
    <x v="8"/>
    <x v="2"/>
    <n v="26"/>
    <n v="-3.496"/>
    <x v="0"/>
    <x v="0"/>
    <x v="0"/>
    <n v="3.496"/>
  </r>
  <r>
    <n v="2400"/>
    <x v="8"/>
    <x v="2"/>
    <n v="27"/>
    <n v="-19.8"/>
    <x v="14"/>
    <x v="1"/>
    <x v="0"/>
    <n v="19.8"/>
  </r>
  <r>
    <n v="2401"/>
    <x v="8"/>
    <x v="2"/>
    <n v="27"/>
    <n v="-1"/>
    <x v="7"/>
    <x v="5"/>
    <x v="0"/>
    <n v="1"/>
  </r>
  <r>
    <n v="2402"/>
    <x v="8"/>
    <x v="2"/>
    <n v="28"/>
    <n v="-2.5499999999999998"/>
    <x v="0"/>
    <x v="0"/>
    <x v="0"/>
    <n v="2.5499999999999998"/>
  </r>
  <r>
    <n v="2403"/>
    <x v="8"/>
    <x v="2"/>
    <n v="31"/>
    <n v="-0.4"/>
    <x v="2"/>
    <x v="1"/>
    <x v="0"/>
    <n v="0.4"/>
  </r>
  <r>
    <n v="2404"/>
    <x v="8"/>
    <x v="2"/>
    <n v="31"/>
    <n v="2E-3"/>
    <x v="3"/>
    <x v="2"/>
    <x v="1"/>
    <n v="2E-3"/>
  </r>
  <r>
    <n v="2405"/>
    <x v="8"/>
    <x v="2"/>
    <n v="31"/>
    <n v="-2E-3"/>
    <x v="2"/>
    <x v="1"/>
    <x v="0"/>
    <n v="2E-3"/>
  </r>
  <r>
    <n v="2406"/>
    <x v="8"/>
    <x v="2"/>
    <n v="31"/>
    <n v="-1.198"/>
    <x v="2"/>
    <x v="1"/>
    <x v="0"/>
    <n v="1.198"/>
  </r>
  <r>
    <n v="2407"/>
    <x v="8"/>
    <x v="3"/>
    <n v="4"/>
    <n v="-5.8"/>
    <x v="1"/>
    <x v="1"/>
    <x v="0"/>
    <n v="5.8"/>
  </r>
  <r>
    <n v="2408"/>
    <x v="8"/>
    <x v="3"/>
    <n v="4"/>
    <n v="-68.489999999999995"/>
    <x v="13"/>
    <x v="1"/>
    <x v="0"/>
    <n v="68.489999999999995"/>
  </r>
  <r>
    <n v="2409"/>
    <x v="8"/>
    <x v="3"/>
    <n v="4"/>
    <n v="-7.38"/>
    <x v="19"/>
    <x v="1"/>
    <x v="0"/>
    <n v="7.38"/>
  </r>
  <r>
    <n v="2410"/>
    <x v="8"/>
    <x v="3"/>
    <n v="4"/>
    <n v="-53.091999999999999"/>
    <x v="0"/>
    <x v="0"/>
    <x v="0"/>
    <n v="53.091999999999999"/>
  </r>
  <r>
    <n v="2411"/>
    <x v="8"/>
    <x v="3"/>
    <n v="5"/>
    <n v="1.2"/>
    <x v="9"/>
    <x v="3"/>
    <x v="1"/>
    <n v="1.2"/>
  </r>
  <r>
    <n v="2412"/>
    <x v="8"/>
    <x v="3"/>
    <n v="7"/>
    <n v="-6.7379999999999995"/>
    <x v="17"/>
    <x v="4"/>
    <x v="0"/>
    <n v="6.7379999999999995"/>
  </r>
  <r>
    <n v="2413"/>
    <x v="8"/>
    <x v="3"/>
    <n v="11"/>
    <n v="-7.6079999999999997"/>
    <x v="0"/>
    <x v="0"/>
    <x v="0"/>
    <n v="7.6079999999999997"/>
  </r>
  <r>
    <n v="2414"/>
    <x v="8"/>
    <x v="3"/>
    <n v="14"/>
    <n v="-4.8"/>
    <x v="7"/>
    <x v="5"/>
    <x v="0"/>
    <n v="4.8"/>
  </r>
  <r>
    <n v="2415"/>
    <x v="8"/>
    <x v="3"/>
    <n v="14"/>
    <n v="-11.629999999999999"/>
    <x v="0"/>
    <x v="0"/>
    <x v="0"/>
    <n v="11.629999999999999"/>
  </r>
  <r>
    <n v="2416"/>
    <x v="8"/>
    <x v="3"/>
    <n v="15"/>
    <n v="-14.280000000000001"/>
    <x v="7"/>
    <x v="5"/>
    <x v="0"/>
    <n v="14.280000000000001"/>
  </r>
  <r>
    <n v="2417"/>
    <x v="8"/>
    <x v="3"/>
    <n v="18"/>
    <n v="-0.39800000000000002"/>
    <x v="2"/>
    <x v="1"/>
    <x v="0"/>
    <n v="0.39800000000000002"/>
  </r>
  <r>
    <n v="2418"/>
    <x v="8"/>
    <x v="3"/>
    <n v="23"/>
    <n v="-8.9459999999999997"/>
    <x v="0"/>
    <x v="0"/>
    <x v="0"/>
    <n v="8.9459999999999997"/>
  </r>
  <r>
    <n v="2419"/>
    <x v="8"/>
    <x v="3"/>
    <n v="23"/>
    <n v="-0.54"/>
    <x v="0"/>
    <x v="0"/>
    <x v="0"/>
    <n v="0.54"/>
  </r>
  <r>
    <n v="2420"/>
    <x v="8"/>
    <x v="3"/>
    <n v="24"/>
    <n v="-20.399999999999999"/>
    <x v="14"/>
    <x v="1"/>
    <x v="0"/>
    <n v="20.399999999999999"/>
  </r>
  <r>
    <n v="2421"/>
    <x v="8"/>
    <x v="3"/>
    <n v="25"/>
    <n v="554.77800000000002"/>
    <x v="4"/>
    <x v="3"/>
    <x v="1"/>
    <n v="554.77800000000002"/>
  </r>
  <r>
    <n v="2422"/>
    <x v="8"/>
    <x v="3"/>
    <n v="25"/>
    <n v="-2.6640000000000001"/>
    <x v="0"/>
    <x v="0"/>
    <x v="0"/>
    <n v="2.6640000000000001"/>
  </r>
  <r>
    <n v="2423"/>
    <x v="8"/>
    <x v="3"/>
    <n v="27"/>
    <n v="-7.1579999999999995"/>
    <x v="0"/>
    <x v="0"/>
    <x v="0"/>
    <n v="7.1579999999999995"/>
  </r>
  <r>
    <n v="2424"/>
    <x v="8"/>
    <x v="3"/>
    <n v="27"/>
    <n v="50.137999999999998"/>
    <x v="8"/>
    <x v="3"/>
    <x v="1"/>
    <n v="50.137999999999998"/>
  </r>
  <r>
    <n v="2425"/>
    <x v="8"/>
    <x v="3"/>
    <n v="30"/>
    <n v="4.0000000000000001E-3"/>
    <x v="3"/>
    <x v="2"/>
    <x v="1"/>
    <n v="4.0000000000000001E-3"/>
  </r>
  <r>
    <n v="2426"/>
    <x v="8"/>
    <x v="3"/>
    <n v="30"/>
    <n v="-2E-3"/>
    <x v="2"/>
    <x v="1"/>
    <x v="0"/>
    <n v="2E-3"/>
  </r>
  <r>
    <n v="2427"/>
    <x v="8"/>
    <x v="3"/>
    <n v="30"/>
    <n v="-0.3"/>
    <x v="2"/>
    <x v="1"/>
    <x v="0"/>
    <n v="0.3"/>
  </r>
  <r>
    <n v="2428"/>
    <x v="8"/>
    <x v="3"/>
    <n v="30"/>
    <n v="-1.198"/>
    <x v="2"/>
    <x v="1"/>
    <x v="0"/>
    <n v="1.198"/>
  </r>
  <r>
    <n v="2429"/>
    <x v="8"/>
    <x v="4"/>
    <n v="1"/>
    <n v="-5.8"/>
    <x v="1"/>
    <x v="1"/>
    <x v="0"/>
    <n v="5.8"/>
  </r>
  <r>
    <n v="2430"/>
    <x v="8"/>
    <x v="4"/>
    <n v="1"/>
    <n v="-65.489999999999995"/>
    <x v="13"/>
    <x v="1"/>
    <x v="0"/>
    <n v="65.489999999999995"/>
  </r>
  <r>
    <n v="2431"/>
    <x v="8"/>
    <x v="4"/>
    <n v="1"/>
    <n v="-46.4"/>
    <x v="12"/>
    <x v="1"/>
    <x v="0"/>
    <n v="46.4"/>
  </r>
  <r>
    <n v="2432"/>
    <x v="8"/>
    <x v="4"/>
    <n v="1"/>
    <n v="-7.38"/>
    <x v="19"/>
    <x v="1"/>
    <x v="0"/>
    <n v="7.38"/>
  </r>
  <r>
    <n v="2433"/>
    <x v="8"/>
    <x v="4"/>
    <n v="1"/>
    <n v="-35.200000000000003"/>
    <x v="11"/>
    <x v="1"/>
    <x v="0"/>
    <n v="35.200000000000003"/>
  </r>
  <r>
    <n v="2434"/>
    <x v="8"/>
    <x v="4"/>
    <n v="3"/>
    <n v="-6.34"/>
    <x v="18"/>
    <x v="1"/>
    <x v="0"/>
    <n v="6.34"/>
  </r>
  <r>
    <n v="2435"/>
    <x v="8"/>
    <x v="4"/>
    <n v="3"/>
    <n v="-12.644"/>
    <x v="16"/>
    <x v="1"/>
    <x v="0"/>
    <n v="12.644"/>
  </r>
  <r>
    <n v="2436"/>
    <x v="8"/>
    <x v="4"/>
    <n v="4"/>
    <n v="-16.358000000000001"/>
    <x v="0"/>
    <x v="0"/>
    <x v="0"/>
    <n v="16.358000000000001"/>
  </r>
  <r>
    <n v="2437"/>
    <x v="8"/>
    <x v="4"/>
    <n v="9"/>
    <n v="-5.9240000000000004"/>
    <x v="0"/>
    <x v="0"/>
    <x v="0"/>
    <n v="5.9240000000000004"/>
  </r>
  <r>
    <n v="2438"/>
    <x v="8"/>
    <x v="4"/>
    <n v="11"/>
    <n v="-0.39800000000000002"/>
    <x v="2"/>
    <x v="1"/>
    <x v="0"/>
    <n v="0.39800000000000002"/>
  </r>
  <r>
    <n v="2439"/>
    <x v="8"/>
    <x v="4"/>
    <n v="16"/>
    <n v="-5.9219999999999997"/>
    <x v="0"/>
    <x v="0"/>
    <x v="0"/>
    <n v="5.9219999999999997"/>
  </r>
  <r>
    <n v="2440"/>
    <x v="8"/>
    <x v="4"/>
    <n v="19"/>
    <n v="-3.1840000000000002"/>
    <x v="0"/>
    <x v="0"/>
    <x v="0"/>
    <n v="3.1840000000000002"/>
  </r>
  <r>
    <n v="2441"/>
    <x v="8"/>
    <x v="4"/>
    <n v="21"/>
    <n v="-8.6"/>
    <x v="7"/>
    <x v="5"/>
    <x v="0"/>
    <n v="8.6"/>
  </r>
  <r>
    <n v="2442"/>
    <x v="8"/>
    <x v="4"/>
    <n v="22"/>
    <n v="-10.776"/>
    <x v="0"/>
    <x v="0"/>
    <x v="0"/>
    <n v="10.776"/>
  </r>
  <r>
    <n v="2443"/>
    <x v="8"/>
    <x v="4"/>
    <n v="23"/>
    <n v="-2.0300000000000002"/>
    <x v="0"/>
    <x v="0"/>
    <x v="0"/>
    <n v="2.0300000000000002"/>
  </r>
  <r>
    <n v="2444"/>
    <x v="8"/>
    <x v="4"/>
    <n v="23"/>
    <n v="-1.488"/>
    <x v="0"/>
    <x v="0"/>
    <x v="0"/>
    <n v="1.488"/>
  </r>
  <r>
    <n v="2445"/>
    <x v="8"/>
    <x v="4"/>
    <n v="25"/>
    <n v="554.77800000000002"/>
    <x v="4"/>
    <x v="3"/>
    <x v="1"/>
    <n v="554.77800000000002"/>
  </r>
  <r>
    <n v="2446"/>
    <x v="8"/>
    <x v="4"/>
    <n v="25"/>
    <n v="-10.33"/>
    <x v="0"/>
    <x v="0"/>
    <x v="0"/>
    <n v="10.33"/>
  </r>
  <r>
    <n v="2447"/>
    <x v="8"/>
    <x v="4"/>
    <n v="26"/>
    <n v="-19.8"/>
    <x v="14"/>
    <x v="1"/>
    <x v="0"/>
    <n v="19.8"/>
  </r>
  <r>
    <n v="2448"/>
    <x v="8"/>
    <x v="4"/>
    <n v="27"/>
    <n v="-20.218"/>
    <x v="7"/>
    <x v="5"/>
    <x v="0"/>
    <n v="20.218"/>
  </r>
  <r>
    <n v="2449"/>
    <x v="8"/>
    <x v="4"/>
    <n v="28"/>
    <n v="-38"/>
    <x v="0"/>
    <x v="0"/>
    <x v="0"/>
    <n v="38"/>
  </r>
  <r>
    <n v="2450"/>
    <x v="8"/>
    <x v="4"/>
    <n v="29"/>
    <n v="-8.7059999999999995"/>
    <x v="0"/>
    <x v="0"/>
    <x v="0"/>
    <n v="8.7059999999999995"/>
  </r>
  <r>
    <n v="2451"/>
    <x v="8"/>
    <x v="4"/>
    <n v="31"/>
    <n v="-0.9"/>
    <x v="2"/>
    <x v="1"/>
    <x v="0"/>
    <n v="0.9"/>
  </r>
  <r>
    <n v="2452"/>
    <x v="8"/>
    <x v="4"/>
    <n v="31"/>
    <n v="2E-3"/>
    <x v="3"/>
    <x v="2"/>
    <x v="1"/>
    <n v="2E-3"/>
  </r>
  <r>
    <n v="2453"/>
    <x v="8"/>
    <x v="4"/>
    <n v="31"/>
    <n v="-1.198"/>
    <x v="2"/>
    <x v="1"/>
    <x v="0"/>
    <n v="1.198"/>
  </r>
  <r>
    <n v="2454"/>
    <x v="8"/>
    <x v="4"/>
    <n v="31"/>
    <n v="-2E-3"/>
    <x v="2"/>
    <x v="1"/>
    <x v="0"/>
    <n v="2E-3"/>
  </r>
  <r>
    <n v="2455"/>
    <x v="8"/>
    <x v="5"/>
    <n v="1"/>
    <n v="-7.38"/>
    <x v="19"/>
    <x v="1"/>
    <x v="0"/>
    <n v="7.38"/>
  </r>
  <r>
    <n v="2456"/>
    <x v="8"/>
    <x v="5"/>
    <n v="1"/>
    <n v="-5.8"/>
    <x v="1"/>
    <x v="1"/>
    <x v="0"/>
    <n v="5.8"/>
  </r>
  <r>
    <n v="2457"/>
    <x v="8"/>
    <x v="5"/>
    <n v="1"/>
    <n v="-65.489999999999995"/>
    <x v="13"/>
    <x v="1"/>
    <x v="0"/>
    <n v="65.489999999999995"/>
  </r>
  <r>
    <n v="2458"/>
    <x v="8"/>
    <x v="5"/>
    <n v="1"/>
    <n v="-1.002"/>
    <x v="0"/>
    <x v="0"/>
    <x v="0"/>
    <n v="1.002"/>
  </r>
  <r>
    <n v="2459"/>
    <x v="8"/>
    <x v="5"/>
    <n v="9"/>
    <n v="-22.836000000000002"/>
    <x v="7"/>
    <x v="5"/>
    <x v="0"/>
    <n v="22.836000000000002"/>
  </r>
  <r>
    <n v="2460"/>
    <x v="8"/>
    <x v="5"/>
    <n v="9"/>
    <n v="-5.266"/>
    <x v="0"/>
    <x v="0"/>
    <x v="0"/>
    <n v="5.266"/>
  </r>
  <r>
    <n v="2461"/>
    <x v="8"/>
    <x v="5"/>
    <n v="15"/>
    <n v="-0.39800000000000002"/>
    <x v="2"/>
    <x v="1"/>
    <x v="0"/>
    <n v="0.39800000000000002"/>
  </r>
  <r>
    <n v="2462"/>
    <x v="8"/>
    <x v="5"/>
    <n v="16"/>
    <n v="-20.702000000000002"/>
    <x v="0"/>
    <x v="0"/>
    <x v="0"/>
    <n v="20.702000000000002"/>
  </r>
  <r>
    <n v="2463"/>
    <x v="8"/>
    <x v="5"/>
    <n v="18"/>
    <n v="-8.49"/>
    <x v="0"/>
    <x v="0"/>
    <x v="0"/>
    <n v="8.49"/>
  </r>
  <r>
    <n v="2464"/>
    <x v="8"/>
    <x v="5"/>
    <n v="20"/>
    <n v="-2.8420000000000001"/>
    <x v="0"/>
    <x v="0"/>
    <x v="0"/>
    <n v="2.8420000000000001"/>
  </r>
  <r>
    <n v="2465"/>
    <x v="8"/>
    <x v="5"/>
    <n v="23"/>
    <n v="-12.346"/>
    <x v="0"/>
    <x v="0"/>
    <x v="0"/>
    <n v="12.346"/>
  </r>
  <r>
    <n v="2466"/>
    <x v="8"/>
    <x v="5"/>
    <n v="25"/>
    <n v="-20.399999999999999"/>
    <x v="14"/>
    <x v="1"/>
    <x v="0"/>
    <n v="20.399999999999999"/>
  </r>
  <r>
    <n v="2467"/>
    <x v="8"/>
    <x v="5"/>
    <n v="25"/>
    <n v="554.77800000000002"/>
    <x v="4"/>
    <x v="3"/>
    <x v="1"/>
    <n v="554.77800000000002"/>
  </r>
  <r>
    <n v="2468"/>
    <x v="8"/>
    <x v="5"/>
    <n v="26"/>
    <n v="-1.6679999999999999"/>
    <x v="0"/>
    <x v="0"/>
    <x v="0"/>
    <n v="1.6679999999999999"/>
  </r>
  <r>
    <n v="2469"/>
    <x v="8"/>
    <x v="5"/>
    <n v="27"/>
    <n v="-5.0860000000000003"/>
    <x v="0"/>
    <x v="0"/>
    <x v="0"/>
    <n v="5.0860000000000003"/>
  </r>
  <r>
    <n v="2470"/>
    <x v="8"/>
    <x v="5"/>
    <n v="27"/>
    <n v="-8.6"/>
    <x v="7"/>
    <x v="5"/>
    <x v="0"/>
    <n v="8.6"/>
  </r>
  <r>
    <n v="2471"/>
    <x v="8"/>
    <x v="5"/>
    <n v="28"/>
    <n v="-4.8920000000000003"/>
    <x v="0"/>
    <x v="0"/>
    <x v="0"/>
    <n v="4.8920000000000003"/>
  </r>
  <r>
    <n v="2472"/>
    <x v="8"/>
    <x v="5"/>
    <n v="29"/>
    <n v="-3.4240000000000004"/>
    <x v="0"/>
    <x v="0"/>
    <x v="0"/>
    <n v="3.4240000000000004"/>
  </r>
  <r>
    <n v="2473"/>
    <x v="8"/>
    <x v="5"/>
    <n v="29"/>
    <n v="-0.54"/>
    <x v="0"/>
    <x v="0"/>
    <x v="0"/>
    <n v="0.54"/>
  </r>
  <r>
    <n v="2474"/>
    <x v="8"/>
    <x v="5"/>
    <n v="30"/>
    <n v="-2E-3"/>
    <x v="2"/>
    <x v="1"/>
    <x v="0"/>
    <n v="2E-3"/>
  </r>
  <r>
    <n v="2475"/>
    <x v="8"/>
    <x v="5"/>
    <n v="30"/>
    <n v="-1.198"/>
    <x v="2"/>
    <x v="1"/>
    <x v="0"/>
    <n v="1.198"/>
  </r>
  <r>
    <n v="2476"/>
    <x v="8"/>
    <x v="5"/>
    <n v="30"/>
    <n v="-0.4"/>
    <x v="2"/>
    <x v="1"/>
    <x v="0"/>
    <n v="0.4"/>
  </r>
  <r>
    <n v="2477"/>
    <x v="8"/>
    <x v="5"/>
    <n v="30"/>
    <n v="2E-3"/>
    <x v="3"/>
    <x v="2"/>
    <x v="1"/>
    <n v="2E-3"/>
  </r>
  <r>
    <n v="2478"/>
    <x v="8"/>
    <x v="6"/>
    <n v="1"/>
    <n v="-5.8"/>
    <x v="1"/>
    <x v="1"/>
    <x v="0"/>
    <n v="5.8"/>
  </r>
  <r>
    <n v="2479"/>
    <x v="8"/>
    <x v="6"/>
    <n v="1"/>
    <n v="-7.38"/>
    <x v="19"/>
    <x v="1"/>
    <x v="0"/>
    <n v="7.38"/>
  </r>
  <r>
    <n v="2480"/>
    <x v="8"/>
    <x v="6"/>
    <n v="1"/>
    <n v="-65.489999999999995"/>
    <x v="13"/>
    <x v="1"/>
    <x v="0"/>
    <n v="65.489999999999995"/>
  </r>
  <r>
    <n v="2481"/>
    <x v="8"/>
    <x v="6"/>
    <n v="1"/>
    <n v="-14.084"/>
    <x v="16"/>
    <x v="1"/>
    <x v="0"/>
    <n v="14.084"/>
  </r>
  <r>
    <n v="2482"/>
    <x v="8"/>
    <x v="6"/>
    <n v="1"/>
    <n v="-6.0520000000000005"/>
    <x v="18"/>
    <x v="1"/>
    <x v="0"/>
    <n v="6.0520000000000005"/>
  </r>
  <r>
    <n v="2483"/>
    <x v="8"/>
    <x v="6"/>
    <n v="4"/>
    <n v="-7.6579999999999995"/>
    <x v="0"/>
    <x v="0"/>
    <x v="0"/>
    <n v="7.6579999999999995"/>
  </r>
  <r>
    <n v="2484"/>
    <x v="8"/>
    <x v="6"/>
    <n v="5"/>
    <n v="-7.2640000000000002"/>
    <x v="0"/>
    <x v="0"/>
    <x v="0"/>
    <n v="7.2640000000000002"/>
  </r>
  <r>
    <n v="2485"/>
    <x v="8"/>
    <x v="6"/>
    <n v="11"/>
    <n v="-8.8360000000000003"/>
    <x v="0"/>
    <x v="0"/>
    <x v="0"/>
    <n v="8.8360000000000003"/>
  </r>
  <r>
    <n v="2486"/>
    <x v="8"/>
    <x v="6"/>
    <n v="12"/>
    <n v="-10.492000000000001"/>
    <x v="0"/>
    <x v="0"/>
    <x v="0"/>
    <n v="10.492000000000001"/>
  </r>
  <r>
    <n v="2487"/>
    <x v="8"/>
    <x v="6"/>
    <n v="16"/>
    <n v="-4.91"/>
    <x v="0"/>
    <x v="0"/>
    <x v="0"/>
    <n v="4.91"/>
  </r>
  <r>
    <n v="2488"/>
    <x v="8"/>
    <x v="6"/>
    <n v="17"/>
    <n v="-28"/>
    <x v="0"/>
    <x v="0"/>
    <x v="0"/>
    <n v="28"/>
  </r>
  <r>
    <n v="2489"/>
    <x v="8"/>
    <x v="6"/>
    <n v="17"/>
    <n v="-0.39800000000000002"/>
    <x v="2"/>
    <x v="1"/>
    <x v="0"/>
    <n v="0.39800000000000002"/>
  </r>
  <r>
    <n v="2490"/>
    <x v="8"/>
    <x v="6"/>
    <n v="17"/>
    <n v="-4.5960000000000001"/>
    <x v="6"/>
    <x v="4"/>
    <x v="0"/>
    <n v="4.5960000000000001"/>
  </r>
  <r>
    <n v="2491"/>
    <x v="8"/>
    <x v="6"/>
    <n v="18"/>
    <n v="-0.82599999999999996"/>
    <x v="0"/>
    <x v="0"/>
    <x v="0"/>
    <n v="0.82599999999999996"/>
  </r>
  <r>
    <n v="2492"/>
    <x v="8"/>
    <x v="6"/>
    <n v="18"/>
    <n v="-0.6"/>
    <x v="0"/>
    <x v="0"/>
    <x v="0"/>
    <n v="0.6"/>
  </r>
  <r>
    <n v="2493"/>
    <x v="8"/>
    <x v="6"/>
    <n v="24"/>
    <n v="-20.399999999999999"/>
    <x v="14"/>
    <x v="1"/>
    <x v="0"/>
    <n v="20.399999999999999"/>
  </r>
  <r>
    <n v="2494"/>
    <x v="8"/>
    <x v="6"/>
    <n v="24"/>
    <n v="-7.7239999999999993"/>
    <x v="0"/>
    <x v="0"/>
    <x v="0"/>
    <n v="7.7239999999999993"/>
  </r>
  <r>
    <n v="2495"/>
    <x v="8"/>
    <x v="6"/>
    <n v="25"/>
    <n v="554.77800000000002"/>
    <x v="4"/>
    <x v="3"/>
    <x v="1"/>
    <n v="554.77800000000002"/>
  </r>
  <r>
    <n v="2496"/>
    <x v="8"/>
    <x v="6"/>
    <n v="25"/>
    <n v="-1.46"/>
    <x v="0"/>
    <x v="0"/>
    <x v="0"/>
    <n v="1.46"/>
  </r>
  <r>
    <n v="2497"/>
    <x v="8"/>
    <x v="6"/>
    <n v="25"/>
    <n v="-2.8879999999999999"/>
    <x v="0"/>
    <x v="0"/>
    <x v="0"/>
    <n v="2.8879999999999999"/>
  </r>
  <r>
    <n v="2498"/>
    <x v="8"/>
    <x v="6"/>
    <n v="26"/>
    <n v="-5.9"/>
    <x v="0"/>
    <x v="0"/>
    <x v="0"/>
    <n v="5.9"/>
  </r>
  <r>
    <n v="2499"/>
    <x v="8"/>
    <x v="6"/>
    <n v="28"/>
    <n v="-17.018000000000001"/>
    <x v="0"/>
    <x v="0"/>
    <x v="0"/>
    <n v="17.018000000000001"/>
  </r>
  <r>
    <n v="2500"/>
    <x v="8"/>
    <x v="6"/>
    <n v="29"/>
    <n v="-12.825999999999999"/>
    <x v="7"/>
    <x v="5"/>
    <x v="0"/>
    <n v="12.825999999999999"/>
  </r>
  <r>
    <n v="2501"/>
    <x v="8"/>
    <x v="6"/>
    <n v="31"/>
    <n v="-6.3040000000000003"/>
    <x v="0"/>
    <x v="0"/>
    <x v="0"/>
    <n v="6.3040000000000003"/>
  </r>
  <r>
    <n v="2502"/>
    <x v="8"/>
    <x v="6"/>
    <n v="31"/>
    <n v="4.0000000000000001E-3"/>
    <x v="3"/>
    <x v="2"/>
    <x v="1"/>
    <n v="4.0000000000000001E-3"/>
  </r>
  <r>
    <n v="2503"/>
    <x v="8"/>
    <x v="6"/>
    <n v="31"/>
    <n v="-2E-3"/>
    <x v="2"/>
    <x v="1"/>
    <x v="0"/>
    <n v="2E-3"/>
  </r>
  <r>
    <n v="2504"/>
    <x v="8"/>
    <x v="6"/>
    <n v="31"/>
    <n v="205.334"/>
    <x v="8"/>
    <x v="3"/>
    <x v="1"/>
    <n v="205.334"/>
  </r>
  <r>
    <n v="2505"/>
    <x v="8"/>
    <x v="6"/>
    <n v="31"/>
    <n v="-1.198"/>
    <x v="2"/>
    <x v="1"/>
    <x v="0"/>
    <n v="1.198"/>
  </r>
  <r>
    <n v="2506"/>
    <x v="8"/>
    <x v="6"/>
    <n v="31"/>
    <n v="-1.3640000000000001"/>
    <x v="0"/>
    <x v="0"/>
    <x v="0"/>
    <n v="1.3640000000000001"/>
  </r>
  <r>
    <n v="2507"/>
    <x v="8"/>
    <x v="7"/>
    <n v="1"/>
    <n v="-2.2719999999999998"/>
    <x v="0"/>
    <x v="0"/>
    <x v="0"/>
    <n v="2.2719999999999998"/>
  </r>
  <r>
    <n v="2508"/>
    <x v="8"/>
    <x v="7"/>
    <n v="3"/>
    <n v="-6.8260000000000005"/>
    <x v="0"/>
    <x v="0"/>
    <x v="0"/>
    <n v="6.8260000000000005"/>
  </r>
  <r>
    <n v="2509"/>
    <x v="8"/>
    <x v="7"/>
    <n v="4"/>
    <n v="-5.8"/>
    <x v="1"/>
    <x v="1"/>
    <x v="0"/>
    <n v="5.8"/>
  </r>
  <r>
    <n v="2510"/>
    <x v="8"/>
    <x v="7"/>
    <n v="4"/>
    <n v="-7.38"/>
    <x v="19"/>
    <x v="1"/>
    <x v="0"/>
    <n v="7.38"/>
  </r>
  <r>
    <n v="2511"/>
    <x v="8"/>
    <x v="7"/>
    <n v="4"/>
    <n v="-65.489999999999995"/>
    <x v="13"/>
    <x v="1"/>
    <x v="0"/>
    <n v="65.489999999999995"/>
  </r>
  <r>
    <n v="2512"/>
    <x v="8"/>
    <x v="7"/>
    <n v="7"/>
    <n v="-1.53"/>
    <x v="0"/>
    <x v="0"/>
    <x v="0"/>
    <n v="1.53"/>
  </r>
  <r>
    <n v="2513"/>
    <x v="8"/>
    <x v="7"/>
    <n v="8"/>
    <n v="-4.7380000000000004"/>
    <x v="0"/>
    <x v="0"/>
    <x v="0"/>
    <n v="4.7380000000000004"/>
  </r>
  <r>
    <n v="2514"/>
    <x v="8"/>
    <x v="7"/>
    <n v="9"/>
    <n v="-9.33"/>
    <x v="0"/>
    <x v="0"/>
    <x v="0"/>
    <n v="9.33"/>
  </r>
  <r>
    <n v="2515"/>
    <x v="8"/>
    <x v="7"/>
    <n v="10"/>
    <n v="-3.6280000000000001"/>
    <x v="0"/>
    <x v="0"/>
    <x v="0"/>
    <n v="3.6280000000000001"/>
  </r>
  <r>
    <n v="2516"/>
    <x v="8"/>
    <x v="7"/>
    <n v="14"/>
    <n v="-2.8120000000000003"/>
    <x v="0"/>
    <x v="0"/>
    <x v="0"/>
    <n v="2.8120000000000003"/>
  </r>
  <r>
    <n v="2517"/>
    <x v="8"/>
    <x v="7"/>
    <n v="14"/>
    <n v="-0.39800000000000002"/>
    <x v="2"/>
    <x v="1"/>
    <x v="0"/>
    <n v="0.39800000000000002"/>
  </r>
  <r>
    <n v="2518"/>
    <x v="8"/>
    <x v="7"/>
    <n v="16"/>
    <n v="-8.0120000000000005"/>
    <x v="0"/>
    <x v="0"/>
    <x v="0"/>
    <n v="8.0120000000000005"/>
  </r>
  <r>
    <n v="2519"/>
    <x v="8"/>
    <x v="7"/>
    <n v="17"/>
    <n v="-1.1220000000000001"/>
    <x v="0"/>
    <x v="0"/>
    <x v="0"/>
    <n v="1.1220000000000001"/>
  </r>
  <r>
    <n v="2520"/>
    <x v="8"/>
    <x v="7"/>
    <n v="17"/>
    <n v="-6"/>
    <x v="7"/>
    <x v="5"/>
    <x v="0"/>
    <n v="6"/>
  </r>
  <r>
    <n v="2521"/>
    <x v="8"/>
    <x v="7"/>
    <n v="20"/>
    <n v="-6"/>
    <x v="7"/>
    <x v="5"/>
    <x v="0"/>
    <n v="6"/>
  </r>
  <r>
    <n v="2522"/>
    <x v="8"/>
    <x v="7"/>
    <n v="23"/>
    <n v="-5.4139999999999997"/>
    <x v="0"/>
    <x v="0"/>
    <x v="0"/>
    <n v="5.4139999999999997"/>
  </r>
  <r>
    <n v="2523"/>
    <x v="8"/>
    <x v="7"/>
    <n v="24"/>
    <n v="-13.625999999999999"/>
    <x v="0"/>
    <x v="0"/>
    <x v="0"/>
    <n v="13.625999999999999"/>
  </r>
  <r>
    <n v="2524"/>
    <x v="8"/>
    <x v="7"/>
    <n v="24"/>
    <n v="554.77800000000002"/>
    <x v="4"/>
    <x v="3"/>
    <x v="1"/>
    <n v="554.77800000000002"/>
  </r>
  <r>
    <n v="2525"/>
    <x v="8"/>
    <x v="7"/>
    <n v="25"/>
    <n v="-2.6"/>
    <x v="7"/>
    <x v="5"/>
    <x v="0"/>
    <n v="2.6"/>
  </r>
  <r>
    <n v="2526"/>
    <x v="8"/>
    <x v="7"/>
    <n v="25"/>
    <n v="-19.8"/>
    <x v="14"/>
    <x v="1"/>
    <x v="0"/>
    <n v="19.8"/>
  </r>
  <r>
    <n v="2527"/>
    <x v="8"/>
    <x v="7"/>
    <n v="27"/>
    <n v="-21.997999999999998"/>
    <x v="6"/>
    <x v="4"/>
    <x v="0"/>
    <n v="21.997999999999998"/>
  </r>
  <r>
    <n v="2528"/>
    <x v="8"/>
    <x v="7"/>
    <n v="28"/>
    <n v="-5.67"/>
    <x v="0"/>
    <x v="0"/>
    <x v="0"/>
    <n v="5.67"/>
  </r>
  <r>
    <n v="2529"/>
    <x v="8"/>
    <x v="7"/>
    <n v="31"/>
    <n v="4.0000000000000001E-3"/>
    <x v="3"/>
    <x v="2"/>
    <x v="1"/>
    <n v="4.0000000000000001E-3"/>
  </r>
  <r>
    <n v="2530"/>
    <x v="8"/>
    <x v="7"/>
    <n v="31"/>
    <n v="-2E-3"/>
    <x v="2"/>
    <x v="1"/>
    <x v="0"/>
    <n v="2E-3"/>
  </r>
  <r>
    <n v="2531"/>
    <x v="8"/>
    <x v="7"/>
    <n v="31"/>
    <n v="-0.3"/>
    <x v="2"/>
    <x v="1"/>
    <x v="0"/>
    <n v="0.3"/>
  </r>
  <r>
    <n v="2532"/>
    <x v="8"/>
    <x v="7"/>
    <n v="31"/>
    <n v="-1.198"/>
    <x v="2"/>
    <x v="1"/>
    <x v="0"/>
    <n v="1.198"/>
  </r>
  <r>
    <n v="2533"/>
    <x v="8"/>
    <x v="8"/>
    <n v="1"/>
    <n v="-6.1420000000000003"/>
    <x v="18"/>
    <x v="1"/>
    <x v="0"/>
    <n v="6.1420000000000003"/>
  </r>
  <r>
    <n v="2534"/>
    <x v="8"/>
    <x v="8"/>
    <n v="1"/>
    <n v="-5.8"/>
    <x v="1"/>
    <x v="1"/>
    <x v="0"/>
    <n v="5.8"/>
  </r>
  <r>
    <n v="2535"/>
    <x v="8"/>
    <x v="8"/>
    <n v="1"/>
    <n v="-7.38"/>
    <x v="19"/>
    <x v="1"/>
    <x v="0"/>
    <n v="7.38"/>
  </r>
  <r>
    <n v="2536"/>
    <x v="8"/>
    <x v="8"/>
    <n v="1"/>
    <n v="-13.672000000000001"/>
    <x v="16"/>
    <x v="1"/>
    <x v="0"/>
    <n v="13.672000000000001"/>
  </r>
  <r>
    <n v="2537"/>
    <x v="8"/>
    <x v="8"/>
    <n v="1"/>
    <n v="-65.489999999999995"/>
    <x v="13"/>
    <x v="1"/>
    <x v="0"/>
    <n v="65.489999999999995"/>
  </r>
  <r>
    <n v="2538"/>
    <x v="8"/>
    <x v="8"/>
    <n v="1"/>
    <n v="-46.4"/>
    <x v="12"/>
    <x v="1"/>
    <x v="0"/>
    <n v="46.4"/>
  </r>
  <r>
    <n v="2539"/>
    <x v="8"/>
    <x v="8"/>
    <n v="3"/>
    <n v="-99.8"/>
    <x v="6"/>
    <x v="4"/>
    <x v="0"/>
    <n v="99.8"/>
  </r>
  <r>
    <n v="2540"/>
    <x v="8"/>
    <x v="8"/>
    <n v="4"/>
    <n v="-15.312000000000001"/>
    <x v="0"/>
    <x v="0"/>
    <x v="0"/>
    <n v="15.312000000000001"/>
  </r>
  <r>
    <n v="2541"/>
    <x v="8"/>
    <x v="8"/>
    <n v="5"/>
    <n v="-28"/>
    <x v="7"/>
    <x v="5"/>
    <x v="0"/>
    <n v="28"/>
  </r>
  <r>
    <n v="2542"/>
    <x v="8"/>
    <x v="8"/>
    <n v="6"/>
    <n v="-4.1920000000000002"/>
    <x v="0"/>
    <x v="0"/>
    <x v="0"/>
    <n v="4.1920000000000002"/>
  </r>
  <r>
    <n v="2543"/>
    <x v="8"/>
    <x v="8"/>
    <n v="6"/>
    <n v="-2.7039999999999997"/>
    <x v="0"/>
    <x v="0"/>
    <x v="0"/>
    <n v="2.7039999999999997"/>
  </r>
  <r>
    <n v="2544"/>
    <x v="8"/>
    <x v="8"/>
    <n v="8"/>
    <n v="-47.322000000000003"/>
    <x v="0"/>
    <x v="0"/>
    <x v="0"/>
    <n v="47.322000000000003"/>
  </r>
  <r>
    <n v="2545"/>
    <x v="8"/>
    <x v="8"/>
    <n v="10"/>
    <n v="-11.222"/>
    <x v="0"/>
    <x v="0"/>
    <x v="0"/>
    <n v="11.222"/>
  </r>
  <r>
    <n v="2546"/>
    <x v="8"/>
    <x v="8"/>
    <n v="10"/>
    <n v="-39.47"/>
    <x v="0"/>
    <x v="0"/>
    <x v="0"/>
    <n v="39.47"/>
  </r>
  <r>
    <n v="2547"/>
    <x v="8"/>
    <x v="8"/>
    <n v="10"/>
    <n v="-534.61"/>
    <x v="15"/>
    <x v="4"/>
    <x v="0"/>
    <n v="534.61"/>
  </r>
  <r>
    <n v="2548"/>
    <x v="8"/>
    <x v="8"/>
    <n v="10"/>
    <n v="-4"/>
    <x v="7"/>
    <x v="5"/>
    <x v="0"/>
    <n v="4"/>
  </r>
  <r>
    <n v="2549"/>
    <x v="8"/>
    <x v="8"/>
    <n v="11"/>
    <n v="-25.04"/>
    <x v="0"/>
    <x v="0"/>
    <x v="0"/>
    <n v="25.04"/>
  </r>
  <r>
    <n v="2550"/>
    <x v="8"/>
    <x v="8"/>
    <n v="11"/>
    <n v="-58.470000000000006"/>
    <x v="7"/>
    <x v="5"/>
    <x v="0"/>
    <n v="58.470000000000006"/>
  </r>
  <r>
    <n v="2551"/>
    <x v="8"/>
    <x v="8"/>
    <n v="11"/>
    <n v="-36.781999999999996"/>
    <x v="7"/>
    <x v="5"/>
    <x v="0"/>
    <n v="36.781999999999996"/>
  </r>
  <r>
    <n v="2552"/>
    <x v="8"/>
    <x v="8"/>
    <n v="11"/>
    <n v="-37.998000000000005"/>
    <x v="7"/>
    <x v="5"/>
    <x v="0"/>
    <n v="37.998000000000005"/>
  </r>
  <r>
    <n v="2553"/>
    <x v="8"/>
    <x v="8"/>
    <n v="11"/>
    <n v="-35.6"/>
    <x v="7"/>
    <x v="5"/>
    <x v="0"/>
    <n v="35.6"/>
  </r>
  <r>
    <n v="2554"/>
    <x v="8"/>
    <x v="8"/>
    <n v="13"/>
    <n v="-2.4"/>
    <x v="7"/>
    <x v="5"/>
    <x v="0"/>
    <n v="2.4"/>
  </r>
  <r>
    <n v="2555"/>
    <x v="8"/>
    <x v="8"/>
    <n v="13"/>
    <n v="-2"/>
    <x v="7"/>
    <x v="5"/>
    <x v="0"/>
    <n v="2"/>
  </r>
  <r>
    <n v="2556"/>
    <x v="8"/>
    <x v="8"/>
    <n v="14"/>
    <n v="-38.516000000000005"/>
    <x v="17"/>
    <x v="4"/>
    <x v="0"/>
    <n v="38.516000000000005"/>
  </r>
  <r>
    <n v="2557"/>
    <x v="8"/>
    <x v="8"/>
    <n v="17"/>
    <n v="-6.2859999999999996"/>
    <x v="7"/>
    <x v="5"/>
    <x v="0"/>
    <n v="6.2859999999999996"/>
  </r>
  <r>
    <n v="2558"/>
    <x v="8"/>
    <x v="8"/>
    <n v="17"/>
    <n v="-8.8379999999999992"/>
    <x v="0"/>
    <x v="0"/>
    <x v="0"/>
    <n v="8.8379999999999992"/>
  </r>
  <r>
    <n v="2559"/>
    <x v="8"/>
    <x v="8"/>
    <n v="17"/>
    <n v="-19.8"/>
    <x v="14"/>
    <x v="1"/>
    <x v="0"/>
    <n v="19.8"/>
  </r>
  <r>
    <n v="2560"/>
    <x v="8"/>
    <x v="8"/>
    <n v="18"/>
    <n v="-0.39800000000000002"/>
    <x v="2"/>
    <x v="1"/>
    <x v="0"/>
    <n v="0.39800000000000002"/>
  </r>
  <r>
    <n v="2561"/>
    <x v="8"/>
    <x v="8"/>
    <n v="18"/>
    <n v="-14.276"/>
    <x v="0"/>
    <x v="0"/>
    <x v="0"/>
    <n v="14.276"/>
  </r>
  <r>
    <n v="2562"/>
    <x v="8"/>
    <x v="8"/>
    <n v="25"/>
    <n v="554.77800000000002"/>
    <x v="4"/>
    <x v="3"/>
    <x v="1"/>
    <n v="554.77800000000002"/>
  </r>
  <r>
    <n v="2563"/>
    <x v="8"/>
    <x v="8"/>
    <n v="29"/>
    <n v="-1.198"/>
    <x v="2"/>
    <x v="1"/>
    <x v="0"/>
    <n v="1.198"/>
  </r>
  <r>
    <n v="2564"/>
    <x v="8"/>
    <x v="8"/>
    <n v="29"/>
    <n v="6.0000000000000001E-3"/>
    <x v="3"/>
    <x v="2"/>
    <x v="1"/>
    <n v="6.0000000000000001E-3"/>
  </r>
  <r>
    <n v="2565"/>
    <x v="8"/>
    <x v="8"/>
    <n v="29"/>
    <n v="-1.08"/>
    <x v="0"/>
    <x v="0"/>
    <x v="0"/>
    <n v="1.08"/>
  </r>
  <r>
    <n v="2566"/>
    <x v="8"/>
    <x v="8"/>
    <n v="29"/>
    <n v="-10.906000000000001"/>
    <x v="0"/>
    <x v="0"/>
    <x v="0"/>
    <n v="10.906000000000001"/>
  </r>
  <r>
    <n v="2567"/>
    <x v="8"/>
    <x v="8"/>
    <n v="29"/>
    <n v="-0.5"/>
    <x v="2"/>
    <x v="1"/>
    <x v="0"/>
    <n v="0.5"/>
  </r>
  <r>
    <n v="2568"/>
    <x v="8"/>
    <x v="8"/>
    <n v="29"/>
    <n v="-2E-3"/>
    <x v="2"/>
    <x v="1"/>
    <x v="0"/>
    <n v="2E-3"/>
  </r>
  <r>
    <n v="2569"/>
    <x v="8"/>
    <x v="9"/>
    <n v="1"/>
    <n v="-53.29"/>
    <x v="13"/>
    <x v="1"/>
    <x v="0"/>
    <n v="53.29"/>
  </r>
  <r>
    <n v="2570"/>
    <x v="8"/>
    <x v="9"/>
    <n v="1"/>
    <n v="-7.38"/>
    <x v="19"/>
    <x v="1"/>
    <x v="0"/>
    <n v="7.38"/>
  </r>
  <r>
    <n v="2571"/>
    <x v="8"/>
    <x v="9"/>
    <n v="1"/>
    <n v="-10.8"/>
    <x v="1"/>
    <x v="1"/>
    <x v="0"/>
    <n v="10.8"/>
  </r>
  <r>
    <n v="2572"/>
    <x v="8"/>
    <x v="9"/>
    <n v="2"/>
    <n v="-2.8679999999999999"/>
    <x v="0"/>
    <x v="0"/>
    <x v="0"/>
    <n v="2.8679999999999999"/>
  </r>
  <r>
    <n v="2573"/>
    <x v="8"/>
    <x v="9"/>
    <n v="4"/>
    <n v="130"/>
    <x v="9"/>
    <x v="3"/>
    <x v="1"/>
    <n v="130"/>
  </r>
  <r>
    <n v="2574"/>
    <x v="8"/>
    <x v="9"/>
    <n v="5"/>
    <n v="-2.6219999999999999"/>
    <x v="0"/>
    <x v="0"/>
    <x v="0"/>
    <n v="2.6219999999999999"/>
  </r>
  <r>
    <n v="2575"/>
    <x v="8"/>
    <x v="9"/>
    <n v="6"/>
    <n v="-239.8"/>
    <x v="7"/>
    <x v="5"/>
    <x v="0"/>
    <n v="239.8"/>
  </r>
  <r>
    <n v="2576"/>
    <x v="8"/>
    <x v="9"/>
    <n v="9"/>
    <n v="-6.8140000000000001"/>
    <x v="0"/>
    <x v="0"/>
    <x v="0"/>
    <n v="6.8140000000000001"/>
  </r>
  <r>
    <n v="2577"/>
    <x v="8"/>
    <x v="9"/>
    <n v="10"/>
    <n v="3000"/>
    <x v="10"/>
    <x v="2"/>
    <x v="1"/>
    <n v="3000"/>
  </r>
  <r>
    <n v="2578"/>
    <x v="8"/>
    <x v="9"/>
    <n v="12"/>
    <n v="-2.0739999999999998"/>
    <x v="0"/>
    <x v="0"/>
    <x v="0"/>
    <n v="2.0739999999999998"/>
  </r>
  <r>
    <n v="2579"/>
    <x v="8"/>
    <x v="9"/>
    <n v="12"/>
    <n v="-0.99"/>
    <x v="0"/>
    <x v="0"/>
    <x v="0"/>
    <n v="0.99"/>
  </r>
  <r>
    <n v="2580"/>
    <x v="8"/>
    <x v="9"/>
    <n v="16"/>
    <n v="-0.39800000000000002"/>
    <x v="2"/>
    <x v="1"/>
    <x v="0"/>
    <n v="0.39800000000000002"/>
  </r>
  <r>
    <n v="2581"/>
    <x v="8"/>
    <x v="9"/>
    <n v="19"/>
    <n v="-4.4779999999999998"/>
    <x v="0"/>
    <x v="0"/>
    <x v="0"/>
    <n v="4.4779999999999998"/>
  </r>
  <r>
    <n v="2582"/>
    <x v="8"/>
    <x v="9"/>
    <n v="19"/>
    <n v="-7.9420000000000002"/>
    <x v="0"/>
    <x v="0"/>
    <x v="0"/>
    <n v="7.9420000000000002"/>
  </r>
  <r>
    <n v="2583"/>
    <x v="8"/>
    <x v="9"/>
    <n v="23"/>
    <n v="-0.79"/>
    <x v="0"/>
    <x v="0"/>
    <x v="0"/>
    <n v="0.79"/>
  </r>
  <r>
    <n v="2584"/>
    <x v="8"/>
    <x v="9"/>
    <n v="24"/>
    <n v="-11.837999999999999"/>
    <x v="0"/>
    <x v="0"/>
    <x v="0"/>
    <n v="11.837999999999999"/>
  </r>
  <r>
    <n v="2585"/>
    <x v="8"/>
    <x v="9"/>
    <n v="25"/>
    <n v="554.77800000000002"/>
    <x v="4"/>
    <x v="3"/>
    <x v="1"/>
    <n v="554.77800000000002"/>
  </r>
  <r>
    <n v="2586"/>
    <x v="8"/>
    <x v="9"/>
    <n v="26"/>
    <n v="-0.57999999999999996"/>
    <x v="0"/>
    <x v="0"/>
    <x v="0"/>
    <n v="0.57999999999999996"/>
  </r>
  <r>
    <n v="2587"/>
    <x v="8"/>
    <x v="9"/>
    <n v="27"/>
    <n v="-19.8"/>
    <x v="14"/>
    <x v="1"/>
    <x v="0"/>
    <n v="19.8"/>
  </r>
  <r>
    <n v="2588"/>
    <x v="8"/>
    <x v="9"/>
    <n v="27"/>
    <n v="-17.375999999999998"/>
    <x v="0"/>
    <x v="0"/>
    <x v="0"/>
    <n v="17.375999999999998"/>
  </r>
  <r>
    <n v="2589"/>
    <x v="8"/>
    <x v="9"/>
    <n v="29"/>
    <n v="-4.6319999999999997"/>
    <x v="0"/>
    <x v="0"/>
    <x v="0"/>
    <n v="4.6319999999999997"/>
  </r>
  <r>
    <n v="2590"/>
    <x v="8"/>
    <x v="9"/>
    <n v="31"/>
    <n v="-2.8679999999999999"/>
    <x v="0"/>
    <x v="0"/>
    <x v="0"/>
    <n v="2.8679999999999999"/>
  </r>
  <r>
    <n v="2591"/>
    <x v="8"/>
    <x v="9"/>
    <n v="31"/>
    <n v="229.92800000000003"/>
    <x v="8"/>
    <x v="3"/>
    <x v="1"/>
    <n v="229.92800000000003"/>
  </r>
  <r>
    <n v="2592"/>
    <x v="8"/>
    <x v="9"/>
    <n v="31"/>
    <n v="-0.82"/>
    <x v="0"/>
    <x v="0"/>
    <x v="0"/>
    <n v="0.82"/>
  </r>
  <r>
    <n v="2593"/>
    <x v="8"/>
    <x v="9"/>
    <n v="31"/>
    <n v="-2E-3"/>
    <x v="2"/>
    <x v="1"/>
    <x v="0"/>
    <n v="2E-3"/>
  </r>
  <r>
    <n v="2594"/>
    <x v="8"/>
    <x v="9"/>
    <n v="31"/>
    <n v="-0.998"/>
    <x v="7"/>
    <x v="5"/>
    <x v="0"/>
    <n v="0.998"/>
  </r>
  <r>
    <n v="2595"/>
    <x v="8"/>
    <x v="9"/>
    <n v="31"/>
    <n v="-0.54"/>
    <x v="0"/>
    <x v="0"/>
    <x v="0"/>
    <n v="0.54"/>
  </r>
  <r>
    <n v="2596"/>
    <x v="8"/>
    <x v="9"/>
    <n v="31"/>
    <n v="-1.198"/>
    <x v="2"/>
    <x v="1"/>
    <x v="0"/>
    <n v="1.198"/>
  </r>
  <r>
    <n v="2597"/>
    <x v="8"/>
    <x v="9"/>
    <n v="31"/>
    <n v="8.0000000000000002E-3"/>
    <x v="3"/>
    <x v="2"/>
    <x v="1"/>
    <n v="8.0000000000000002E-3"/>
  </r>
  <r>
    <n v="2598"/>
    <x v="8"/>
    <x v="10"/>
    <n v="1"/>
    <n v="-6.1420000000000003"/>
    <x v="18"/>
    <x v="1"/>
    <x v="0"/>
    <n v="6.1420000000000003"/>
  </r>
  <r>
    <n v="2599"/>
    <x v="8"/>
    <x v="10"/>
    <n v="1"/>
    <n v="-93.289999999999992"/>
    <x v="13"/>
    <x v="1"/>
    <x v="0"/>
    <n v="93.289999999999992"/>
  </r>
  <r>
    <n v="2600"/>
    <x v="8"/>
    <x v="10"/>
    <n v="1"/>
    <n v="-5.8"/>
    <x v="1"/>
    <x v="1"/>
    <x v="0"/>
    <n v="5.8"/>
  </r>
  <r>
    <n v="2601"/>
    <x v="8"/>
    <x v="10"/>
    <n v="1"/>
    <n v="-17.175999999999998"/>
    <x v="16"/>
    <x v="1"/>
    <x v="0"/>
    <n v="17.175999999999998"/>
  </r>
  <r>
    <n v="2602"/>
    <x v="8"/>
    <x v="10"/>
    <n v="1"/>
    <n v="-7.38"/>
    <x v="19"/>
    <x v="1"/>
    <x v="0"/>
    <n v="7.38"/>
  </r>
  <r>
    <n v="2603"/>
    <x v="8"/>
    <x v="10"/>
    <n v="3"/>
    <n v="-8.4879999999999995"/>
    <x v="0"/>
    <x v="0"/>
    <x v="0"/>
    <n v="8.4879999999999995"/>
  </r>
  <r>
    <n v="2604"/>
    <x v="8"/>
    <x v="10"/>
    <n v="6"/>
    <n v="-1.768"/>
    <x v="0"/>
    <x v="0"/>
    <x v="0"/>
    <n v="1.768"/>
  </r>
  <r>
    <n v="2605"/>
    <x v="8"/>
    <x v="10"/>
    <n v="8"/>
    <n v="-28.556000000000001"/>
    <x v="7"/>
    <x v="5"/>
    <x v="0"/>
    <n v="28.556000000000001"/>
  </r>
  <r>
    <n v="2606"/>
    <x v="8"/>
    <x v="10"/>
    <n v="8"/>
    <n v="-11.641999999999999"/>
    <x v="0"/>
    <x v="0"/>
    <x v="0"/>
    <n v="11.641999999999999"/>
  </r>
  <r>
    <n v="2607"/>
    <x v="8"/>
    <x v="10"/>
    <n v="9"/>
    <n v="-1.9100000000000001"/>
    <x v="0"/>
    <x v="0"/>
    <x v="0"/>
    <n v="1.9100000000000001"/>
  </r>
  <r>
    <n v="2608"/>
    <x v="8"/>
    <x v="10"/>
    <n v="10"/>
    <n v="-9.8339999999999996"/>
    <x v="0"/>
    <x v="0"/>
    <x v="0"/>
    <n v="9.8339999999999996"/>
  </r>
  <r>
    <n v="2609"/>
    <x v="8"/>
    <x v="10"/>
    <n v="13"/>
    <n v="-0.39800000000000002"/>
    <x v="2"/>
    <x v="1"/>
    <x v="0"/>
    <n v="0.39800000000000002"/>
  </r>
  <r>
    <n v="2610"/>
    <x v="8"/>
    <x v="10"/>
    <n v="16"/>
    <n v="-1.474"/>
    <x v="0"/>
    <x v="0"/>
    <x v="0"/>
    <n v="1.474"/>
  </r>
  <r>
    <n v="2611"/>
    <x v="8"/>
    <x v="10"/>
    <n v="16"/>
    <n v="-0.54"/>
    <x v="0"/>
    <x v="0"/>
    <x v="0"/>
    <n v="0.54"/>
  </r>
  <r>
    <n v="2612"/>
    <x v="8"/>
    <x v="10"/>
    <n v="20"/>
    <n v="-1.7120000000000002"/>
    <x v="0"/>
    <x v="0"/>
    <x v="0"/>
    <n v="1.7120000000000002"/>
  </r>
  <r>
    <n v="2613"/>
    <x v="8"/>
    <x v="10"/>
    <n v="23"/>
    <n v="-11"/>
    <x v="0"/>
    <x v="0"/>
    <x v="0"/>
    <n v="11"/>
  </r>
  <r>
    <n v="2614"/>
    <x v="8"/>
    <x v="10"/>
    <n v="23"/>
    <n v="559.48599999999999"/>
    <x v="4"/>
    <x v="3"/>
    <x v="1"/>
    <n v="559.48599999999999"/>
  </r>
  <r>
    <n v="2615"/>
    <x v="8"/>
    <x v="10"/>
    <n v="26"/>
    <n v="-9.0259999999999998"/>
    <x v="0"/>
    <x v="0"/>
    <x v="0"/>
    <n v="9.0259999999999998"/>
  </r>
  <r>
    <n v="2616"/>
    <x v="8"/>
    <x v="10"/>
    <n v="26"/>
    <n v="-39.700000000000003"/>
    <x v="7"/>
    <x v="5"/>
    <x v="0"/>
    <n v="39.700000000000003"/>
  </r>
  <r>
    <n v="2617"/>
    <x v="8"/>
    <x v="10"/>
    <n v="27"/>
    <n v="-20.399999999999999"/>
    <x v="14"/>
    <x v="1"/>
    <x v="0"/>
    <n v="20.399999999999999"/>
  </r>
  <r>
    <n v="2618"/>
    <x v="8"/>
    <x v="10"/>
    <n v="27"/>
    <n v="-55.065999999999995"/>
    <x v="7"/>
    <x v="5"/>
    <x v="0"/>
    <n v="55.065999999999995"/>
  </r>
  <r>
    <n v="2619"/>
    <x v="8"/>
    <x v="10"/>
    <n v="27"/>
    <n v="-0.27"/>
    <x v="0"/>
    <x v="0"/>
    <x v="0"/>
    <n v="0.27"/>
  </r>
  <r>
    <n v="2620"/>
    <x v="8"/>
    <x v="10"/>
    <n v="28"/>
    <n v="-28.766000000000002"/>
    <x v="7"/>
    <x v="5"/>
    <x v="0"/>
    <n v="28.766000000000002"/>
  </r>
  <r>
    <n v="2621"/>
    <x v="8"/>
    <x v="10"/>
    <n v="29"/>
    <n v="-10.738"/>
    <x v="0"/>
    <x v="0"/>
    <x v="0"/>
    <n v="10.738"/>
  </r>
  <r>
    <n v="2622"/>
    <x v="8"/>
    <x v="10"/>
    <n v="30"/>
    <n v="-2E-3"/>
    <x v="2"/>
    <x v="1"/>
    <x v="0"/>
    <n v="2E-3"/>
  </r>
  <r>
    <n v="2623"/>
    <x v="8"/>
    <x v="10"/>
    <n v="30"/>
    <n v="-0.57999999999999996"/>
    <x v="0"/>
    <x v="0"/>
    <x v="0"/>
    <n v="0.57999999999999996"/>
  </r>
  <r>
    <n v="2624"/>
    <x v="8"/>
    <x v="10"/>
    <n v="30"/>
    <n v="-1.198"/>
    <x v="2"/>
    <x v="1"/>
    <x v="0"/>
    <n v="1.198"/>
  </r>
  <r>
    <n v="2625"/>
    <x v="8"/>
    <x v="10"/>
    <n v="30"/>
    <n v="2E-3"/>
    <x v="3"/>
    <x v="2"/>
    <x v="1"/>
    <n v="2E-3"/>
  </r>
  <r>
    <n v="2626"/>
    <x v="8"/>
    <x v="11"/>
    <n v="1"/>
    <n v="-7.38"/>
    <x v="19"/>
    <x v="1"/>
    <x v="0"/>
    <n v="7.38"/>
  </r>
  <r>
    <n v="2627"/>
    <x v="8"/>
    <x v="11"/>
    <n v="1"/>
    <n v="-4.0000000000000001E-3"/>
    <x v="7"/>
    <x v="5"/>
    <x v="0"/>
    <n v="4.0000000000000001E-3"/>
  </r>
  <r>
    <n v="2628"/>
    <x v="8"/>
    <x v="11"/>
    <n v="1"/>
    <n v="-84.89"/>
    <x v="13"/>
    <x v="1"/>
    <x v="0"/>
    <n v="84.89"/>
  </r>
  <r>
    <n v="2629"/>
    <x v="8"/>
    <x v="11"/>
    <n v="1"/>
    <n v="-5.8"/>
    <x v="1"/>
    <x v="1"/>
    <x v="0"/>
    <n v="5.8"/>
  </r>
  <r>
    <n v="2630"/>
    <x v="8"/>
    <x v="11"/>
    <n v="5"/>
    <n v="-17.167999999999999"/>
    <x v="0"/>
    <x v="0"/>
    <x v="0"/>
    <n v="17.167999999999999"/>
  </r>
  <r>
    <n v="2631"/>
    <x v="8"/>
    <x v="11"/>
    <n v="5"/>
    <n v="-0.3"/>
    <x v="0"/>
    <x v="0"/>
    <x v="0"/>
    <n v="0.3"/>
  </r>
  <r>
    <n v="2632"/>
    <x v="8"/>
    <x v="11"/>
    <n v="6"/>
    <n v="-7.63"/>
    <x v="0"/>
    <x v="0"/>
    <x v="0"/>
    <n v="7.63"/>
  </r>
  <r>
    <n v="2633"/>
    <x v="8"/>
    <x v="11"/>
    <n v="7"/>
    <n v="-0.59800000000000009"/>
    <x v="0"/>
    <x v="0"/>
    <x v="0"/>
    <n v="0.59800000000000009"/>
  </r>
  <r>
    <n v="2634"/>
    <x v="8"/>
    <x v="11"/>
    <n v="12"/>
    <n v="-15.587999999999999"/>
    <x v="0"/>
    <x v="0"/>
    <x v="0"/>
    <n v="15.587999999999999"/>
  </r>
  <r>
    <n v="2635"/>
    <x v="8"/>
    <x v="11"/>
    <n v="12"/>
    <n v="559.48599999999999"/>
    <x v="4"/>
    <x v="3"/>
    <x v="1"/>
    <n v="559.48599999999999"/>
  </r>
  <r>
    <n v="2636"/>
    <x v="8"/>
    <x v="11"/>
    <n v="14"/>
    <n v="-1.1179999999999999"/>
    <x v="0"/>
    <x v="0"/>
    <x v="0"/>
    <n v="1.1179999999999999"/>
  </r>
  <r>
    <n v="2637"/>
    <x v="8"/>
    <x v="11"/>
    <n v="15"/>
    <n v="-0.3"/>
    <x v="0"/>
    <x v="0"/>
    <x v="0"/>
    <n v="0.3"/>
  </r>
  <r>
    <n v="2638"/>
    <x v="8"/>
    <x v="11"/>
    <n v="15"/>
    <n v="-0.77800000000000002"/>
    <x v="0"/>
    <x v="0"/>
    <x v="0"/>
    <n v="0.77800000000000002"/>
  </r>
  <r>
    <n v="2639"/>
    <x v="8"/>
    <x v="11"/>
    <n v="17"/>
    <n v="73.2"/>
    <x v="9"/>
    <x v="3"/>
    <x v="1"/>
    <n v="73.2"/>
  </r>
  <r>
    <n v="2640"/>
    <x v="8"/>
    <x v="11"/>
    <n v="18"/>
    <n v="-0.39800000000000002"/>
    <x v="2"/>
    <x v="1"/>
    <x v="0"/>
    <n v="0.39800000000000002"/>
  </r>
  <r>
    <n v="2641"/>
    <x v="8"/>
    <x v="11"/>
    <n v="20"/>
    <n v="-10.208"/>
    <x v="0"/>
    <x v="0"/>
    <x v="0"/>
    <n v="10.208"/>
  </r>
  <r>
    <n v="2642"/>
    <x v="8"/>
    <x v="11"/>
    <n v="21"/>
    <n v="-42.251999999999995"/>
    <x v="0"/>
    <x v="0"/>
    <x v="0"/>
    <n v="42.251999999999995"/>
  </r>
  <r>
    <n v="2643"/>
    <x v="8"/>
    <x v="11"/>
    <n v="22"/>
    <n v="-8.6720000000000006"/>
    <x v="0"/>
    <x v="0"/>
    <x v="0"/>
    <n v="8.6720000000000006"/>
  </r>
  <r>
    <n v="2644"/>
    <x v="8"/>
    <x v="11"/>
    <n v="24"/>
    <n v="-1.1960000000000002"/>
    <x v="0"/>
    <x v="0"/>
    <x v="0"/>
    <n v="1.1960000000000002"/>
  </r>
  <r>
    <n v="2645"/>
    <x v="8"/>
    <x v="11"/>
    <n v="24"/>
    <n v="404.238"/>
    <x v="8"/>
    <x v="3"/>
    <x v="1"/>
    <n v="404.238"/>
  </r>
  <r>
    <n v="2646"/>
    <x v="8"/>
    <x v="11"/>
    <n v="28"/>
    <n v="-21.484000000000002"/>
    <x v="0"/>
    <x v="0"/>
    <x v="0"/>
    <n v="21.484000000000002"/>
  </r>
  <r>
    <n v="2647"/>
    <x v="8"/>
    <x v="11"/>
    <n v="31"/>
    <n v="-2E-3"/>
    <x v="2"/>
    <x v="1"/>
    <x v="0"/>
    <n v="2E-3"/>
  </r>
  <r>
    <n v="2648"/>
    <x v="8"/>
    <x v="11"/>
    <n v="31"/>
    <n v="6.0000000000000001E-3"/>
    <x v="3"/>
    <x v="2"/>
    <x v="1"/>
    <n v="6.0000000000000001E-3"/>
  </r>
  <r>
    <n v="2649"/>
    <x v="8"/>
    <x v="11"/>
    <n v="31"/>
    <n v="-2.214"/>
    <x v="7"/>
    <x v="5"/>
    <x v="0"/>
    <n v="2.214"/>
  </r>
  <r>
    <n v="2650"/>
    <x v="8"/>
    <x v="11"/>
    <n v="31"/>
    <n v="-3.8180000000000001"/>
    <x v="0"/>
    <x v="0"/>
    <x v="0"/>
    <n v="3.8180000000000001"/>
  </r>
  <r>
    <n v="2651"/>
    <x v="9"/>
    <x v="0"/>
    <n v="1"/>
    <n v="-13.362"/>
    <x v="16"/>
    <x v="1"/>
    <x v="0"/>
    <n v="13.362"/>
  </r>
  <r>
    <n v="2652"/>
    <x v="9"/>
    <x v="0"/>
    <n v="1"/>
    <n v="-1.198"/>
    <x v="2"/>
    <x v="1"/>
    <x v="0"/>
    <n v="1.198"/>
  </r>
  <r>
    <n v="2653"/>
    <x v="9"/>
    <x v="0"/>
    <n v="1"/>
    <n v="-5.8"/>
    <x v="1"/>
    <x v="1"/>
    <x v="0"/>
    <n v="5.8"/>
  </r>
  <r>
    <n v="2654"/>
    <x v="9"/>
    <x v="0"/>
    <n v="1"/>
    <n v="-7.38"/>
    <x v="19"/>
    <x v="1"/>
    <x v="0"/>
    <n v="7.38"/>
  </r>
  <r>
    <n v="2655"/>
    <x v="9"/>
    <x v="0"/>
    <n v="1"/>
    <n v="-6.1420000000000003"/>
    <x v="18"/>
    <x v="1"/>
    <x v="0"/>
    <n v="6.1420000000000003"/>
  </r>
  <r>
    <n v="2656"/>
    <x v="9"/>
    <x v="0"/>
    <n v="1"/>
    <n v="-49.03"/>
    <x v="21"/>
    <x v="1"/>
    <x v="0"/>
    <n v="49.03"/>
  </r>
  <r>
    <n v="2657"/>
    <x v="9"/>
    <x v="0"/>
    <n v="3"/>
    <n v="-2.6139999999999999"/>
    <x v="0"/>
    <x v="0"/>
    <x v="0"/>
    <n v="2.6139999999999999"/>
  </r>
  <r>
    <n v="2658"/>
    <x v="9"/>
    <x v="0"/>
    <n v="5"/>
    <n v="-43.007999999999996"/>
    <x v="13"/>
    <x v="1"/>
    <x v="0"/>
    <n v="43.007999999999996"/>
  </r>
  <r>
    <n v="2659"/>
    <x v="9"/>
    <x v="0"/>
    <n v="9"/>
    <n v="-0.87799999999999989"/>
    <x v="0"/>
    <x v="0"/>
    <x v="0"/>
    <n v="0.87799999999999989"/>
  </r>
  <r>
    <n v="2660"/>
    <x v="9"/>
    <x v="0"/>
    <n v="11"/>
    <n v="-0.59800000000000009"/>
    <x v="0"/>
    <x v="0"/>
    <x v="0"/>
    <n v="0.59800000000000009"/>
  </r>
  <r>
    <n v="2661"/>
    <x v="9"/>
    <x v="0"/>
    <n v="11"/>
    <n v="-0.39800000000000002"/>
    <x v="2"/>
    <x v="1"/>
    <x v="0"/>
    <n v="0.39800000000000002"/>
  </r>
  <r>
    <n v="2662"/>
    <x v="9"/>
    <x v="0"/>
    <n v="12"/>
    <n v="-19.8"/>
    <x v="14"/>
    <x v="1"/>
    <x v="0"/>
    <n v="19.8"/>
  </r>
  <r>
    <n v="2663"/>
    <x v="9"/>
    <x v="0"/>
    <n v="12"/>
    <n v="-54.938000000000002"/>
    <x v="7"/>
    <x v="5"/>
    <x v="0"/>
    <n v="54.938000000000002"/>
  </r>
  <r>
    <n v="2664"/>
    <x v="9"/>
    <x v="0"/>
    <n v="15"/>
    <n v="-4.226"/>
    <x v="0"/>
    <x v="0"/>
    <x v="0"/>
    <n v="4.226"/>
  </r>
  <r>
    <n v="2665"/>
    <x v="9"/>
    <x v="0"/>
    <n v="16"/>
    <n v="-0.3"/>
    <x v="0"/>
    <x v="0"/>
    <x v="0"/>
    <n v="0.3"/>
  </r>
  <r>
    <n v="2666"/>
    <x v="9"/>
    <x v="0"/>
    <n v="19"/>
    <n v="-10.98"/>
    <x v="0"/>
    <x v="0"/>
    <x v="0"/>
    <n v="10.98"/>
  </r>
  <r>
    <n v="2667"/>
    <x v="9"/>
    <x v="0"/>
    <n v="23"/>
    <n v="-0.3"/>
    <x v="0"/>
    <x v="0"/>
    <x v="0"/>
    <n v="0.3"/>
  </r>
  <r>
    <n v="2668"/>
    <x v="9"/>
    <x v="0"/>
    <n v="23"/>
    <n v="-1.9620000000000002"/>
    <x v="0"/>
    <x v="0"/>
    <x v="0"/>
    <n v="1.9620000000000002"/>
  </r>
  <r>
    <n v="2669"/>
    <x v="9"/>
    <x v="0"/>
    <n v="25"/>
    <n v="641.08199999999999"/>
    <x v="4"/>
    <x v="3"/>
    <x v="1"/>
    <n v="641.08199999999999"/>
  </r>
  <r>
    <n v="2670"/>
    <x v="9"/>
    <x v="0"/>
    <n v="25"/>
    <n v="-11.827999999999999"/>
    <x v="0"/>
    <x v="0"/>
    <x v="0"/>
    <n v="11.827999999999999"/>
  </r>
  <r>
    <n v="2671"/>
    <x v="9"/>
    <x v="0"/>
    <n v="25"/>
    <n v="-1.1179999999999999"/>
    <x v="0"/>
    <x v="0"/>
    <x v="0"/>
    <n v="1.1179999999999999"/>
  </r>
  <r>
    <n v="2672"/>
    <x v="9"/>
    <x v="0"/>
    <n v="26"/>
    <n v="-8.6"/>
    <x v="20"/>
    <x v="1"/>
    <x v="0"/>
    <n v="8.6"/>
  </r>
  <r>
    <n v="2673"/>
    <x v="9"/>
    <x v="0"/>
    <n v="26"/>
    <n v="-19.14"/>
    <x v="0"/>
    <x v="0"/>
    <x v="0"/>
    <n v="19.14"/>
  </r>
  <r>
    <n v="2674"/>
    <x v="9"/>
    <x v="0"/>
    <n v="30"/>
    <n v="-11.294"/>
    <x v="0"/>
    <x v="0"/>
    <x v="0"/>
    <n v="11.294"/>
  </r>
  <r>
    <n v="2675"/>
    <x v="9"/>
    <x v="0"/>
    <n v="31"/>
    <n v="2E-3"/>
    <x v="3"/>
    <x v="2"/>
    <x v="1"/>
    <n v="2E-3"/>
  </r>
  <r>
    <n v="2676"/>
    <x v="9"/>
    <x v="0"/>
    <n v="31"/>
    <n v="-2E-3"/>
    <x v="2"/>
    <x v="1"/>
    <x v="0"/>
    <n v="2E-3"/>
  </r>
  <r>
    <n v="2677"/>
    <x v="9"/>
    <x v="0"/>
    <n v="31"/>
    <n v="-1.198"/>
    <x v="2"/>
    <x v="1"/>
    <x v="0"/>
    <n v="1.198"/>
  </r>
  <r>
    <n v="2678"/>
    <x v="9"/>
    <x v="0"/>
    <n v="31"/>
    <n v="-0.2"/>
    <x v="2"/>
    <x v="1"/>
    <x v="0"/>
    <n v="0.2"/>
  </r>
  <r>
    <n v="2679"/>
    <x v="9"/>
    <x v="0"/>
    <n v="31"/>
    <n v="-1.8320000000000001"/>
    <x v="0"/>
    <x v="0"/>
    <x v="0"/>
    <n v="1.8320000000000001"/>
  </r>
  <r>
    <n v="2680"/>
    <x v="9"/>
    <x v="1"/>
    <n v="1"/>
    <n v="553.08600000000001"/>
    <x v="5"/>
    <x v="3"/>
    <x v="1"/>
    <n v="553.08600000000001"/>
  </r>
  <r>
    <n v="2681"/>
    <x v="9"/>
    <x v="1"/>
    <n v="1"/>
    <n v="-1.1179999999999999"/>
    <x v="0"/>
    <x v="0"/>
    <x v="0"/>
    <n v="1.1179999999999999"/>
  </r>
  <r>
    <n v="2682"/>
    <x v="9"/>
    <x v="1"/>
    <n v="2"/>
    <n v="-5.8"/>
    <x v="1"/>
    <x v="1"/>
    <x v="0"/>
    <n v="5.8"/>
  </r>
  <r>
    <n v="2683"/>
    <x v="9"/>
    <x v="1"/>
    <n v="2"/>
    <n v="-71.738"/>
    <x v="13"/>
    <x v="1"/>
    <x v="0"/>
    <n v="71.738"/>
  </r>
  <r>
    <n v="2684"/>
    <x v="9"/>
    <x v="1"/>
    <n v="2"/>
    <n v="-7.38"/>
    <x v="19"/>
    <x v="1"/>
    <x v="0"/>
    <n v="7.38"/>
  </r>
  <r>
    <n v="2685"/>
    <x v="9"/>
    <x v="1"/>
    <n v="4"/>
    <n v="-5.0299999999999994"/>
    <x v="0"/>
    <x v="0"/>
    <x v="0"/>
    <n v="5.0299999999999994"/>
  </r>
  <r>
    <n v="2686"/>
    <x v="9"/>
    <x v="1"/>
    <n v="4"/>
    <n v="-0.3"/>
    <x v="0"/>
    <x v="0"/>
    <x v="0"/>
    <n v="0.3"/>
  </r>
  <r>
    <n v="2687"/>
    <x v="9"/>
    <x v="1"/>
    <n v="5"/>
    <n v="-2.6"/>
    <x v="0"/>
    <x v="0"/>
    <x v="0"/>
    <n v="2.6"/>
  </r>
  <r>
    <n v="2688"/>
    <x v="9"/>
    <x v="1"/>
    <n v="5"/>
    <n v="-4.55"/>
    <x v="0"/>
    <x v="0"/>
    <x v="0"/>
    <n v="4.55"/>
  </r>
  <r>
    <n v="2689"/>
    <x v="9"/>
    <x v="1"/>
    <n v="6"/>
    <n v="-5.9979999999999993"/>
    <x v="0"/>
    <x v="0"/>
    <x v="0"/>
    <n v="5.9979999999999993"/>
  </r>
  <r>
    <n v="2690"/>
    <x v="9"/>
    <x v="1"/>
    <n v="7"/>
    <n v="-0.67"/>
    <x v="0"/>
    <x v="0"/>
    <x v="0"/>
    <n v="0.67"/>
  </r>
  <r>
    <n v="2691"/>
    <x v="9"/>
    <x v="1"/>
    <n v="7"/>
    <n v="-0.85"/>
    <x v="0"/>
    <x v="0"/>
    <x v="0"/>
    <n v="0.85"/>
  </r>
  <r>
    <n v="2692"/>
    <x v="9"/>
    <x v="1"/>
    <n v="8"/>
    <n v="-1.1179999999999999"/>
    <x v="0"/>
    <x v="0"/>
    <x v="0"/>
    <n v="1.1179999999999999"/>
  </r>
  <r>
    <n v="2693"/>
    <x v="9"/>
    <x v="1"/>
    <n v="11"/>
    <n v="-0.3"/>
    <x v="0"/>
    <x v="0"/>
    <x v="0"/>
    <n v="0.3"/>
  </r>
  <r>
    <n v="2694"/>
    <x v="9"/>
    <x v="1"/>
    <n v="13"/>
    <n v="-12.587999999999999"/>
    <x v="0"/>
    <x v="0"/>
    <x v="0"/>
    <n v="12.587999999999999"/>
  </r>
  <r>
    <n v="2695"/>
    <x v="9"/>
    <x v="1"/>
    <n v="14"/>
    <n v="-0.3"/>
    <x v="0"/>
    <x v="0"/>
    <x v="0"/>
    <n v="0.3"/>
  </r>
  <r>
    <n v="2696"/>
    <x v="9"/>
    <x v="1"/>
    <n v="15"/>
    <n v="-0.39800000000000002"/>
    <x v="2"/>
    <x v="1"/>
    <x v="0"/>
    <n v="0.39800000000000002"/>
  </r>
  <r>
    <n v="2697"/>
    <x v="9"/>
    <x v="1"/>
    <n v="15"/>
    <n v="-1.5660000000000001"/>
    <x v="0"/>
    <x v="0"/>
    <x v="0"/>
    <n v="1.5660000000000001"/>
  </r>
  <r>
    <n v="2698"/>
    <x v="9"/>
    <x v="1"/>
    <n v="15"/>
    <n v="-0.59800000000000009"/>
    <x v="0"/>
    <x v="0"/>
    <x v="0"/>
    <n v="0.59800000000000009"/>
  </r>
  <r>
    <n v="2699"/>
    <x v="9"/>
    <x v="1"/>
    <n v="22"/>
    <n v="641.08199999999999"/>
    <x v="4"/>
    <x v="3"/>
    <x v="1"/>
    <n v="641.08199999999999"/>
  </r>
  <r>
    <n v="2700"/>
    <x v="9"/>
    <x v="1"/>
    <n v="22"/>
    <n v="-17.746000000000002"/>
    <x v="0"/>
    <x v="0"/>
    <x v="0"/>
    <n v="17.746000000000002"/>
  </r>
  <r>
    <n v="2701"/>
    <x v="9"/>
    <x v="1"/>
    <n v="23"/>
    <n v="-19.8"/>
    <x v="14"/>
    <x v="1"/>
    <x v="0"/>
    <n v="19.8"/>
  </r>
  <r>
    <n v="2702"/>
    <x v="9"/>
    <x v="1"/>
    <n v="23"/>
    <n v="-25.962"/>
    <x v="7"/>
    <x v="5"/>
    <x v="0"/>
    <n v="25.962"/>
  </r>
  <r>
    <n v="2703"/>
    <x v="9"/>
    <x v="1"/>
    <n v="25"/>
    <n v="-7.67"/>
    <x v="0"/>
    <x v="0"/>
    <x v="0"/>
    <n v="7.67"/>
  </r>
  <r>
    <n v="2704"/>
    <x v="9"/>
    <x v="1"/>
    <n v="27"/>
    <n v="-4.1680000000000001"/>
    <x v="0"/>
    <x v="0"/>
    <x v="0"/>
    <n v="4.1680000000000001"/>
  </r>
  <r>
    <n v="2705"/>
    <x v="9"/>
    <x v="1"/>
    <n v="28"/>
    <n v="-2E-3"/>
    <x v="2"/>
    <x v="1"/>
    <x v="0"/>
    <n v="2E-3"/>
  </r>
  <r>
    <n v="2706"/>
    <x v="9"/>
    <x v="1"/>
    <n v="28"/>
    <n v="-1.198"/>
    <x v="2"/>
    <x v="1"/>
    <x v="0"/>
    <n v="1.198"/>
  </r>
  <r>
    <n v="2707"/>
    <x v="9"/>
    <x v="1"/>
    <n v="28"/>
    <n v="2E-3"/>
    <x v="3"/>
    <x v="2"/>
    <x v="1"/>
    <n v="2E-3"/>
  </r>
  <r>
    <n v="2708"/>
    <x v="9"/>
    <x v="1"/>
    <n v="28"/>
    <n v="-0.3"/>
    <x v="2"/>
    <x v="1"/>
    <x v="0"/>
    <n v="0.3"/>
  </r>
  <r>
    <n v="2709"/>
    <x v="9"/>
    <x v="2"/>
    <n v="1"/>
    <n v="-0.40400000000000003"/>
    <x v="0"/>
    <x v="0"/>
    <x v="0"/>
    <n v="0.40400000000000003"/>
  </r>
  <r>
    <n v="2710"/>
    <x v="9"/>
    <x v="2"/>
    <n v="1"/>
    <n v="-1.1759999999999999"/>
    <x v="0"/>
    <x v="0"/>
    <x v="0"/>
    <n v="1.1759999999999999"/>
  </r>
  <r>
    <n v="2711"/>
    <x v="9"/>
    <x v="2"/>
    <n v="2"/>
    <n v="-7.38"/>
    <x v="19"/>
    <x v="1"/>
    <x v="0"/>
    <n v="7.38"/>
  </r>
  <r>
    <n v="2712"/>
    <x v="9"/>
    <x v="2"/>
    <n v="2"/>
    <n v="-6.1420000000000003"/>
    <x v="18"/>
    <x v="1"/>
    <x v="0"/>
    <n v="6.1420000000000003"/>
  </r>
  <r>
    <n v="2713"/>
    <x v="9"/>
    <x v="2"/>
    <n v="2"/>
    <n v="-16.314"/>
    <x v="16"/>
    <x v="1"/>
    <x v="0"/>
    <n v="16.314"/>
  </r>
  <r>
    <n v="2714"/>
    <x v="9"/>
    <x v="2"/>
    <n v="2"/>
    <n v="-71.738"/>
    <x v="13"/>
    <x v="1"/>
    <x v="0"/>
    <n v="71.738"/>
  </r>
  <r>
    <n v="2715"/>
    <x v="9"/>
    <x v="2"/>
    <n v="2"/>
    <n v="-5.8"/>
    <x v="1"/>
    <x v="1"/>
    <x v="0"/>
    <n v="5.8"/>
  </r>
  <r>
    <n v="2716"/>
    <x v="9"/>
    <x v="2"/>
    <n v="4"/>
    <n v="-1.6859999999999999"/>
    <x v="0"/>
    <x v="0"/>
    <x v="0"/>
    <n v="1.6859999999999999"/>
  </r>
  <r>
    <n v="2717"/>
    <x v="9"/>
    <x v="2"/>
    <n v="5"/>
    <n v="-11.187999999999999"/>
    <x v="0"/>
    <x v="0"/>
    <x v="0"/>
    <n v="11.187999999999999"/>
  </r>
  <r>
    <n v="2718"/>
    <x v="9"/>
    <x v="2"/>
    <n v="6"/>
    <n v="-13.187999999999999"/>
    <x v="0"/>
    <x v="0"/>
    <x v="0"/>
    <n v="13.187999999999999"/>
  </r>
  <r>
    <n v="2719"/>
    <x v="9"/>
    <x v="2"/>
    <n v="7"/>
    <n v="-2.7280000000000002"/>
    <x v="0"/>
    <x v="0"/>
    <x v="0"/>
    <n v="2.7280000000000002"/>
  </r>
  <r>
    <n v="2720"/>
    <x v="9"/>
    <x v="2"/>
    <n v="8"/>
    <n v="-1.3380000000000001"/>
    <x v="0"/>
    <x v="0"/>
    <x v="0"/>
    <n v="1.3380000000000001"/>
  </r>
  <r>
    <n v="2721"/>
    <x v="9"/>
    <x v="2"/>
    <n v="8"/>
    <n v="-1.9339999999999999"/>
    <x v="0"/>
    <x v="0"/>
    <x v="0"/>
    <n v="1.9339999999999999"/>
  </r>
  <r>
    <n v="2722"/>
    <x v="9"/>
    <x v="2"/>
    <n v="12"/>
    <n v="-0.39800000000000002"/>
    <x v="2"/>
    <x v="1"/>
    <x v="0"/>
    <n v="0.39800000000000002"/>
  </r>
  <r>
    <n v="2723"/>
    <x v="9"/>
    <x v="2"/>
    <n v="13"/>
    <n v="-3.5960000000000001"/>
    <x v="17"/>
    <x v="4"/>
    <x v="0"/>
    <n v="3.5960000000000001"/>
  </r>
  <r>
    <n v="2724"/>
    <x v="9"/>
    <x v="2"/>
    <n v="14"/>
    <n v="-0.57800000000000007"/>
    <x v="0"/>
    <x v="0"/>
    <x v="0"/>
    <n v="0.57800000000000007"/>
  </r>
  <r>
    <n v="2725"/>
    <x v="9"/>
    <x v="2"/>
    <n v="14"/>
    <n v="-14.202000000000002"/>
    <x v="0"/>
    <x v="0"/>
    <x v="0"/>
    <n v="14.202000000000002"/>
  </r>
  <r>
    <n v="2726"/>
    <x v="9"/>
    <x v="2"/>
    <n v="15"/>
    <n v="-9.4779999999999998"/>
    <x v="0"/>
    <x v="0"/>
    <x v="0"/>
    <n v="9.4779999999999998"/>
  </r>
  <r>
    <n v="2727"/>
    <x v="9"/>
    <x v="2"/>
    <n v="16"/>
    <n v="-0.6"/>
    <x v="2"/>
    <x v="1"/>
    <x v="0"/>
    <n v="0.6"/>
  </r>
  <r>
    <n v="2728"/>
    <x v="9"/>
    <x v="2"/>
    <n v="17"/>
    <n v="-8.6"/>
    <x v="7"/>
    <x v="5"/>
    <x v="0"/>
    <n v="8.6"/>
  </r>
  <r>
    <n v="2729"/>
    <x v="9"/>
    <x v="2"/>
    <n v="18"/>
    <n v="-13.040000000000001"/>
    <x v="0"/>
    <x v="0"/>
    <x v="0"/>
    <n v="13.040000000000001"/>
  </r>
  <r>
    <n v="2730"/>
    <x v="9"/>
    <x v="2"/>
    <n v="19"/>
    <n v="-2.6339999999999999"/>
    <x v="0"/>
    <x v="0"/>
    <x v="0"/>
    <n v="2.6339999999999999"/>
  </r>
  <r>
    <n v="2731"/>
    <x v="9"/>
    <x v="2"/>
    <n v="21"/>
    <n v="-4.2460000000000004"/>
    <x v="0"/>
    <x v="0"/>
    <x v="0"/>
    <n v="4.2460000000000004"/>
  </r>
  <r>
    <n v="2732"/>
    <x v="9"/>
    <x v="2"/>
    <n v="26"/>
    <n v="-19.8"/>
    <x v="14"/>
    <x v="1"/>
    <x v="0"/>
    <n v="19.8"/>
  </r>
  <r>
    <n v="2733"/>
    <x v="9"/>
    <x v="2"/>
    <n v="27"/>
    <n v="-1.518"/>
    <x v="0"/>
    <x v="0"/>
    <x v="0"/>
    <n v="1.518"/>
  </r>
  <r>
    <n v="2734"/>
    <x v="9"/>
    <x v="2"/>
    <n v="28"/>
    <n v="641.08199999999999"/>
    <x v="4"/>
    <x v="3"/>
    <x v="1"/>
    <n v="641.08199999999999"/>
  </r>
  <r>
    <n v="2735"/>
    <x v="9"/>
    <x v="2"/>
    <n v="28"/>
    <n v="-13.536000000000001"/>
    <x v="0"/>
    <x v="0"/>
    <x v="0"/>
    <n v="13.536000000000001"/>
  </r>
  <r>
    <n v="2736"/>
    <x v="9"/>
    <x v="2"/>
    <n v="29"/>
    <n v="-1.454"/>
    <x v="0"/>
    <x v="0"/>
    <x v="0"/>
    <n v="1.454"/>
  </r>
  <r>
    <n v="2737"/>
    <x v="9"/>
    <x v="2"/>
    <n v="29"/>
    <n v="-0.59800000000000009"/>
    <x v="0"/>
    <x v="0"/>
    <x v="0"/>
    <n v="0.59800000000000009"/>
  </r>
  <r>
    <n v="2738"/>
    <x v="9"/>
    <x v="2"/>
    <n v="30"/>
    <n v="-0.8"/>
    <x v="2"/>
    <x v="1"/>
    <x v="0"/>
    <n v="0.8"/>
  </r>
  <r>
    <n v="2739"/>
    <x v="9"/>
    <x v="2"/>
    <n v="30"/>
    <n v="-22.5"/>
    <x v="7"/>
    <x v="5"/>
    <x v="0"/>
    <n v="22.5"/>
  </r>
  <r>
    <n v="2740"/>
    <x v="9"/>
    <x v="2"/>
    <n v="30"/>
    <n v="4.0000000000000001E-3"/>
    <x v="3"/>
    <x v="2"/>
    <x v="1"/>
    <n v="4.0000000000000001E-3"/>
  </r>
  <r>
    <n v="2741"/>
    <x v="9"/>
    <x v="2"/>
    <n v="30"/>
    <n v="-2E-3"/>
    <x v="2"/>
    <x v="1"/>
    <x v="0"/>
    <n v="2E-3"/>
  </r>
  <r>
    <n v="2742"/>
    <x v="9"/>
    <x v="3"/>
    <n v="1"/>
    <n v="-7.38"/>
    <x v="19"/>
    <x v="1"/>
    <x v="0"/>
    <n v="7.38"/>
  </r>
  <r>
    <n v="2743"/>
    <x v="9"/>
    <x v="3"/>
    <n v="1"/>
    <n v="-1.198"/>
    <x v="2"/>
    <x v="1"/>
    <x v="0"/>
    <n v="1.198"/>
  </r>
  <r>
    <n v="2744"/>
    <x v="9"/>
    <x v="3"/>
    <n v="1"/>
    <n v="-71.738"/>
    <x v="13"/>
    <x v="1"/>
    <x v="0"/>
    <n v="71.738"/>
  </r>
  <r>
    <n v="2745"/>
    <x v="9"/>
    <x v="3"/>
    <n v="1"/>
    <n v="-5.96"/>
    <x v="1"/>
    <x v="1"/>
    <x v="0"/>
    <n v="5.96"/>
  </r>
  <r>
    <n v="2746"/>
    <x v="9"/>
    <x v="3"/>
    <n v="1"/>
    <n v="-17.125999999999998"/>
    <x v="0"/>
    <x v="0"/>
    <x v="0"/>
    <n v="17.125999999999998"/>
  </r>
  <r>
    <n v="2747"/>
    <x v="9"/>
    <x v="3"/>
    <n v="2"/>
    <n v="-0.87799999999999989"/>
    <x v="0"/>
    <x v="0"/>
    <x v="0"/>
    <n v="0.87799999999999989"/>
  </r>
  <r>
    <n v="2748"/>
    <x v="9"/>
    <x v="3"/>
    <n v="4"/>
    <n v="-0.318"/>
    <x v="0"/>
    <x v="0"/>
    <x v="0"/>
    <n v="0.318"/>
  </r>
  <r>
    <n v="2749"/>
    <x v="9"/>
    <x v="3"/>
    <n v="4"/>
    <n v="-0.48"/>
    <x v="0"/>
    <x v="0"/>
    <x v="0"/>
    <n v="0.48"/>
  </r>
  <r>
    <n v="2750"/>
    <x v="9"/>
    <x v="3"/>
    <n v="6"/>
    <n v="-15.841999999999999"/>
    <x v="0"/>
    <x v="0"/>
    <x v="0"/>
    <n v="15.841999999999999"/>
  </r>
  <r>
    <n v="2751"/>
    <x v="9"/>
    <x v="3"/>
    <n v="9"/>
    <n v="-20"/>
    <x v="0"/>
    <x v="0"/>
    <x v="0"/>
    <n v="20"/>
  </r>
  <r>
    <n v="2752"/>
    <x v="9"/>
    <x v="3"/>
    <n v="11"/>
    <n v="-3.0979999999999999"/>
    <x v="0"/>
    <x v="0"/>
    <x v="0"/>
    <n v="3.0979999999999999"/>
  </r>
  <r>
    <n v="2753"/>
    <x v="9"/>
    <x v="3"/>
    <n v="16"/>
    <n v="-0.39800000000000002"/>
    <x v="2"/>
    <x v="1"/>
    <x v="0"/>
    <n v="0.39800000000000002"/>
  </r>
  <r>
    <n v="2754"/>
    <x v="9"/>
    <x v="3"/>
    <n v="16"/>
    <n v="-13.634"/>
    <x v="0"/>
    <x v="0"/>
    <x v="0"/>
    <n v="13.634"/>
  </r>
  <r>
    <n v="2755"/>
    <x v="9"/>
    <x v="3"/>
    <n v="17"/>
    <n v="-0.66799999999999993"/>
    <x v="0"/>
    <x v="0"/>
    <x v="0"/>
    <n v="0.66799999999999993"/>
  </r>
  <r>
    <n v="2756"/>
    <x v="9"/>
    <x v="3"/>
    <n v="17"/>
    <n v="-0.3"/>
    <x v="0"/>
    <x v="0"/>
    <x v="0"/>
    <n v="0.3"/>
  </r>
  <r>
    <n v="2757"/>
    <x v="9"/>
    <x v="3"/>
    <n v="18"/>
    <n v="-4"/>
    <x v="7"/>
    <x v="5"/>
    <x v="0"/>
    <n v="4"/>
  </r>
  <r>
    <n v="2758"/>
    <x v="9"/>
    <x v="3"/>
    <n v="26"/>
    <n v="641.08199999999999"/>
    <x v="4"/>
    <x v="3"/>
    <x v="1"/>
    <n v="641.08199999999999"/>
  </r>
  <r>
    <n v="2759"/>
    <x v="9"/>
    <x v="3"/>
    <n v="27"/>
    <n v="-8.6"/>
    <x v="7"/>
    <x v="5"/>
    <x v="0"/>
    <n v="8.6"/>
  </r>
  <r>
    <n v="2760"/>
    <x v="9"/>
    <x v="3"/>
    <n v="27"/>
    <n v="-20.399999999999999"/>
    <x v="14"/>
    <x v="1"/>
    <x v="0"/>
    <n v="20.399999999999999"/>
  </r>
  <r>
    <n v="2761"/>
    <x v="9"/>
    <x v="3"/>
    <n v="29"/>
    <n v="-12.68"/>
    <x v="0"/>
    <x v="0"/>
    <x v="0"/>
    <n v="12.68"/>
  </r>
  <r>
    <n v="2762"/>
    <x v="9"/>
    <x v="3"/>
    <n v="29"/>
    <n v="-3.7399999999999998"/>
    <x v="0"/>
    <x v="0"/>
    <x v="0"/>
    <n v="3.7399999999999998"/>
  </r>
  <r>
    <n v="2763"/>
    <x v="9"/>
    <x v="3"/>
    <n v="30"/>
    <n v="-1.198"/>
    <x v="2"/>
    <x v="1"/>
    <x v="0"/>
    <n v="1.198"/>
  </r>
  <r>
    <n v="2764"/>
    <x v="9"/>
    <x v="3"/>
    <n v="30"/>
    <n v="4.0000000000000001E-3"/>
    <x v="3"/>
    <x v="2"/>
    <x v="1"/>
    <n v="4.0000000000000001E-3"/>
  </r>
  <r>
    <n v="2765"/>
    <x v="9"/>
    <x v="3"/>
    <n v="30"/>
    <n v="-2E-3"/>
    <x v="2"/>
    <x v="1"/>
    <x v="0"/>
    <n v="2E-3"/>
  </r>
  <r>
    <n v="2766"/>
    <x v="9"/>
    <x v="4"/>
    <n v="2"/>
    <n v="-5.8"/>
    <x v="1"/>
    <x v="1"/>
    <x v="0"/>
    <n v="5.8"/>
  </r>
  <r>
    <n v="2767"/>
    <x v="9"/>
    <x v="4"/>
    <n v="2"/>
    <n v="-69.998000000000005"/>
    <x v="7"/>
    <x v="5"/>
    <x v="0"/>
    <n v="69.998000000000005"/>
  </r>
  <r>
    <n v="2768"/>
    <x v="9"/>
    <x v="4"/>
    <n v="2"/>
    <n v="-6.1420000000000003"/>
    <x v="18"/>
    <x v="1"/>
    <x v="0"/>
    <n v="6.1420000000000003"/>
  </r>
  <r>
    <n v="2769"/>
    <x v="9"/>
    <x v="4"/>
    <n v="2"/>
    <n v="-27.586000000000002"/>
    <x v="0"/>
    <x v="0"/>
    <x v="0"/>
    <n v="27.586000000000002"/>
  </r>
  <r>
    <n v="2770"/>
    <x v="9"/>
    <x v="4"/>
    <n v="2"/>
    <n v="-11.59"/>
    <x v="16"/>
    <x v="1"/>
    <x v="0"/>
    <n v="11.59"/>
  </r>
  <r>
    <n v="2771"/>
    <x v="9"/>
    <x v="4"/>
    <n v="2"/>
    <n v="-25.98"/>
    <x v="7"/>
    <x v="5"/>
    <x v="0"/>
    <n v="25.98"/>
  </r>
  <r>
    <n v="2772"/>
    <x v="9"/>
    <x v="4"/>
    <n v="2"/>
    <n v="-7.38"/>
    <x v="19"/>
    <x v="1"/>
    <x v="0"/>
    <n v="7.38"/>
  </r>
  <r>
    <n v="2773"/>
    <x v="9"/>
    <x v="4"/>
    <n v="2"/>
    <n v="-46.4"/>
    <x v="12"/>
    <x v="1"/>
    <x v="0"/>
    <n v="46.4"/>
  </r>
  <r>
    <n v="2774"/>
    <x v="9"/>
    <x v="4"/>
    <n v="2"/>
    <n v="-71.738"/>
    <x v="13"/>
    <x v="1"/>
    <x v="0"/>
    <n v="71.738"/>
  </r>
  <r>
    <n v="2775"/>
    <x v="9"/>
    <x v="4"/>
    <n v="2"/>
    <n v="-66.194000000000003"/>
    <x v="7"/>
    <x v="5"/>
    <x v="0"/>
    <n v="66.194000000000003"/>
  </r>
  <r>
    <n v="2776"/>
    <x v="9"/>
    <x v="4"/>
    <n v="5"/>
    <n v="-14.280000000000001"/>
    <x v="7"/>
    <x v="5"/>
    <x v="0"/>
    <n v="14.280000000000001"/>
  </r>
  <r>
    <n v="2777"/>
    <x v="9"/>
    <x v="4"/>
    <n v="7"/>
    <n v="87.738"/>
    <x v="8"/>
    <x v="3"/>
    <x v="1"/>
    <n v="87.738"/>
  </r>
  <r>
    <n v="2778"/>
    <x v="9"/>
    <x v="4"/>
    <n v="12"/>
    <n v="-34.200000000000003"/>
    <x v="11"/>
    <x v="1"/>
    <x v="0"/>
    <n v="34.200000000000003"/>
  </r>
  <r>
    <n v="2779"/>
    <x v="9"/>
    <x v="4"/>
    <n v="14"/>
    <n v="-0.39800000000000002"/>
    <x v="2"/>
    <x v="1"/>
    <x v="0"/>
    <n v="0.39800000000000002"/>
  </r>
  <r>
    <n v="2780"/>
    <x v="9"/>
    <x v="4"/>
    <n v="21"/>
    <n v="-1.462"/>
    <x v="0"/>
    <x v="0"/>
    <x v="0"/>
    <n v="1.462"/>
  </r>
  <r>
    <n v="2781"/>
    <x v="9"/>
    <x v="4"/>
    <n v="23"/>
    <n v="641.08199999999999"/>
    <x v="4"/>
    <x v="3"/>
    <x v="1"/>
    <n v="641.08199999999999"/>
  </r>
  <r>
    <n v="2782"/>
    <x v="9"/>
    <x v="4"/>
    <n v="23"/>
    <n v="-9.3840000000000003"/>
    <x v="0"/>
    <x v="0"/>
    <x v="0"/>
    <n v="9.3840000000000003"/>
  </r>
  <r>
    <n v="2783"/>
    <x v="9"/>
    <x v="4"/>
    <n v="25"/>
    <n v="-19.8"/>
    <x v="14"/>
    <x v="1"/>
    <x v="0"/>
    <n v="19.8"/>
  </r>
  <r>
    <n v="2784"/>
    <x v="9"/>
    <x v="4"/>
    <n v="26"/>
    <n v="-8.6"/>
    <x v="7"/>
    <x v="5"/>
    <x v="0"/>
    <n v="8.6"/>
  </r>
  <r>
    <n v="2785"/>
    <x v="9"/>
    <x v="4"/>
    <n v="28"/>
    <n v="-3.9880000000000004"/>
    <x v="0"/>
    <x v="0"/>
    <x v="0"/>
    <n v="3.9880000000000004"/>
  </r>
  <r>
    <n v="2786"/>
    <x v="9"/>
    <x v="4"/>
    <n v="31"/>
    <n v="4.0000000000000001E-3"/>
    <x v="3"/>
    <x v="2"/>
    <x v="1"/>
    <n v="4.0000000000000001E-3"/>
  </r>
  <r>
    <n v="2787"/>
    <x v="9"/>
    <x v="4"/>
    <n v="31"/>
    <n v="-1.198"/>
    <x v="2"/>
    <x v="1"/>
    <x v="0"/>
    <n v="1.198"/>
  </r>
  <r>
    <n v="2788"/>
    <x v="9"/>
    <x v="4"/>
    <n v="31"/>
    <n v="-2E-3"/>
    <x v="2"/>
    <x v="1"/>
    <x v="0"/>
    <n v="2E-3"/>
  </r>
  <r>
    <n v="2789"/>
    <x v="9"/>
    <x v="4"/>
    <n v="31"/>
    <n v="-0.6"/>
    <x v="2"/>
    <x v="1"/>
    <x v="0"/>
    <n v="0.6"/>
  </r>
  <r>
    <n v="2790"/>
    <x v="9"/>
    <x v="5"/>
    <n v="1"/>
    <n v="-5.8"/>
    <x v="1"/>
    <x v="1"/>
    <x v="0"/>
    <n v="5.8"/>
  </r>
  <r>
    <n v="2791"/>
    <x v="9"/>
    <x v="5"/>
    <n v="1"/>
    <n v="-71.738"/>
    <x v="13"/>
    <x v="1"/>
    <x v="0"/>
    <n v="71.738"/>
  </r>
  <r>
    <n v="2792"/>
    <x v="9"/>
    <x v="5"/>
    <n v="1"/>
    <n v="-7.38"/>
    <x v="19"/>
    <x v="1"/>
    <x v="0"/>
    <n v="7.38"/>
  </r>
  <r>
    <n v="2793"/>
    <x v="9"/>
    <x v="5"/>
    <n v="4"/>
    <n v="-1.6859999999999999"/>
    <x v="0"/>
    <x v="0"/>
    <x v="0"/>
    <n v="1.6859999999999999"/>
  </r>
  <r>
    <n v="2794"/>
    <x v="9"/>
    <x v="5"/>
    <n v="5"/>
    <n v="-2.016"/>
    <x v="0"/>
    <x v="0"/>
    <x v="0"/>
    <n v="2.016"/>
  </r>
  <r>
    <n v="2795"/>
    <x v="9"/>
    <x v="5"/>
    <n v="6"/>
    <n v="-0.04"/>
    <x v="2"/>
    <x v="1"/>
    <x v="0"/>
    <n v="0.04"/>
  </r>
  <r>
    <n v="2796"/>
    <x v="9"/>
    <x v="5"/>
    <n v="7"/>
    <n v="-4.4000000000000004"/>
    <x v="0"/>
    <x v="0"/>
    <x v="0"/>
    <n v="4.4000000000000004"/>
  </r>
  <r>
    <n v="2797"/>
    <x v="9"/>
    <x v="5"/>
    <n v="7"/>
    <n v="-10.507999999999999"/>
    <x v="0"/>
    <x v="0"/>
    <x v="0"/>
    <n v="10.507999999999999"/>
  </r>
  <r>
    <n v="2798"/>
    <x v="9"/>
    <x v="5"/>
    <n v="8"/>
    <n v="-46.926000000000002"/>
    <x v="7"/>
    <x v="5"/>
    <x v="0"/>
    <n v="46.926000000000002"/>
  </r>
  <r>
    <n v="2799"/>
    <x v="9"/>
    <x v="5"/>
    <n v="12"/>
    <n v="-3.9899999999999998"/>
    <x v="0"/>
    <x v="0"/>
    <x v="0"/>
    <n v="3.9899999999999998"/>
  </r>
  <r>
    <n v="2800"/>
    <x v="9"/>
    <x v="5"/>
    <n v="12"/>
    <n v="-1.8"/>
    <x v="0"/>
    <x v="0"/>
    <x v="0"/>
    <n v="1.8"/>
  </r>
  <r>
    <n v="2801"/>
    <x v="9"/>
    <x v="5"/>
    <n v="13"/>
    <n v="-13.141999999999999"/>
    <x v="0"/>
    <x v="0"/>
    <x v="0"/>
    <n v="13.141999999999999"/>
  </r>
  <r>
    <n v="2802"/>
    <x v="9"/>
    <x v="5"/>
    <n v="14"/>
    <n v="-20"/>
    <x v="0"/>
    <x v="0"/>
    <x v="0"/>
    <n v="20"/>
  </r>
  <r>
    <n v="2803"/>
    <x v="9"/>
    <x v="5"/>
    <n v="14"/>
    <n v="-0.8"/>
    <x v="0"/>
    <x v="0"/>
    <x v="0"/>
    <n v="0.8"/>
  </r>
  <r>
    <n v="2804"/>
    <x v="9"/>
    <x v="5"/>
    <n v="15"/>
    <n v="-39.6"/>
    <x v="7"/>
    <x v="5"/>
    <x v="0"/>
    <n v="39.6"/>
  </r>
  <r>
    <n v="2805"/>
    <x v="9"/>
    <x v="5"/>
    <n v="18"/>
    <n v="-1.3880000000000001"/>
    <x v="0"/>
    <x v="0"/>
    <x v="0"/>
    <n v="1.3880000000000001"/>
  </r>
  <r>
    <n v="2806"/>
    <x v="9"/>
    <x v="5"/>
    <n v="18"/>
    <n v="-0.39800000000000002"/>
    <x v="2"/>
    <x v="1"/>
    <x v="0"/>
    <n v="0.39800000000000002"/>
  </r>
  <r>
    <n v="2807"/>
    <x v="9"/>
    <x v="5"/>
    <n v="19"/>
    <n v="-17.878"/>
    <x v="0"/>
    <x v="0"/>
    <x v="0"/>
    <n v="17.878"/>
  </r>
  <r>
    <n v="2808"/>
    <x v="9"/>
    <x v="5"/>
    <n v="19"/>
    <n v="-11.07"/>
    <x v="0"/>
    <x v="0"/>
    <x v="0"/>
    <n v="11.07"/>
  </r>
  <r>
    <n v="2809"/>
    <x v="9"/>
    <x v="5"/>
    <n v="21"/>
    <n v="-13.919999999999998"/>
    <x v="0"/>
    <x v="0"/>
    <x v="0"/>
    <n v="13.919999999999998"/>
  </r>
  <r>
    <n v="2810"/>
    <x v="9"/>
    <x v="5"/>
    <n v="21"/>
    <n v="-1.474"/>
    <x v="0"/>
    <x v="0"/>
    <x v="0"/>
    <n v="1.474"/>
  </r>
  <r>
    <n v="2811"/>
    <x v="9"/>
    <x v="5"/>
    <n v="24"/>
    <n v="-20.399999999999999"/>
    <x v="14"/>
    <x v="1"/>
    <x v="0"/>
    <n v="20.399999999999999"/>
  </r>
  <r>
    <n v="2812"/>
    <x v="9"/>
    <x v="5"/>
    <n v="25"/>
    <n v="-6.4019999999999992"/>
    <x v="0"/>
    <x v="0"/>
    <x v="0"/>
    <n v="6.4019999999999992"/>
  </r>
  <r>
    <n v="2813"/>
    <x v="9"/>
    <x v="5"/>
    <n v="25"/>
    <n v="641.08199999999999"/>
    <x v="4"/>
    <x v="3"/>
    <x v="1"/>
    <n v="641.08199999999999"/>
  </r>
  <r>
    <n v="2814"/>
    <x v="9"/>
    <x v="5"/>
    <n v="26"/>
    <n v="-9.5960000000000001"/>
    <x v="0"/>
    <x v="0"/>
    <x v="0"/>
    <n v="9.5960000000000001"/>
  </r>
  <r>
    <n v="2815"/>
    <x v="9"/>
    <x v="5"/>
    <n v="28"/>
    <n v="-0.59800000000000009"/>
    <x v="0"/>
    <x v="0"/>
    <x v="0"/>
    <n v="0.59800000000000009"/>
  </r>
  <r>
    <n v="2816"/>
    <x v="9"/>
    <x v="5"/>
    <n v="28"/>
    <n v="-4.6979999999999995"/>
    <x v="0"/>
    <x v="0"/>
    <x v="0"/>
    <n v="4.6979999999999995"/>
  </r>
  <r>
    <n v="2817"/>
    <x v="9"/>
    <x v="5"/>
    <n v="29"/>
    <n v="-0.7"/>
    <x v="2"/>
    <x v="1"/>
    <x v="0"/>
    <n v="0.7"/>
  </r>
  <r>
    <n v="2818"/>
    <x v="9"/>
    <x v="5"/>
    <n v="29"/>
    <n v="-1.198"/>
    <x v="2"/>
    <x v="1"/>
    <x v="0"/>
    <n v="1.198"/>
  </r>
  <r>
    <n v="2819"/>
    <x v="9"/>
    <x v="5"/>
    <n v="29"/>
    <n v="2E-3"/>
    <x v="3"/>
    <x v="2"/>
    <x v="1"/>
    <n v="2E-3"/>
  </r>
  <r>
    <n v="2820"/>
    <x v="9"/>
    <x v="5"/>
    <n v="29"/>
    <n v="-2E-3"/>
    <x v="2"/>
    <x v="1"/>
    <x v="0"/>
    <n v="2E-3"/>
  </r>
  <r>
    <n v="2821"/>
    <x v="9"/>
    <x v="5"/>
    <n v="29"/>
    <n v="-3.9799999999999995"/>
    <x v="7"/>
    <x v="5"/>
    <x v="0"/>
    <n v="3.9799999999999995"/>
  </r>
  <r>
    <n v="2822"/>
    <x v="9"/>
    <x v="6"/>
    <n v="1"/>
    <n v="-6.7"/>
    <x v="18"/>
    <x v="1"/>
    <x v="0"/>
    <n v="6.7"/>
  </r>
  <r>
    <n v="2823"/>
    <x v="9"/>
    <x v="6"/>
    <n v="1"/>
    <n v="-14.986000000000001"/>
    <x v="16"/>
    <x v="1"/>
    <x v="0"/>
    <n v="14.986000000000001"/>
  </r>
  <r>
    <n v="2824"/>
    <x v="9"/>
    <x v="6"/>
    <n v="1"/>
    <n v="-5.8"/>
    <x v="1"/>
    <x v="1"/>
    <x v="0"/>
    <n v="5.8"/>
  </r>
  <r>
    <n v="2825"/>
    <x v="9"/>
    <x v="6"/>
    <n v="1"/>
    <n v="-72.138000000000005"/>
    <x v="13"/>
    <x v="1"/>
    <x v="0"/>
    <n v="72.138000000000005"/>
  </r>
  <r>
    <n v="2826"/>
    <x v="9"/>
    <x v="6"/>
    <n v="2"/>
    <n v="-0.44000000000000006"/>
    <x v="2"/>
    <x v="1"/>
    <x v="0"/>
    <n v="0.44000000000000006"/>
  </r>
  <r>
    <n v="2827"/>
    <x v="9"/>
    <x v="6"/>
    <n v="3"/>
    <n v="-7.306"/>
    <x v="0"/>
    <x v="0"/>
    <x v="0"/>
    <n v="7.306"/>
  </r>
  <r>
    <n v="2828"/>
    <x v="9"/>
    <x v="6"/>
    <n v="7"/>
    <n v="-7.38"/>
    <x v="19"/>
    <x v="1"/>
    <x v="0"/>
    <n v="7.38"/>
  </r>
  <r>
    <n v="2829"/>
    <x v="9"/>
    <x v="6"/>
    <n v="8"/>
    <n v="-8.8099999999999987"/>
    <x v="0"/>
    <x v="0"/>
    <x v="0"/>
    <n v="8.8099999999999987"/>
  </r>
  <r>
    <n v="2830"/>
    <x v="9"/>
    <x v="6"/>
    <n v="10"/>
    <n v="-4.5679999999999996"/>
    <x v="0"/>
    <x v="0"/>
    <x v="0"/>
    <n v="4.5679999999999996"/>
  </r>
  <r>
    <n v="2831"/>
    <x v="9"/>
    <x v="6"/>
    <n v="12"/>
    <n v="-0.39800000000000002"/>
    <x v="2"/>
    <x v="1"/>
    <x v="0"/>
    <n v="0.39800000000000002"/>
  </r>
  <r>
    <n v="2832"/>
    <x v="9"/>
    <x v="6"/>
    <n v="12"/>
    <n v="-11.684000000000001"/>
    <x v="0"/>
    <x v="0"/>
    <x v="0"/>
    <n v="11.684000000000001"/>
  </r>
  <r>
    <n v="2833"/>
    <x v="9"/>
    <x v="6"/>
    <n v="12"/>
    <n v="-0.59800000000000009"/>
    <x v="0"/>
    <x v="0"/>
    <x v="0"/>
    <n v="0.59800000000000009"/>
  </r>
  <r>
    <n v="2834"/>
    <x v="9"/>
    <x v="6"/>
    <n v="15"/>
    <n v="-7.492"/>
    <x v="0"/>
    <x v="0"/>
    <x v="0"/>
    <n v="7.492"/>
  </r>
  <r>
    <n v="2835"/>
    <x v="9"/>
    <x v="6"/>
    <n v="16"/>
    <n v="-0.312"/>
    <x v="0"/>
    <x v="0"/>
    <x v="0"/>
    <n v="0.312"/>
  </r>
  <r>
    <n v="2836"/>
    <x v="9"/>
    <x v="6"/>
    <n v="16"/>
    <n v="-1.1119999999999999"/>
    <x v="0"/>
    <x v="0"/>
    <x v="0"/>
    <n v="1.1119999999999999"/>
  </r>
  <r>
    <n v="2837"/>
    <x v="9"/>
    <x v="6"/>
    <n v="18"/>
    <n v="-8.7099999999999991"/>
    <x v="0"/>
    <x v="0"/>
    <x v="0"/>
    <n v="8.7099999999999991"/>
  </r>
  <r>
    <n v="2838"/>
    <x v="9"/>
    <x v="6"/>
    <n v="19"/>
    <n v="-1.2"/>
    <x v="0"/>
    <x v="0"/>
    <x v="0"/>
    <n v="1.2"/>
  </r>
  <r>
    <n v="2839"/>
    <x v="9"/>
    <x v="6"/>
    <n v="19"/>
    <n v="-13.516"/>
    <x v="0"/>
    <x v="0"/>
    <x v="0"/>
    <n v="13.516"/>
  </r>
  <r>
    <n v="2840"/>
    <x v="9"/>
    <x v="6"/>
    <n v="20"/>
    <n v="-14.6"/>
    <x v="7"/>
    <x v="5"/>
    <x v="0"/>
    <n v="14.6"/>
  </r>
  <r>
    <n v="2841"/>
    <x v="9"/>
    <x v="6"/>
    <n v="22"/>
    <n v="-11.498000000000001"/>
    <x v="0"/>
    <x v="0"/>
    <x v="0"/>
    <n v="11.498000000000001"/>
  </r>
  <r>
    <n v="2842"/>
    <x v="9"/>
    <x v="6"/>
    <n v="25"/>
    <n v="641.08199999999999"/>
    <x v="4"/>
    <x v="3"/>
    <x v="1"/>
    <n v="641.08199999999999"/>
  </r>
  <r>
    <n v="2843"/>
    <x v="9"/>
    <x v="6"/>
    <n v="25"/>
    <n v="-6.6159999999999997"/>
    <x v="0"/>
    <x v="0"/>
    <x v="0"/>
    <n v="6.6159999999999997"/>
  </r>
  <r>
    <n v="2844"/>
    <x v="9"/>
    <x v="6"/>
    <n v="26"/>
    <n v="-4.9479999999999995"/>
    <x v="0"/>
    <x v="0"/>
    <x v="0"/>
    <n v="4.9479999999999995"/>
  </r>
  <r>
    <n v="2845"/>
    <x v="9"/>
    <x v="6"/>
    <n v="27"/>
    <n v="-20.399999999999999"/>
    <x v="14"/>
    <x v="1"/>
    <x v="0"/>
    <n v="20.399999999999999"/>
  </r>
  <r>
    <n v="2846"/>
    <x v="9"/>
    <x v="6"/>
    <n v="31"/>
    <n v="-1.198"/>
    <x v="2"/>
    <x v="1"/>
    <x v="0"/>
    <n v="1.198"/>
  </r>
  <r>
    <n v="2847"/>
    <x v="9"/>
    <x v="6"/>
    <n v="31"/>
    <n v="4.0000000000000001E-3"/>
    <x v="3"/>
    <x v="2"/>
    <x v="1"/>
    <n v="4.0000000000000001E-3"/>
  </r>
  <r>
    <n v="2848"/>
    <x v="9"/>
    <x v="6"/>
    <n v="31"/>
    <n v="-2E-3"/>
    <x v="2"/>
    <x v="1"/>
    <x v="0"/>
    <n v="2E-3"/>
  </r>
  <r>
    <n v="2849"/>
    <x v="9"/>
    <x v="6"/>
    <n v="31"/>
    <n v="-15.662000000000001"/>
    <x v="0"/>
    <x v="0"/>
    <x v="0"/>
    <n v="15.662000000000001"/>
  </r>
  <r>
    <n v="2850"/>
    <x v="9"/>
    <x v="7"/>
    <n v="1"/>
    <n v="-8.2540000000000013"/>
    <x v="0"/>
    <x v="0"/>
    <x v="0"/>
    <n v="8.2540000000000013"/>
  </r>
  <r>
    <n v="2851"/>
    <x v="9"/>
    <x v="7"/>
    <n v="1"/>
    <n v="169.256"/>
    <x v="8"/>
    <x v="3"/>
    <x v="1"/>
    <n v="169.256"/>
  </r>
  <r>
    <n v="2852"/>
    <x v="9"/>
    <x v="7"/>
    <n v="2"/>
    <n v="-0.04"/>
    <x v="2"/>
    <x v="1"/>
    <x v="0"/>
    <n v="0.04"/>
  </r>
  <r>
    <n v="2853"/>
    <x v="9"/>
    <x v="7"/>
    <n v="4"/>
    <n v="-5.8"/>
    <x v="1"/>
    <x v="1"/>
    <x v="0"/>
    <n v="5.8"/>
  </r>
  <r>
    <n v="2854"/>
    <x v="9"/>
    <x v="7"/>
    <n v="4"/>
    <n v="-26.288"/>
    <x v="7"/>
    <x v="5"/>
    <x v="0"/>
    <n v="26.288"/>
  </r>
  <r>
    <n v="2855"/>
    <x v="9"/>
    <x v="7"/>
    <n v="4"/>
    <n v="-72.138000000000005"/>
    <x v="13"/>
    <x v="1"/>
    <x v="0"/>
    <n v="72.138000000000005"/>
  </r>
  <r>
    <n v="2856"/>
    <x v="9"/>
    <x v="7"/>
    <n v="4"/>
    <n v="-7.38"/>
    <x v="19"/>
    <x v="1"/>
    <x v="0"/>
    <n v="7.38"/>
  </r>
  <r>
    <n v="2857"/>
    <x v="9"/>
    <x v="7"/>
    <n v="6"/>
    <n v="-6.3940000000000001"/>
    <x v="0"/>
    <x v="0"/>
    <x v="0"/>
    <n v="6.3940000000000001"/>
  </r>
  <r>
    <n v="2858"/>
    <x v="9"/>
    <x v="7"/>
    <n v="6"/>
    <n v="-6.9799999999999995"/>
    <x v="7"/>
    <x v="5"/>
    <x v="0"/>
    <n v="6.9799999999999995"/>
  </r>
  <r>
    <n v="2859"/>
    <x v="9"/>
    <x v="7"/>
    <n v="9"/>
    <n v="-3.7039999999999997"/>
    <x v="0"/>
    <x v="0"/>
    <x v="0"/>
    <n v="3.7039999999999997"/>
  </r>
  <r>
    <n v="2860"/>
    <x v="9"/>
    <x v="7"/>
    <n v="9"/>
    <n v="-0.39800000000000002"/>
    <x v="2"/>
    <x v="1"/>
    <x v="0"/>
    <n v="0.39800000000000002"/>
  </r>
  <r>
    <n v="2861"/>
    <x v="9"/>
    <x v="7"/>
    <n v="12"/>
    <n v="-8.418000000000001"/>
    <x v="0"/>
    <x v="0"/>
    <x v="0"/>
    <n v="8.418000000000001"/>
  </r>
  <r>
    <n v="2862"/>
    <x v="9"/>
    <x v="7"/>
    <n v="13"/>
    <n v="-6.15"/>
    <x v="0"/>
    <x v="0"/>
    <x v="0"/>
    <n v="6.15"/>
  </r>
  <r>
    <n v="2863"/>
    <x v="9"/>
    <x v="7"/>
    <n v="16"/>
    <n v="-10.036"/>
    <x v="0"/>
    <x v="0"/>
    <x v="0"/>
    <n v="10.036"/>
  </r>
  <r>
    <n v="2864"/>
    <x v="9"/>
    <x v="7"/>
    <n v="19"/>
    <n v="-7.19"/>
    <x v="0"/>
    <x v="0"/>
    <x v="0"/>
    <n v="7.19"/>
  </r>
  <r>
    <n v="2865"/>
    <x v="9"/>
    <x v="7"/>
    <n v="22"/>
    <n v="-11.616"/>
    <x v="0"/>
    <x v="0"/>
    <x v="0"/>
    <n v="11.616"/>
  </r>
  <r>
    <n v="2866"/>
    <x v="9"/>
    <x v="7"/>
    <n v="23"/>
    <n v="-22.544"/>
    <x v="0"/>
    <x v="0"/>
    <x v="0"/>
    <n v="22.544"/>
  </r>
  <r>
    <n v="2867"/>
    <x v="9"/>
    <x v="7"/>
    <n v="23"/>
    <n v="641.08199999999999"/>
    <x v="4"/>
    <x v="3"/>
    <x v="1"/>
    <n v="641.08199999999999"/>
  </r>
  <r>
    <n v="2868"/>
    <x v="9"/>
    <x v="7"/>
    <n v="24"/>
    <n v="-19.8"/>
    <x v="14"/>
    <x v="1"/>
    <x v="0"/>
    <n v="19.8"/>
  </r>
  <r>
    <n v="2869"/>
    <x v="9"/>
    <x v="7"/>
    <n v="26"/>
    <n v="-8.3659999999999997"/>
    <x v="0"/>
    <x v="0"/>
    <x v="0"/>
    <n v="8.3659999999999997"/>
  </r>
  <r>
    <n v="2870"/>
    <x v="9"/>
    <x v="7"/>
    <n v="29"/>
    <n v="-5.3439999999999994"/>
    <x v="0"/>
    <x v="0"/>
    <x v="0"/>
    <n v="5.3439999999999994"/>
  </r>
  <r>
    <n v="2871"/>
    <x v="9"/>
    <x v="7"/>
    <n v="31"/>
    <n v="-1.198"/>
    <x v="2"/>
    <x v="1"/>
    <x v="0"/>
    <n v="1.198"/>
  </r>
  <r>
    <n v="2872"/>
    <x v="9"/>
    <x v="7"/>
    <n v="31"/>
    <n v="4.0000000000000001E-3"/>
    <x v="3"/>
    <x v="2"/>
    <x v="1"/>
    <n v="4.0000000000000001E-3"/>
  </r>
  <r>
    <n v="2873"/>
    <x v="9"/>
    <x v="7"/>
    <n v="31"/>
    <n v="-0.8"/>
    <x v="7"/>
    <x v="5"/>
    <x v="0"/>
    <n v="0.8"/>
  </r>
  <r>
    <n v="2874"/>
    <x v="9"/>
    <x v="7"/>
    <n v="31"/>
    <n v="-2E-3"/>
    <x v="2"/>
    <x v="1"/>
    <x v="0"/>
    <n v="2E-3"/>
  </r>
  <r>
    <n v="2875"/>
    <x v="9"/>
    <x v="7"/>
    <n v="31"/>
    <n v="-0.8"/>
    <x v="2"/>
    <x v="1"/>
    <x v="0"/>
    <n v="0.8"/>
  </r>
  <r>
    <n v="2876"/>
    <x v="9"/>
    <x v="7"/>
    <n v="31"/>
    <n v="-46.4"/>
    <x v="12"/>
    <x v="1"/>
    <x v="0"/>
    <n v="46.4"/>
  </r>
  <r>
    <n v="2877"/>
    <x v="9"/>
    <x v="8"/>
    <n v="1"/>
    <n v="-5.7700000000000005"/>
    <x v="18"/>
    <x v="1"/>
    <x v="0"/>
    <n v="5.7700000000000005"/>
  </r>
  <r>
    <n v="2878"/>
    <x v="9"/>
    <x v="8"/>
    <n v="1"/>
    <n v="-14.158000000000001"/>
    <x v="16"/>
    <x v="1"/>
    <x v="0"/>
    <n v="14.158000000000001"/>
  </r>
  <r>
    <n v="2879"/>
    <x v="9"/>
    <x v="8"/>
    <n v="1"/>
    <n v="-5.8"/>
    <x v="1"/>
    <x v="1"/>
    <x v="0"/>
    <n v="5.8"/>
  </r>
  <r>
    <n v="2880"/>
    <x v="9"/>
    <x v="8"/>
    <n v="1"/>
    <n v="-7.38"/>
    <x v="19"/>
    <x v="1"/>
    <x v="0"/>
    <n v="7.38"/>
  </r>
  <r>
    <n v="2881"/>
    <x v="9"/>
    <x v="8"/>
    <n v="1"/>
    <n v="-72.138000000000005"/>
    <x v="13"/>
    <x v="1"/>
    <x v="0"/>
    <n v="72.138000000000005"/>
  </r>
  <r>
    <n v="2882"/>
    <x v="9"/>
    <x v="8"/>
    <n v="2"/>
    <n v="-0.52"/>
    <x v="2"/>
    <x v="1"/>
    <x v="0"/>
    <n v="0.52"/>
  </r>
  <r>
    <n v="2883"/>
    <x v="9"/>
    <x v="8"/>
    <n v="3"/>
    <n v="-59.998000000000005"/>
    <x v="6"/>
    <x v="4"/>
    <x v="0"/>
    <n v="59.998000000000005"/>
  </r>
  <r>
    <n v="2884"/>
    <x v="9"/>
    <x v="8"/>
    <n v="5"/>
    <n v="-8.2540000000000013"/>
    <x v="0"/>
    <x v="0"/>
    <x v="0"/>
    <n v="8.2540000000000013"/>
  </r>
  <r>
    <n v="2885"/>
    <x v="9"/>
    <x v="8"/>
    <n v="6"/>
    <n v="-218.8"/>
    <x v="6"/>
    <x v="4"/>
    <x v="0"/>
    <n v="218.8"/>
  </r>
  <r>
    <n v="2886"/>
    <x v="9"/>
    <x v="8"/>
    <n v="13"/>
    <n v="-30"/>
    <x v="0"/>
    <x v="0"/>
    <x v="0"/>
    <n v="30"/>
  </r>
  <r>
    <n v="2887"/>
    <x v="9"/>
    <x v="8"/>
    <n v="14"/>
    <n v="-1.1279999999999999"/>
    <x v="0"/>
    <x v="0"/>
    <x v="0"/>
    <n v="1.1279999999999999"/>
  </r>
  <r>
    <n v="2888"/>
    <x v="9"/>
    <x v="8"/>
    <n v="16"/>
    <n v="-29.8"/>
    <x v="17"/>
    <x v="4"/>
    <x v="0"/>
    <n v="29.8"/>
  </r>
  <r>
    <n v="2889"/>
    <x v="9"/>
    <x v="8"/>
    <n v="16"/>
    <n v="-9.9079999999999995"/>
    <x v="0"/>
    <x v="0"/>
    <x v="0"/>
    <n v="9.9079999999999995"/>
  </r>
  <r>
    <n v="2890"/>
    <x v="9"/>
    <x v="8"/>
    <n v="17"/>
    <n v="-0.39800000000000002"/>
    <x v="2"/>
    <x v="1"/>
    <x v="0"/>
    <n v="0.39800000000000002"/>
  </r>
  <r>
    <n v="2891"/>
    <x v="9"/>
    <x v="8"/>
    <n v="17"/>
    <n v="-3"/>
    <x v="7"/>
    <x v="5"/>
    <x v="0"/>
    <n v="3"/>
  </r>
  <r>
    <n v="2892"/>
    <x v="9"/>
    <x v="8"/>
    <n v="19"/>
    <n v="-20"/>
    <x v="0"/>
    <x v="0"/>
    <x v="0"/>
    <n v="20"/>
  </r>
  <r>
    <n v="2893"/>
    <x v="9"/>
    <x v="8"/>
    <n v="19"/>
    <n v="-336.19799999999998"/>
    <x v="7"/>
    <x v="5"/>
    <x v="0"/>
    <n v="336.19799999999998"/>
  </r>
  <r>
    <n v="2894"/>
    <x v="9"/>
    <x v="8"/>
    <n v="19"/>
    <n v="-7.5959999999999992"/>
    <x v="7"/>
    <x v="5"/>
    <x v="0"/>
    <n v="7.5959999999999992"/>
  </r>
  <r>
    <n v="2895"/>
    <x v="9"/>
    <x v="8"/>
    <n v="20"/>
    <n v="-6.3220000000000001"/>
    <x v="0"/>
    <x v="0"/>
    <x v="0"/>
    <n v="6.3220000000000001"/>
  </r>
  <r>
    <n v="2896"/>
    <x v="9"/>
    <x v="8"/>
    <n v="21"/>
    <n v="-3.222"/>
    <x v="0"/>
    <x v="0"/>
    <x v="0"/>
    <n v="3.222"/>
  </r>
  <r>
    <n v="2897"/>
    <x v="9"/>
    <x v="8"/>
    <n v="24"/>
    <n v="-44.727999999999994"/>
    <x v="17"/>
    <x v="4"/>
    <x v="0"/>
    <n v="44.727999999999994"/>
  </r>
  <r>
    <n v="2898"/>
    <x v="9"/>
    <x v="8"/>
    <n v="26"/>
    <n v="641.08199999999999"/>
    <x v="4"/>
    <x v="3"/>
    <x v="1"/>
    <n v="641.08199999999999"/>
  </r>
  <r>
    <n v="2899"/>
    <x v="9"/>
    <x v="8"/>
    <n v="26"/>
    <n v="-28.968"/>
    <x v="0"/>
    <x v="0"/>
    <x v="0"/>
    <n v="28.968"/>
  </r>
  <r>
    <n v="2900"/>
    <x v="9"/>
    <x v="8"/>
    <n v="30"/>
    <n v="-20.399999999999999"/>
    <x v="14"/>
    <x v="1"/>
    <x v="0"/>
    <n v="20.399999999999999"/>
  </r>
  <r>
    <n v="2901"/>
    <x v="9"/>
    <x v="8"/>
    <n v="30"/>
    <n v="2E-3"/>
    <x v="3"/>
    <x v="2"/>
    <x v="1"/>
    <n v="2E-3"/>
  </r>
  <r>
    <n v="2902"/>
    <x v="9"/>
    <x v="8"/>
    <n v="30"/>
    <n v="-1.198"/>
    <x v="2"/>
    <x v="1"/>
    <x v="0"/>
    <n v="1.198"/>
  </r>
  <r>
    <n v="2903"/>
    <x v="9"/>
    <x v="8"/>
    <n v="30"/>
    <n v="110"/>
    <x v="9"/>
    <x v="3"/>
    <x v="1"/>
    <n v="110"/>
  </r>
  <r>
    <n v="2904"/>
    <x v="9"/>
    <x v="8"/>
    <n v="30"/>
    <n v="-0.3"/>
    <x v="2"/>
    <x v="1"/>
    <x v="0"/>
    <n v="0.3"/>
  </r>
  <r>
    <n v="2905"/>
    <x v="9"/>
    <x v="8"/>
    <n v="30"/>
    <n v="-2E-3"/>
    <x v="2"/>
    <x v="1"/>
    <x v="0"/>
    <n v="2E-3"/>
  </r>
  <r>
    <n v="2906"/>
    <x v="9"/>
    <x v="9"/>
    <n v="1"/>
    <n v="-8.1720000000000006"/>
    <x v="7"/>
    <x v="5"/>
    <x v="0"/>
    <n v="8.1720000000000006"/>
  </r>
  <r>
    <n v="2907"/>
    <x v="9"/>
    <x v="9"/>
    <n v="1"/>
    <n v="-72.138000000000005"/>
    <x v="13"/>
    <x v="1"/>
    <x v="0"/>
    <n v="72.138000000000005"/>
  </r>
  <r>
    <n v="2908"/>
    <x v="9"/>
    <x v="9"/>
    <n v="1"/>
    <n v="-7.38"/>
    <x v="19"/>
    <x v="1"/>
    <x v="0"/>
    <n v="7.38"/>
  </r>
  <r>
    <n v="2909"/>
    <x v="9"/>
    <x v="9"/>
    <n v="1"/>
    <n v="-5.8"/>
    <x v="1"/>
    <x v="1"/>
    <x v="0"/>
    <n v="5.8"/>
  </r>
  <r>
    <n v="2910"/>
    <x v="9"/>
    <x v="9"/>
    <n v="2"/>
    <n v="-0.27999999999999997"/>
    <x v="2"/>
    <x v="1"/>
    <x v="0"/>
    <n v="0.27999999999999997"/>
  </r>
  <r>
    <n v="2911"/>
    <x v="9"/>
    <x v="9"/>
    <n v="7"/>
    <n v="-10.245999999999999"/>
    <x v="0"/>
    <x v="0"/>
    <x v="0"/>
    <n v="10.245999999999999"/>
  </r>
  <r>
    <n v="2912"/>
    <x v="9"/>
    <x v="9"/>
    <n v="10"/>
    <n v="-0.39800000000000002"/>
    <x v="2"/>
    <x v="1"/>
    <x v="0"/>
    <n v="0.39800000000000002"/>
  </r>
  <r>
    <n v="2913"/>
    <x v="9"/>
    <x v="9"/>
    <n v="10"/>
    <n v="-7.8780000000000001"/>
    <x v="0"/>
    <x v="0"/>
    <x v="0"/>
    <n v="7.8780000000000001"/>
  </r>
  <r>
    <n v="2914"/>
    <x v="9"/>
    <x v="9"/>
    <n v="17"/>
    <n v="-7.918000000000001"/>
    <x v="0"/>
    <x v="0"/>
    <x v="0"/>
    <n v="7.918000000000001"/>
  </r>
  <r>
    <n v="2915"/>
    <x v="9"/>
    <x v="9"/>
    <n v="17"/>
    <n v="-6.3140000000000001"/>
    <x v="0"/>
    <x v="0"/>
    <x v="0"/>
    <n v="6.3140000000000001"/>
  </r>
  <r>
    <n v="2916"/>
    <x v="9"/>
    <x v="9"/>
    <n v="17"/>
    <n v="-3.2"/>
    <x v="0"/>
    <x v="0"/>
    <x v="0"/>
    <n v="3.2"/>
  </r>
  <r>
    <n v="2917"/>
    <x v="9"/>
    <x v="9"/>
    <n v="21"/>
    <n v="-10.872"/>
    <x v="0"/>
    <x v="0"/>
    <x v="0"/>
    <n v="10.872"/>
  </r>
  <r>
    <n v="2918"/>
    <x v="9"/>
    <x v="9"/>
    <n v="24"/>
    <n v="641.08199999999999"/>
    <x v="4"/>
    <x v="3"/>
    <x v="1"/>
    <n v="641.08199999999999"/>
  </r>
  <r>
    <n v="2919"/>
    <x v="9"/>
    <x v="9"/>
    <n v="25"/>
    <n v="-4.6219999999999999"/>
    <x v="0"/>
    <x v="0"/>
    <x v="0"/>
    <n v="4.6219999999999999"/>
  </r>
  <r>
    <n v="2920"/>
    <x v="9"/>
    <x v="9"/>
    <n v="26"/>
    <n v="-19.8"/>
    <x v="14"/>
    <x v="1"/>
    <x v="0"/>
    <n v="19.8"/>
  </r>
  <r>
    <n v="2921"/>
    <x v="9"/>
    <x v="9"/>
    <n v="29"/>
    <n v="218.62399999999997"/>
    <x v="8"/>
    <x v="3"/>
    <x v="1"/>
    <n v="218.62399999999997"/>
  </r>
  <r>
    <n v="2922"/>
    <x v="9"/>
    <x v="9"/>
    <n v="29"/>
    <n v="-7.82"/>
    <x v="0"/>
    <x v="0"/>
    <x v="0"/>
    <n v="7.82"/>
  </r>
  <r>
    <n v="2923"/>
    <x v="9"/>
    <x v="9"/>
    <n v="30"/>
    <n v="-3.0760000000000001"/>
    <x v="0"/>
    <x v="0"/>
    <x v="0"/>
    <n v="3.0760000000000001"/>
  </r>
  <r>
    <n v="2924"/>
    <x v="9"/>
    <x v="9"/>
    <n v="30"/>
    <n v="-0.9880000000000001"/>
    <x v="0"/>
    <x v="0"/>
    <x v="0"/>
    <n v="0.9880000000000001"/>
  </r>
  <r>
    <n v="2925"/>
    <x v="9"/>
    <x v="9"/>
    <n v="31"/>
    <n v="-2E-3"/>
    <x v="2"/>
    <x v="1"/>
    <x v="0"/>
    <n v="2E-3"/>
  </r>
  <r>
    <n v="2926"/>
    <x v="9"/>
    <x v="9"/>
    <n v="31"/>
    <n v="6.0000000000000001E-3"/>
    <x v="3"/>
    <x v="2"/>
    <x v="1"/>
    <n v="6.0000000000000001E-3"/>
  </r>
  <r>
    <n v="2927"/>
    <x v="9"/>
    <x v="9"/>
    <n v="31"/>
    <n v="-1.198"/>
    <x v="2"/>
    <x v="1"/>
    <x v="0"/>
    <n v="1.198"/>
  </r>
  <r>
    <n v="2928"/>
    <x v="9"/>
    <x v="10"/>
    <n v="1"/>
    <n v="-5.8"/>
    <x v="1"/>
    <x v="1"/>
    <x v="0"/>
    <n v="5.8"/>
  </r>
  <r>
    <n v="2929"/>
    <x v="9"/>
    <x v="10"/>
    <n v="1"/>
    <n v="-7.38"/>
    <x v="19"/>
    <x v="1"/>
    <x v="0"/>
    <n v="7.38"/>
  </r>
  <r>
    <n v="2930"/>
    <x v="9"/>
    <x v="10"/>
    <n v="1"/>
    <n v="-5.7700000000000005"/>
    <x v="18"/>
    <x v="1"/>
    <x v="0"/>
    <n v="5.7700000000000005"/>
  </r>
  <r>
    <n v="2931"/>
    <x v="9"/>
    <x v="10"/>
    <n v="1"/>
    <n v="-15.502000000000001"/>
    <x v="16"/>
    <x v="1"/>
    <x v="0"/>
    <n v="15.502000000000001"/>
  </r>
  <r>
    <n v="2932"/>
    <x v="9"/>
    <x v="10"/>
    <n v="1"/>
    <n v="-72.138000000000005"/>
    <x v="13"/>
    <x v="1"/>
    <x v="0"/>
    <n v="72.138000000000005"/>
  </r>
  <r>
    <n v="2933"/>
    <x v="9"/>
    <x v="10"/>
    <n v="4"/>
    <n v="-0.04"/>
    <x v="2"/>
    <x v="1"/>
    <x v="0"/>
    <n v="0.04"/>
  </r>
  <r>
    <n v="2934"/>
    <x v="9"/>
    <x v="10"/>
    <n v="7"/>
    <n v="-12.052"/>
    <x v="0"/>
    <x v="0"/>
    <x v="0"/>
    <n v="12.052"/>
  </r>
  <r>
    <n v="2935"/>
    <x v="9"/>
    <x v="10"/>
    <n v="8"/>
    <n v="-1.524"/>
    <x v="0"/>
    <x v="0"/>
    <x v="0"/>
    <n v="1.524"/>
  </r>
  <r>
    <n v="2936"/>
    <x v="9"/>
    <x v="10"/>
    <n v="8"/>
    <n v="-0.9880000000000001"/>
    <x v="0"/>
    <x v="0"/>
    <x v="0"/>
    <n v="0.9880000000000001"/>
  </r>
  <r>
    <n v="2937"/>
    <x v="9"/>
    <x v="10"/>
    <n v="13"/>
    <n v="-5.8140000000000001"/>
    <x v="0"/>
    <x v="0"/>
    <x v="0"/>
    <n v="5.8140000000000001"/>
  </r>
  <r>
    <n v="2938"/>
    <x v="9"/>
    <x v="10"/>
    <n v="14"/>
    <n v="-7.1139999999999999"/>
    <x v="0"/>
    <x v="0"/>
    <x v="0"/>
    <n v="7.1139999999999999"/>
  </r>
  <r>
    <n v="2939"/>
    <x v="9"/>
    <x v="10"/>
    <n v="15"/>
    <n v="-0.65800000000000003"/>
    <x v="0"/>
    <x v="0"/>
    <x v="0"/>
    <n v="0.65800000000000003"/>
  </r>
  <r>
    <n v="2940"/>
    <x v="9"/>
    <x v="10"/>
    <n v="18"/>
    <n v="-20"/>
    <x v="0"/>
    <x v="0"/>
    <x v="0"/>
    <n v="20"/>
  </r>
  <r>
    <n v="2941"/>
    <x v="9"/>
    <x v="10"/>
    <n v="20"/>
    <n v="-0.39800000000000002"/>
    <x v="2"/>
    <x v="1"/>
    <x v="0"/>
    <n v="0.39800000000000002"/>
  </r>
  <r>
    <n v="2942"/>
    <x v="9"/>
    <x v="10"/>
    <n v="20"/>
    <n v="-4.1459999999999999"/>
    <x v="0"/>
    <x v="0"/>
    <x v="0"/>
    <n v="4.1459999999999999"/>
  </r>
  <r>
    <n v="2943"/>
    <x v="9"/>
    <x v="10"/>
    <n v="22"/>
    <n v="-27.727999999999998"/>
    <x v="0"/>
    <x v="0"/>
    <x v="0"/>
    <n v="27.727999999999998"/>
  </r>
  <r>
    <n v="2944"/>
    <x v="9"/>
    <x v="10"/>
    <n v="23"/>
    <n v="-20.399999999999999"/>
    <x v="14"/>
    <x v="1"/>
    <x v="0"/>
    <n v="20.399999999999999"/>
  </r>
  <r>
    <n v="2945"/>
    <x v="9"/>
    <x v="10"/>
    <n v="23"/>
    <n v="-27.607999999999997"/>
    <x v="7"/>
    <x v="5"/>
    <x v="0"/>
    <n v="27.607999999999997"/>
  </r>
  <r>
    <n v="2946"/>
    <x v="9"/>
    <x v="10"/>
    <n v="26"/>
    <n v="657.21"/>
    <x v="4"/>
    <x v="3"/>
    <x v="1"/>
    <n v="657.21"/>
  </r>
  <r>
    <n v="2947"/>
    <x v="9"/>
    <x v="10"/>
    <n v="27"/>
    <n v="-7.444"/>
    <x v="0"/>
    <x v="0"/>
    <x v="0"/>
    <n v="7.444"/>
  </r>
  <r>
    <n v="2948"/>
    <x v="9"/>
    <x v="10"/>
    <n v="28"/>
    <n v="-3.6479999999999997"/>
    <x v="0"/>
    <x v="0"/>
    <x v="0"/>
    <n v="3.6479999999999997"/>
  </r>
  <r>
    <n v="2949"/>
    <x v="9"/>
    <x v="10"/>
    <n v="30"/>
    <n v="-1.198"/>
    <x v="2"/>
    <x v="1"/>
    <x v="0"/>
    <n v="1.198"/>
  </r>
  <r>
    <n v="2950"/>
    <x v="9"/>
    <x v="10"/>
    <n v="30"/>
    <n v="-2E-3"/>
    <x v="2"/>
    <x v="1"/>
    <x v="0"/>
    <n v="2E-3"/>
  </r>
  <r>
    <n v="2951"/>
    <x v="9"/>
    <x v="10"/>
    <n v="30"/>
    <n v="-4.9799999999999995"/>
    <x v="7"/>
    <x v="5"/>
    <x v="0"/>
    <n v="4.9799999999999995"/>
  </r>
  <r>
    <n v="2952"/>
    <x v="9"/>
    <x v="10"/>
    <n v="30"/>
    <n v="-0.7"/>
    <x v="2"/>
    <x v="1"/>
    <x v="0"/>
    <n v="0.7"/>
  </r>
  <r>
    <n v="2953"/>
    <x v="9"/>
    <x v="10"/>
    <n v="30"/>
    <n v="2E-3"/>
    <x v="3"/>
    <x v="2"/>
    <x v="1"/>
    <n v="2E-3"/>
  </r>
  <r>
    <n v="2954"/>
    <x v="9"/>
    <x v="11"/>
    <n v="1"/>
    <n v="-5.8"/>
    <x v="1"/>
    <x v="1"/>
    <x v="0"/>
    <n v="5.8"/>
  </r>
  <r>
    <n v="2955"/>
    <x v="9"/>
    <x v="11"/>
    <n v="1"/>
    <n v="-72.138000000000005"/>
    <x v="13"/>
    <x v="1"/>
    <x v="0"/>
    <n v="72.138000000000005"/>
  </r>
  <r>
    <n v="2956"/>
    <x v="9"/>
    <x v="11"/>
    <n v="1"/>
    <n v="-7.38"/>
    <x v="19"/>
    <x v="1"/>
    <x v="0"/>
    <n v="7.38"/>
  </r>
  <r>
    <n v="2957"/>
    <x v="9"/>
    <x v="11"/>
    <n v="1"/>
    <n v="-25.722000000000001"/>
    <x v="7"/>
    <x v="5"/>
    <x v="0"/>
    <n v="25.722000000000001"/>
  </r>
  <r>
    <n v="2958"/>
    <x v="9"/>
    <x v="11"/>
    <n v="2"/>
    <n v="-0.4"/>
    <x v="2"/>
    <x v="1"/>
    <x v="0"/>
    <n v="0.4"/>
  </r>
  <r>
    <n v="2959"/>
    <x v="9"/>
    <x v="11"/>
    <n v="3"/>
    <n v="-17.436"/>
    <x v="0"/>
    <x v="0"/>
    <x v="0"/>
    <n v="17.436"/>
  </r>
  <r>
    <n v="2960"/>
    <x v="9"/>
    <x v="11"/>
    <n v="5"/>
    <n v="-2.6960000000000002"/>
    <x v="0"/>
    <x v="0"/>
    <x v="0"/>
    <n v="2.6960000000000002"/>
  </r>
  <r>
    <n v="2961"/>
    <x v="9"/>
    <x v="11"/>
    <n v="6"/>
    <n v="-14.288"/>
    <x v="0"/>
    <x v="0"/>
    <x v="0"/>
    <n v="14.288"/>
  </r>
  <r>
    <n v="2962"/>
    <x v="9"/>
    <x v="11"/>
    <n v="10"/>
    <n v="-12.07"/>
    <x v="0"/>
    <x v="0"/>
    <x v="0"/>
    <n v="12.07"/>
  </r>
  <r>
    <n v="2963"/>
    <x v="9"/>
    <x v="11"/>
    <n v="11"/>
    <n v="-6.9480000000000004"/>
    <x v="0"/>
    <x v="0"/>
    <x v="0"/>
    <n v="6.9480000000000004"/>
  </r>
  <r>
    <n v="2964"/>
    <x v="9"/>
    <x v="11"/>
    <n v="12"/>
    <n v="-1.98"/>
    <x v="0"/>
    <x v="0"/>
    <x v="0"/>
    <n v="1.98"/>
  </r>
  <r>
    <n v="2965"/>
    <x v="9"/>
    <x v="11"/>
    <n v="12"/>
    <n v="-1.296"/>
    <x v="0"/>
    <x v="0"/>
    <x v="0"/>
    <n v="1.296"/>
  </r>
  <r>
    <n v="2966"/>
    <x v="9"/>
    <x v="11"/>
    <n v="12"/>
    <n v="657.21"/>
    <x v="4"/>
    <x v="3"/>
    <x v="1"/>
    <n v="657.21"/>
  </r>
  <r>
    <n v="2967"/>
    <x v="9"/>
    <x v="11"/>
    <n v="13"/>
    <n v="93.4"/>
    <x v="9"/>
    <x v="3"/>
    <x v="1"/>
    <n v="93.4"/>
  </r>
  <r>
    <n v="2968"/>
    <x v="9"/>
    <x v="11"/>
    <n v="13"/>
    <n v="-1.294"/>
    <x v="0"/>
    <x v="0"/>
    <x v="0"/>
    <n v="1.294"/>
  </r>
  <r>
    <n v="2969"/>
    <x v="9"/>
    <x v="11"/>
    <n v="18"/>
    <n v="-5.444"/>
    <x v="0"/>
    <x v="0"/>
    <x v="0"/>
    <n v="5.444"/>
  </r>
  <r>
    <n v="2970"/>
    <x v="9"/>
    <x v="11"/>
    <n v="18"/>
    <n v="-0.39800000000000002"/>
    <x v="2"/>
    <x v="1"/>
    <x v="0"/>
    <n v="0.39800000000000002"/>
  </r>
  <r>
    <n v="2971"/>
    <x v="9"/>
    <x v="11"/>
    <n v="19"/>
    <n v="-33.227999999999994"/>
    <x v="0"/>
    <x v="0"/>
    <x v="0"/>
    <n v="33.227999999999994"/>
  </r>
  <r>
    <n v="2972"/>
    <x v="9"/>
    <x v="11"/>
    <n v="21"/>
    <n v="-29.139999999999997"/>
    <x v="0"/>
    <x v="0"/>
    <x v="0"/>
    <n v="29.139999999999997"/>
  </r>
  <r>
    <n v="2973"/>
    <x v="9"/>
    <x v="11"/>
    <n v="21"/>
    <n v="-4.2080000000000002"/>
    <x v="0"/>
    <x v="0"/>
    <x v="0"/>
    <n v="4.2080000000000002"/>
  </r>
  <r>
    <n v="2974"/>
    <x v="9"/>
    <x v="11"/>
    <n v="23"/>
    <n v="371.976"/>
    <x v="8"/>
    <x v="3"/>
    <x v="1"/>
    <n v="371.976"/>
  </r>
  <r>
    <n v="2975"/>
    <x v="9"/>
    <x v="11"/>
    <n v="26"/>
    <n v="-20.399999999999999"/>
    <x v="14"/>
    <x v="1"/>
    <x v="0"/>
    <n v="20.399999999999999"/>
  </r>
  <r>
    <n v="2976"/>
    <x v="9"/>
    <x v="11"/>
    <n v="28"/>
    <n v="-59.94"/>
    <x v="7"/>
    <x v="5"/>
    <x v="0"/>
    <n v="59.94"/>
  </r>
  <r>
    <n v="2977"/>
    <x v="9"/>
    <x v="11"/>
    <n v="28"/>
    <n v="-5.4340000000000002"/>
    <x v="0"/>
    <x v="0"/>
    <x v="0"/>
    <n v="5.4340000000000002"/>
  </r>
  <r>
    <n v="2978"/>
    <x v="9"/>
    <x v="11"/>
    <n v="30"/>
    <n v="-15.122"/>
    <x v="0"/>
    <x v="0"/>
    <x v="0"/>
    <n v="15.122"/>
  </r>
  <r>
    <n v="2979"/>
    <x v="9"/>
    <x v="11"/>
    <n v="31"/>
    <n v="-1.198"/>
    <x v="2"/>
    <x v="1"/>
    <x v="0"/>
    <n v="1.198"/>
  </r>
  <r>
    <n v="2980"/>
    <x v="9"/>
    <x v="11"/>
    <n v="31"/>
    <n v="4.0000000000000001E-3"/>
    <x v="3"/>
    <x v="2"/>
    <x v="1"/>
    <n v="4.0000000000000001E-3"/>
  </r>
  <r>
    <n v="2981"/>
    <x v="9"/>
    <x v="11"/>
    <n v="31"/>
    <n v="-2E-3"/>
    <x v="2"/>
    <x v="1"/>
    <x v="0"/>
    <n v="2E-3"/>
  </r>
  <r>
    <n v="2982"/>
    <x v="10"/>
    <x v="0"/>
    <n v="1"/>
    <n v="-57.805999999999997"/>
    <x v="0"/>
    <x v="0"/>
    <x v="0"/>
    <n v="57.805999999999997"/>
  </r>
  <r>
    <n v="2983"/>
    <x v="10"/>
    <x v="0"/>
    <n v="1"/>
    <n v="-7.38"/>
    <x v="19"/>
    <x v="1"/>
    <x v="0"/>
    <n v="7.38"/>
  </r>
  <r>
    <n v="2984"/>
    <x v="10"/>
    <x v="0"/>
    <n v="1"/>
    <n v="-13.431999999999999"/>
    <x v="16"/>
    <x v="1"/>
    <x v="0"/>
    <n v="13.431999999999999"/>
  </r>
  <r>
    <n v="2985"/>
    <x v="10"/>
    <x v="0"/>
    <n v="1"/>
    <n v="-5.8"/>
    <x v="1"/>
    <x v="1"/>
    <x v="0"/>
    <n v="5.8"/>
  </r>
  <r>
    <n v="2986"/>
    <x v="10"/>
    <x v="0"/>
    <n v="1"/>
    <n v="-5.7700000000000005"/>
    <x v="18"/>
    <x v="1"/>
    <x v="0"/>
    <n v="5.7700000000000005"/>
  </r>
  <r>
    <n v="2987"/>
    <x v="10"/>
    <x v="0"/>
    <n v="1"/>
    <n v="-4.54"/>
    <x v="21"/>
    <x v="1"/>
    <x v="0"/>
    <n v="4.54"/>
  </r>
  <r>
    <n v="2988"/>
    <x v="10"/>
    <x v="0"/>
    <n v="2"/>
    <n v="-0.08"/>
    <x v="2"/>
    <x v="1"/>
    <x v="0"/>
    <n v="0.08"/>
  </r>
  <r>
    <n v="2989"/>
    <x v="10"/>
    <x v="0"/>
    <n v="2"/>
    <n v="-43.8"/>
    <x v="6"/>
    <x v="4"/>
    <x v="0"/>
    <n v="43.8"/>
  </r>
  <r>
    <n v="2990"/>
    <x v="10"/>
    <x v="0"/>
    <n v="4"/>
    <n v="-76.515999999999991"/>
    <x v="13"/>
    <x v="1"/>
    <x v="0"/>
    <n v="76.515999999999991"/>
  </r>
  <r>
    <n v="2991"/>
    <x v="10"/>
    <x v="0"/>
    <n v="10"/>
    <n v="-0.92400000000000004"/>
    <x v="0"/>
    <x v="0"/>
    <x v="0"/>
    <n v="0.92400000000000004"/>
  </r>
  <r>
    <n v="2992"/>
    <x v="10"/>
    <x v="0"/>
    <n v="14"/>
    <n v="-1.8859999999999999"/>
    <x v="0"/>
    <x v="0"/>
    <x v="0"/>
    <n v="1.8859999999999999"/>
  </r>
  <r>
    <n v="2993"/>
    <x v="10"/>
    <x v="0"/>
    <n v="15"/>
    <n v="-0.39800000000000002"/>
    <x v="2"/>
    <x v="1"/>
    <x v="0"/>
    <n v="0.39800000000000002"/>
  </r>
  <r>
    <n v="2994"/>
    <x v="10"/>
    <x v="0"/>
    <n v="16"/>
    <n v="-5.2439999999999998"/>
    <x v="0"/>
    <x v="0"/>
    <x v="0"/>
    <n v="5.2439999999999998"/>
  </r>
  <r>
    <n v="2995"/>
    <x v="10"/>
    <x v="0"/>
    <n v="22"/>
    <n v="-7.4079999999999995"/>
    <x v="0"/>
    <x v="0"/>
    <x v="0"/>
    <n v="7.4079999999999995"/>
  </r>
  <r>
    <n v="2996"/>
    <x v="10"/>
    <x v="0"/>
    <n v="24"/>
    <n v="735.55"/>
    <x v="4"/>
    <x v="3"/>
    <x v="1"/>
    <n v="735.55"/>
  </r>
  <r>
    <n v="2997"/>
    <x v="10"/>
    <x v="0"/>
    <n v="26"/>
    <n v="-19.8"/>
    <x v="14"/>
    <x v="1"/>
    <x v="0"/>
    <n v="19.8"/>
  </r>
  <r>
    <n v="2998"/>
    <x v="10"/>
    <x v="0"/>
    <n v="28"/>
    <n v="-0.32999999999999996"/>
    <x v="0"/>
    <x v="0"/>
    <x v="0"/>
    <n v="0.32999999999999996"/>
  </r>
  <r>
    <n v="2999"/>
    <x v="10"/>
    <x v="0"/>
    <n v="29"/>
    <n v="-10.302"/>
    <x v="0"/>
    <x v="0"/>
    <x v="0"/>
    <n v="10.302"/>
  </r>
  <r>
    <n v="3000"/>
    <x v="10"/>
    <x v="0"/>
    <n v="31"/>
    <n v="-0.4"/>
    <x v="2"/>
    <x v="1"/>
    <x v="0"/>
    <n v="0.4"/>
  </r>
  <r>
    <n v="3001"/>
    <x v="10"/>
    <x v="0"/>
    <n v="31"/>
    <n v="-1.198"/>
    <x v="2"/>
    <x v="1"/>
    <x v="0"/>
    <n v="1.198"/>
  </r>
  <r>
    <n v="3002"/>
    <x v="10"/>
    <x v="0"/>
    <n v="31"/>
    <n v="2E-3"/>
    <x v="3"/>
    <x v="2"/>
    <x v="1"/>
    <n v="2E-3"/>
  </r>
  <r>
    <n v="3003"/>
    <x v="10"/>
    <x v="0"/>
    <n v="31"/>
    <n v="-2E-3"/>
    <x v="2"/>
    <x v="1"/>
    <x v="0"/>
    <n v="2E-3"/>
  </r>
  <r>
    <n v="3004"/>
    <x v="10"/>
    <x v="0"/>
    <n v="31"/>
    <n v="-13.612"/>
    <x v="0"/>
    <x v="0"/>
    <x v="0"/>
    <n v="13.612"/>
  </r>
  <r>
    <n v="3005"/>
    <x v="10"/>
    <x v="1"/>
    <n v="1"/>
    <n v="-4.54"/>
    <x v="21"/>
    <x v="1"/>
    <x v="0"/>
    <n v="4.54"/>
  </r>
  <r>
    <n v="3006"/>
    <x v="10"/>
    <x v="1"/>
    <n v="1"/>
    <n v="-8.8000000000000007"/>
    <x v="20"/>
    <x v="1"/>
    <x v="0"/>
    <n v="8.8000000000000007"/>
  </r>
  <r>
    <n v="3007"/>
    <x v="10"/>
    <x v="1"/>
    <n v="1"/>
    <n v="-5.8"/>
    <x v="1"/>
    <x v="1"/>
    <x v="0"/>
    <n v="5.8"/>
  </r>
  <r>
    <n v="3008"/>
    <x v="10"/>
    <x v="1"/>
    <n v="1"/>
    <n v="-7.38"/>
    <x v="19"/>
    <x v="1"/>
    <x v="0"/>
    <n v="7.38"/>
  </r>
  <r>
    <n v="3009"/>
    <x v="10"/>
    <x v="1"/>
    <n v="1"/>
    <n v="-73.957999999999998"/>
    <x v="13"/>
    <x v="1"/>
    <x v="0"/>
    <n v="73.957999999999998"/>
  </r>
  <r>
    <n v="3010"/>
    <x v="10"/>
    <x v="1"/>
    <n v="2"/>
    <n v="-20.830000000000002"/>
    <x v="0"/>
    <x v="0"/>
    <x v="0"/>
    <n v="20.830000000000002"/>
  </r>
  <r>
    <n v="3011"/>
    <x v="10"/>
    <x v="1"/>
    <n v="3"/>
    <n v="-10.648"/>
    <x v="0"/>
    <x v="0"/>
    <x v="0"/>
    <n v="10.648"/>
  </r>
  <r>
    <n v="3012"/>
    <x v="10"/>
    <x v="1"/>
    <n v="3"/>
    <n v="-0.32"/>
    <x v="2"/>
    <x v="1"/>
    <x v="0"/>
    <n v="0.32"/>
  </r>
  <r>
    <n v="3013"/>
    <x v="10"/>
    <x v="1"/>
    <n v="4"/>
    <n v="-0.35"/>
    <x v="0"/>
    <x v="0"/>
    <x v="0"/>
    <n v="0.35"/>
  </r>
  <r>
    <n v="3014"/>
    <x v="10"/>
    <x v="1"/>
    <n v="4"/>
    <n v="647.87799999999993"/>
    <x v="5"/>
    <x v="3"/>
    <x v="1"/>
    <n v="647.87799999999993"/>
  </r>
  <r>
    <n v="3015"/>
    <x v="10"/>
    <x v="1"/>
    <n v="5"/>
    <n v="-63"/>
    <x v="7"/>
    <x v="5"/>
    <x v="0"/>
    <n v="63"/>
  </r>
  <r>
    <n v="3016"/>
    <x v="10"/>
    <x v="1"/>
    <n v="6"/>
    <n v="-1"/>
    <x v="0"/>
    <x v="0"/>
    <x v="0"/>
    <n v="1"/>
  </r>
  <r>
    <n v="3017"/>
    <x v="10"/>
    <x v="1"/>
    <n v="6"/>
    <n v="-0.9880000000000001"/>
    <x v="0"/>
    <x v="0"/>
    <x v="0"/>
    <n v="0.9880000000000001"/>
  </r>
  <r>
    <n v="3018"/>
    <x v="10"/>
    <x v="1"/>
    <n v="6"/>
    <n v="-7.6560000000000006"/>
    <x v="0"/>
    <x v="0"/>
    <x v="0"/>
    <n v="7.6560000000000006"/>
  </r>
  <r>
    <n v="3019"/>
    <x v="10"/>
    <x v="1"/>
    <n v="11"/>
    <n v="-6.9540000000000006"/>
    <x v="0"/>
    <x v="0"/>
    <x v="0"/>
    <n v="6.9540000000000006"/>
  </r>
  <r>
    <n v="3020"/>
    <x v="10"/>
    <x v="1"/>
    <n v="11"/>
    <n v="-0.39800000000000002"/>
    <x v="2"/>
    <x v="1"/>
    <x v="0"/>
    <n v="0.39800000000000002"/>
  </r>
  <r>
    <n v="3021"/>
    <x v="10"/>
    <x v="1"/>
    <n v="13"/>
    <n v="-0.32999999999999996"/>
    <x v="0"/>
    <x v="0"/>
    <x v="0"/>
    <n v="0.32999999999999996"/>
  </r>
  <r>
    <n v="3022"/>
    <x v="10"/>
    <x v="1"/>
    <n v="20"/>
    <n v="-12.548"/>
    <x v="0"/>
    <x v="0"/>
    <x v="0"/>
    <n v="12.548"/>
  </r>
  <r>
    <n v="3023"/>
    <x v="10"/>
    <x v="1"/>
    <n v="21"/>
    <n v="-0.65800000000000003"/>
    <x v="0"/>
    <x v="0"/>
    <x v="0"/>
    <n v="0.65800000000000003"/>
  </r>
  <r>
    <n v="3024"/>
    <x v="10"/>
    <x v="1"/>
    <n v="21"/>
    <n v="-0.41600000000000004"/>
    <x v="0"/>
    <x v="0"/>
    <x v="0"/>
    <n v="0.41600000000000004"/>
  </r>
  <r>
    <n v="3025"/>
    <x v="10"/>
    <x v="1"/>
    <n v="24"/>
    <n v="-19.8"/>
    <x v="14"/>
    <x v="1"/>
    <x v="0"/>
    <n v="19.8"/>
  </r>
  <r>
    <n v="3026"/>
    <x v="10"/>
    <x v="1"/>
    <n v="25"/>
    <n v="-5.2299999999999995"/>
    <x v="0"/>
    <x v="0"/>
    <x v="0"/>
    <n v="5.2299999999999995"/>
  </r>
  <r>
    <n v="3027"/>
    <x v="10"/>
    <x v="1"/>
    <n v="26"/>
    <n v="735.55"/>
    <x v="4"/>
    <x v="3"/>
    <x v="1"/>
    <n v="735.55"/>
  </r>
  <r>
    <n v="3028"/>
    <x v="10"/>
    <x v="1"/>
    <n v="27"/>
    <n v="-1.198"/>
    <x v="2"/>
    <x v="1"/>
    <x v="0"/>
    <n v="1.198"/>
  </r>
  <r>
    <n v="3029"/>
    <x v="10"/>
    <x v="1"/>
    <n v="27"/>
    <n v="-0.8"/>
    <x v="2"/>
    <x v="1"/>
    <x v="0"/>
    <n v="0.8"/>
  </r>
  <r>
    <n v="3030"/>
    <x v="10"/>
    <x v="1"/>
    <n v="27"/>
    <n v="-2E-3"/>
    <x v="2"/>
    <x v="1"/>
    <x v="0"/>
    <n v="2E-3"/>
  </r>
  <r>
    <n v="3031"/>
    <x v="10"/>
    <x v="1"/>
    <n v="27"/>
    <n v="-0.55999999999999994"/>
    <x v="2"/>
    <x v="1"/>
    <x v="0"/>
    <n v="0.55999999999999994"/>
  </r>
  <r>
    <n v="3032"/>
    <x v="10"/>
    <x v="1"/>
    <n v="29"/>
    <n v="-4.9799999999999995"/>
    <x v="7"/>
    <x v="5"/>
    <x v="0"/>
    <n v="4.9799999999999995"/>
  </r>
  <r>
    <n v="3033"/>
    <x v="10"/>
    <x v="1"/>
    <n v="29"/>
    <n v="-800"/>
    <x v="7"/>
    <x v="5"/>
    <x v="0"/>
    <n v="800"/>
  </r>
  <r>
    <n v="3034"/>
    <x v="10"/>
    <x v="1"/>
    <n v="29"/>
    <n v="6.0000000000000001E-3"/>
    <x v="3"/>
    <x v="2"/>
    <x v="1"/>
    <n v="6.0000000000000001E-3"/>
  </r>
  <r>
    <n v="3035"/>
    <x v="10"/>
    <x v="2"/>
    <n v="1"/>
    <n v="-7.38"/>
    <x v="19"/>
    <x v="1"/>
    <x v="0"/>
    <n v="7.38"/>
  </r>
  <r>
    <n v="3036"/>
    <x v="10"/>
    <x v="2"/>
    <n v="1"/>
    <n v="-16.036000000000001"/>
    <x v="16"/>
    <x v="1"/>
    <x v="0"/>
    <n v="16.036000000000001"/>
  </r>
  <r>
    <n v="3037"/>
    <x v="10"/>
    <x v="2"/>
    <n v="1"/>
    <n v="-5.7700000000000005"/>
    <x v="18"/>
    <x v="1"/>
    <x v="0"/>
    <n v="5.7700000000000005"/>
  </r>
  <r>
    <n v="3038"/>
    <x v="10"/>
    <x v="2"/>
    <n v="1"/>
    <n v="-73.957999999999998"/>
    <x v="13"/>
    <x v="1"/>
    <x v="0"/>
    <n v="73.957999999999998"/>
  </r>
  <r>
    <n v="3039"/>
    <x v="10"/>
    <x v="2"/>
    <n v="1"/>
    <n v="-5.8"/>
    <x v="1"/>
    <x v="1"/>
    <x v="0"/>
    <n v="5.8"/>
  </r>
  <r>
    <n v="3040"/>
    <x v="10"/>
    <x v="2"/>
    <n v="1"/>
    <n v="-4.54"/>
    <x v="21"/>
    <x v="1"/>
    <x v="0"/>
    <n v="4.54"/>
  </r>
  <r>
    <n v="3041"/>
    <x v="10"/>
    <x v="2"/>
    <n v="1"/>
    <n v="-44.654000000000003"/>
    <x v="7"/>
    <x v="5"/>
    <x v="0"/>
    <n v="44.654000000000003"/>
  </r>
  <r>
    <n v="3042"/>
    <x v="10"/>
    <x v="2"/>
    <n v="2"/>
    <n v="-15.818000000000001"/>
    <x v="0"/>
    <x v="0"/>
    <x v="0"/>
    <n v="15.818000000000001"/>
  </r>
  <r>
    <n v="3043"/>
    <x v="10"/>
    <x v="2"/>
    <n v="3"/>
    <n v="-8.5120000000000005"/>
    <x v="0"/>
    <x v="0"/>
    <x v="0"/>
    <n v="8.5120000000000005"/>
  </r>
  <r>
    <n v="3044"/>
    <x v="10"/>
    <x v="2"/>
    <n v="3"/>
    <n v="-3.5460000000000003"/>
    <x v="0"/>
    <x v="0"/>
    <x v="0"/>
    <n v="3.5460000000000003"/>
  </r>
  <r>
    <n v="3045"/>
    <x v="10"/>
    <x v="2"/>
    <n v="4"/>
    <n v="-5.5179999999999998"/>
    <x v="0"/>
    <x v="0"/>
    <x v="0"/>
    <n v="5.5179999999999998"/>
  </r>
  <r>
    <n v="3046"/>
    <x v="10"/>
    <x v="2"/>
    <n v="5"/>
    <n v="-20"/>
    <x v="0"/>
    <x v="0"/>
    <x v="0"/>
    <n v="20"/>
  </r>
  <r>
    <n v="3047"/>
    <x v="10"/>
    <x v="2"/>
    <n v="7"/>
    <n v="-3.4"/>
    <x v="0"/>
    <x v="0"/>
    <x v="0"/>
    <n v="3.4"/>
  </r>
  <r>
    <n v="3048"/>
    <x v="10"/>
    <x v="2"/>
    <n v="9"/>
    <n v="-1.444"/>
    <x v="0"/>
    <x v="0"/>
    <x v="0"/>
    <n v="1.444"/>
  </r>
  <r>
    <n v="3049"/>
    <x v="10"/>
    <x v="2"/>
    <n v="9"/>
    <n v="-10.09"/>
    <x v="0"/>
    <x v="0"/>
    <x v="0"/>
    <n v="10.09"/>
  </r>
  <r>
    <n v="3050"/>
    <x v="10"/>
    <x v="2"/>
    <n v="11"/>
    <n v="-25.2"/>
    <x v="7"/>
    <x v="5"/>
    <x v="0"/>
    <n v="25.2"/>
  </r>
  <r>
    <n v="3051"/>
    <x v="10"/>
    <x v="2"/>
    <n v="11"/>
    <n v="-12.446"/>
    <x v="0"/>
    <x v="0"/>
    <x v="0"/>
    <n v="12.446"/>
  </r>
  <r>
    <n v="3052"/>
    <x v="10"/>
    <x v="2"/>
    <n v="14"/>
    <n v="-1.954"/>
    <x v="0"/>
    <x v="0"/>
    <x v="0"/>
    <n v="1.954"/>
  </r>
  <r>
    <n v="3053"/>
    <x v="10"/>
    <x v="2"/>
    <n v="16"/>
    <n v="-0.65800000000000003"/>
    <x v="0"/>
    <x v="0"/>
    <x v="0"/>
    <n v="0.65800000000000003"/>
  </r>
  <r>
    <n v="3054"/>
    <x v="10"/>
    <x v="2"/>
    <n v="16"/>
    <n v="-3.4799999999999995"/>
    <x v="0"/>
    <x v="0"/>
    <x v="0"/>
    <n v="3.4799999999999995"/>
  </r>
  <r>
    <n v="3055"/>
    <x v="10"/>
    <x v="2"/>
    <n v="16"/>
    <n v="-12.58"/>
    <x v="0"/>
    <x v="0"/>
    <x v="0"/>
    <n v="12.58"/>
  </r>
  <r>
    <n v="3056"/>
    <x v="10"/>
    <x v="2"/>
    <n v="18"/>
    <n v="735.55"/>
    <x v="4"/>
    <x v="3"/>
    <x v="1"/>
    <n v="735.55"/>
  </r>
  <r>
    <n v="3057"/>
    <x v="10"/>
    <x v="2"/>
    <n v="18"/>
    <n v="-0.39800000000000002"/>
    <x v="2"/>
    <x v="1"/>
    <x v="0"/>
    <n v="0.39800000000000002"/>
  </r>
  <r>
    <n v="3058"/>
    <x v="10"/>
    <x v="2"/>
    <n v="21"/>
    <n v="-9.9"/>
    <x v="0"/>
    <x v="0"/>
    <x v="0"/>
    <n v="9.9"/>
  </r>
  <r>
    <n v="3059"/>
    <x v="10"/>
    <x v="2"/>
    <n v="27"/>
    <n v="-9.8840000000000003"/>
    <x v="0"/>
    <x v="0"/>
    <x v="0"/>
    <n v="9.8840000000000003"/>
  </r>
  <r>
    <n v="3060"/>
    <x v="10"/>
    <x v="2"/>
    <n v="27"/>
    <n v="-0.32999999999999996"/>
    <x v="0"/>
    <x v="0"/>
    <x v="0"/>
    <n v="0.32999999999999996"/>
  </r>
  <r>
    <n v="3061"/>
    <x v="10"/>
    <x v="2"/>
    <n v="30"/>
    <n v="-19.8"/>
    <x v="14"/>
    <x v="1"/>
    <x v="0"/>
    <n v="19.8"/>
  </r>
  <r>
    <n v="3062"/>
    <x v="10"/>
    <x v="2"/>
    <n v="31"/>
    <n v="4.0000000000000001E-3"/>
    <x v="3"/>
    <x v="2"/>
    <x v="1"/>
    <n v="4.0000000000000001E-3"/>
  </r>
  <r>
    <n v="3063"/>
    <x v="10"/>
    <x v="2"/>
    <n v="31"/>
    <n v="-2E-3"/>
    <x v="2"/>
    <x v="1"/>
    <x v="0"/>
    <n v="2E-3"/>
  </r>
  <r>
    <n v="3064"/>
    <x v="10"/>
    <x v="2"/>
    <n v="31"/>
    <n v="-0.1"/>
    <x v="2"/>
    <x v="1"/>
    <x v="0"/>
    <n v="0.1"/>
  </r>
  <r>
    <n v="3065"/>
    <x v="10"/>
    <x v="2"/>
    <n v="31"/>
    <n v="-1.3980000000000001"/>
    <x v="2"/>
    <x v="1"/>
    <x v="0"/>
    <n v="1.3980000000000001"/>
  </r>
  <r>
    <n v="3066"/>
    <x v="10"/>
    <x v="3"/>
    <n v="1"/>
    <n v="-4.54"/>
    <x v="21"/>
    <x v="1"/>
    <x v="0"/>
    <n v="4.54"/>
  </r>
  <r>
    <n v="3067"/>
    <x v="10"/>
    <x v="3"/>
    <n v="1"/>
    <n v="-4.9799999999999995"/>
    <x v="0"/>
    <x v="0"/>
    <x v="0"/>
    <n v="4.9799999999999995"/>
  </r>
  <r>
    <n v="3068"/>
    <x v="10"/>
    <x v="3"/>
    <n v="1"/>
    <n v="-5.8"/>
    <x v="1"/>
    <x v="1"/>
    <x v="0"/>
    <n v="5.8"/>
  </r>
  <r>
    <n v="3069"/>
    <x v="10"/>
    <x v="3"/>
    <n v="1"/>
    <n v="-7.38"/>
    <x v="19"/>
    <x v="1"/>
    <x v="0"/>
    <n v="7.38"/>
  </r>
  <r>
    <n v="3070"/>
    <x v="10"/>
    <x v="3"/>
    <n v="1"/>
    <n v="-73.955999999999989"/>
    <x v="13"/>
    <x v="1"/>
    <x v="0"/>
    <n v="73.955999999999989"/>
  </r>
  <r>
    <n v="3071"/>
    <x v="10"/>
    <x v="3"/>
    <n v="2"/>
    <n v="-0.2"/>
    <x v="2"/>
    <x v="1"/>
    <x v="0"/>
    <n v="0.2"/>
  </r>
  <r>
    <n v="3072"/>
    <x v="10"/>
    <x v="3"/>
    <n v="6"/>
    <n v="-0.65800000000000003"/>
    <x v="0"/>
    <x v="0"/>
    <x v="0"/>
    <n v="0.65800000000000003"/>
  </r>
  <r>
    <n v="3073"/>
    <x v="10"/>
    <x v="3"/>
    <n v="6"/>
    <n v="-15.575999999999999"/>
    <x v="0"/>
    <x v="0"/>
    <x v="0"/>
    <n v="15.575999999999999"/>
  </r>
  <r>
    <n v="3074"/>
    <x v="10"/>
    <x v="3"/>
    <n v="15"/>
    <n v="-0.39800000000000002"/>
    <x v="2"/>
    <x v="1"/>
    <x v="0"/>
    <n v="0.39800000000000002"/>
  </r>
  <r>
    <n v="3075"/>
    <x v="10"/>
    <x v="3"/>
    <n v="22"/>
    <n v="-19.8"/>
    <x v="14"/>
    <x v="1"/>
    <x v="0"/>
    <n v="19.8"/>
  </r>
  <r>
    <n v="3076"/>
    <x v="10"/>
    <x v="3"/>
    <n v="24"/>
    <n v="735.55"/>
    <x v="4"/>
    <x v="3"/>
    <x v="1"/>
    <n v="735.55"/>
  </r>
  <r>
    <n v="3077"/>
    <x v="10"/>
    <x v="3"/>
    <n v="28"/>
    <n v="-5.4060000000000006"/>
    <x v="0"/>
    <x v="0"/>
    <x v="0"/>
    <n v="5.4060000000000006"/>
  </r>
  <r>
    <n v="3078"/>
    <x v="10"/>
    <x v="3"/>
    <n v="30"/>
    <n v="-0.3"/>
    <x v="2"/>
    <x v="1"/>
    <x v="0"/>
    <n v="0.3"/>
  </r>
  <r>
    <n v="3079"/>
    <x v="10"/>
    <x v="3"/>
    <n v="30"/>
    <n v="-1.3980000000000001"/>
    <x v="2"/>
    <x v="1"/>
    <x v="0"/>
    <n v="1.3980000000000001"/>
  </r>
  <r>
    <n v="3080"/>
    <x v="10"/>
    <x v="3"/>
    <n v="30"/>
    <n v="6.0000000000000001E-3"/>
    <x v="3"/>
    <x v="2"/>
    <x v="1"/>
    <n v="6.0000000000000001E-3"/>
  </r>
  <r>
    <n v="3081"/>
    <x v="10"/>
    <x v="3"/>
    <n v="30"/>
    <n v="-2E-3"/>
    <x v="2"/>
    <x v="1"/>
    <x v="0"/>
    <n v="2E-3"/>
  </r>
  <r>
    <n v="3082"/>
    <x v="10"/>
    <x v="4"/>
    <n v="1"/>
    <n v="-8.6"/>
    <x v="0"/>
    <x v="0"/>
    <x v="0"/>
    <n v="8.6"/>
  </r>
  <r>
    <n v="3083"/>
    <x v="10"/>
    <x v="4"/>
    <n v="1"/>
    <n v="-38"/>
    <x v="11"/>
    <x v="1"/>
    <x v="0"/>
    <n v="38"/>
  </r>
  <r>
    <n v="3084"/>
    <x v="10"/>
    <x v="4"/>
    <n v="1"/>
    <n v="-46.4"/>
    <x v="12"/>
    <x v="1"/>
    <x v="0"/>
    <n v="46.4"/>
  </r>
  <r>
    <n v="3085"/>
    <x v="10"/>
    <x v="4"/>
    <n v="1"/>
    <n v="-4.54"/>
    <x v="21"/>
    <x v="1"/>
    <x v="0"/>
    <n v="4.54"/>
  </r>
  <r>
    <n v="3086"/>
    <x v="10"/>
    <x v="4"/>
    <n v="1"/>
    <n v="-5.7700000000000005"/>
    <x v="18"/>
    <x v="1"/>
    <x v="0"/>
    <n v="5.7700000000000005"/>
  </r>
  <r>
    <n v="3087"/>
    <x v="10"/>
    <x v="4"/>
    <n v="1"/>
    <n v="-14.575999999999999"/>
    <x v="16"/>
    <x v="1"/>
    <x v="0"/>
    <n v="14.575999999999999"/>
  </r>
  <r>
    <n v="3088"/>
    <x v="10"/>
    <x v="4"/>
    <n v="1"/>
    <n v="-5.8"/>
    <x v="1"/>
    <x v="1"/>
    <x v="0"/>
    <n v="5.8"/>
  </r>
  <r>
    <n v="3089"/>
    <x v="10"/>
    <x v="4"/>
    <n v="1"/>
    <n v="-7.38"/>
    <x v="19"/>
    <x v="1"/>
    <x v="0"/>
    <n v="7.38"/>
  </r>
  <r>
    <n v="3090"/>
    <x v="10"/>
    <x v="4"/>
    <n v="1"/>
    <n v="-73.955999999999989"/>
    <x v="13"/>
    <x v="1"/>
    <x v="0"/>
    <n v="73.955999999999989"/>
  </r>
  <r>
    <n v="3091"/>
    <x v="10"/>
    <x v="4"/>
    <n v="4"/>
    <n v="-0.2"/>
    <x v="2"/>
    <x v="1"/>
    <x v="0"/>
    <n v="0.2"/>
  </r>
  <r>
    <n v="3092"/>
    <x v="10"/>
    <x v="4"/>
    <n v="7"/>
    <n v="-1.556"/>
    <x v="0"/>
    <x v="0"/>
    <x v="0"/>
    <n v="1.556"/>
  </r>
  <r>
    <n v="3093"/>
    <x v="10"/>
    <x v="4"/>
    <n v="13"/>
    <n v="-13.63"/>
    <x v="0"/>
    <x v="0"/>
    <x v="0"/>
    <n v="13.63"/>
  </r>
  <r>
    <n v="3094"/>
    <x v="10"/>
    <x v="4"/>
    <n v="14"/>
    <n v="-0.65800000000000003"/>
    <x v="0"/>
    <x v="0"/>
    <x v="0"/>
    <n v="0.65800000000000003"/>
  </r>
  <r>
    <n v="3095"/>
    <x v="10"/>
    <x v="4"/>
    <n v="15"/>
    <n v="-0.32999999999999996"/>
    <x v="0"/>
    <x v="0"/>
    <x v="0"/>
    <n v="0.32999999999999996"/>
  </r>
  <r>
    <n v="3096"/>
    <x v="10"/>
    <x v="4"/>
    <n v="15"/>
    <n v="-0.45599999999999996"/>
    <x v="0"/>
    <x v="0"/>
    <x v="0"/>
    <n v="0.45599999999999996"/>
  </r>
  <r>
    <n v="3097"/>
    <x v="10"/>
    <x v="4"/>
    <n v="18"/>
    <n v="-8.1660000000000004"/>
    <x v="0"/>
    <x v="0"/>
    <x v="0"/>
    <n v="8.1660000000000004"/>
  </r>
  <r>
    <n v="3098"/>
    <x v="10"/>
    <x v="4"/>
    <n v="19"/>
    <n v="-19.8"/>
    <x v="14"/>
    <x v="1"/>
    <x v="0"/>
    <n v="19.8"/>
  </r>
  <r>
    <n v="3099"/>
    <x v="10"/>
    <x v="4"/>
    <n v="19"/>
    <n v="-0.39800000000000002"/>
    <x v="2"/>
    <x v="1"/>
    <x v="0"/>
    <n v="0.39800000000000002"/>
  </r>
  <r>
    <n v="3100"/>
    <x v="10"/>
    <x v="4"/>
    <n v="20"/>
    <n v="-1.046"/>
    <x v="0"/>
    <x v="0"/>
    <x v="0"/>
    <n v="1.046"/>
  </r>
  <r>
    <n v="3101"/>
    <x v="10"/>
    <x v="4"/>
    <n v="20"/>
    <n v="-0.43200000000000005"/>
    <x v="0"/>
    <x v="0"/>
    <x v="0"/>
    <n v="0.43200000000000005"/>
  </r>
  <r>
    <n v="3102"/>
    <x v="10"/>
    <x v="4"/>
    <n v="25"/>
    <n v="735.55"/>
    <x v="4"/>
    <x v="3"/>
    <x v="1"/>
    <n v="735.55"/>
  </r>
  <r>
    <n v="3103"/>
    <x v="10"/>
    <x v="4"/>
    <n v="29"/>
    <n v="-0.65800000000000003"/>
    <x v="0"/>
    <x v="0"/>
    <x v="0"/>
    <n v="0.65800000000000003"/>
  </r>
  <r>
    <n v="3104"/>
    <x v="10"/>
    <x v="4"/>
    <n v="29"/>
    <n v="-11.885999999999999"/>
    <x v="0"/>
    <x v="0"/>
    <x v="0"/>
    <n v="11.885999999999999"/>
  </r>
  <r>
    <n v="3105"/>
    <x v="10"/>
    <x v="4"/>
    <n v="30"/>
    <n v="-0.7"/>
    <x v="2"/>
    <x v="1"/>
    <x v="0"/>
    <n v="0.7"/>
  </r>
  <r>
    <n v="3106"/>
    <x v="10"/>
    <x v="4"/>
    <n v="30"/>
    <n v="-1.3980000000000001"/>
    <x v="2"/>
    <x v="1"/>
    <x v="0"/>
    <n v="1.3980000000000001"/>
  </r>
  <r>
    <n v="3107"/>
    <x v="10"/>
    <x v="4"/>
    <n v="30"/>
    <n v="2E-3"/>
    <x v="3"/>
    <x v="2"/>
    <x v="1"/>
    <n v="2E-3"/>
  </r>
  <r>
    <n v="3108"/>
    <x v="10"/>
    <x v="4"/>
    <n v="30"/>
    <n v="-2E-3"/>
    <x v="2"/>
    <x v="1"/>
    <x v="0"/>
    <n v="2E-3"/>
  </r>
  <r>
    <n v="3109"/>
    <x v="10"/>
    <x v="5"/>
    <n v="1"/>
    <n v="-4.54"/>
    <x v="21"/>
    <x v="1"/>
    <x v="0"/>
    <n v="4.54"/>
  </r>
  <r>
    <n v="3110"/>
    <x v="10"/>
    <x v="5"/>
    <n v="1"/>
    <n v="-5.8"/>
    <x v="1"/>
    <x v="1"/>
    <x v="0"/>
    <n v="5.8"/>
  </r>
  <r>
    <n v="3111"/>
    <x v="10"/>
    <x v="5"/>
    <n v="1"/>
    <n v="-7.38"/>
    <x v="19"/>
    <x v="1"/>
    <x v="0"/>
    <n v="7.38"/>
  </r>
  <r>
    <n v="3112"/>
    <x v="10"/>
    <x v="5"/>
    <n v="1"/>
    <n v="-73.955999999999989"/>
    <x v="13"/>
    <x v="1"/>
    <x v="0"/>
    <n v="73.955999999999989"/>
  </r>
  <r>
    <n v="3113"/>
    <x v="10"/>
    <x v="5"/>
    <n v="2"/>
    <n v="-0.16"/>
    <x v="2"/>
    <x v="1"/>
    <x v="0"/>
    <n v="0.16"/>
  </r>
  <r>
    <n v="3114"/>
    <x v="10"/>
    <x v="5"/>
    <n v="3"/>
    <n v="-12.263999999999999"/>
    <x v="0"/>
    <x v="0"/>
    <x v="0"/>
    <n v="12.263999999999999"/>
  </r>
  <r>
    <n v="3115"/>
    <x v="10"/>
    <x v="5"/>
    <n v="3"/>
    <n v="-1.3160000000000001"/>
    <x v="0"/>
    <x v="0"/>
    <x v="0"/>
    <n v="1.3160000000000001"/>
  </r>
  <r>
    <n v="3116"/>
    <x v="10"/>
    <x v="5"/>
    <n v="7"/>
    <n v="-6.5959999999999992"/>
    <x v="0"/>
    <x v="0"/>
    <x v="0"/>
    <n v="6.5959999999999992"/>
  </r>
  <r>
    <n v="3117"/>
    <x v="10"/>
    <x v="5"/>
    <n v="8"/>
    <n v="-0.65800000000000003"/>
    <x v="0"/>
    <x v="0"/>
    <x v="0"/>
    <n v="0.65800000000000003"/>
  </r>
  <r>
    <n v="3118"/>
    <x v="10"/>
    <x v="5"/>
    <n v="10"/>
    <n v="735.55"/>
    <x v="4"/>
    <x v="3"/>
    <x v="1"/>
    <n v="735.55"/>
  </r>
  <r>
    <n v="3119"/>
    <x v="10"/>
    <x v="5"/>
    <n v="12"/>
    <n v="-3.3340000000000005"/>
    <x v="0"/>
    <x v="0"/>
    <x v="0"/>
    <n v="3.3340000000000005"/>
  </r>
  <r>
    <n v="3120"/>
    <x v="10"/>
    <x v="5"/>
    <n v="12"/>
    <n v="-4.6379999999999999"/>
    <x v="0"/>
    <x v="0"/>
    <x v="0"/>
    <n v="4.6379999999999999"/>
  </r>
  <r>
    <n v="3121"/>
    <x v="10"/>
    <x v="5"/>
    <n v="12"/>
    <n v="-0.65800000000000003"/>
    <x v="0"/>
    <x v="0"/>
    <x v="0"/>
    <n v="0.65800000000000003"/>
  </r>
  <r>
    <n v="3122"/>
    <x v="10"/>
    <x v="5"/>
    <n v="12"/>
    <n v="-11.45"/>
    <x v="0"/>
    <x v="0"/>
    <x v="0"/>
    <n v="11.45"/>
  </r>
  <r>
    <n v="3123"/>
    <x v="10"/>
    <x v="5"/>
    <n v="15"/>
    <n v="-2.4"/>
    <x v="0"/>
    <x v="0"/>
    <x v="0"/>
    <n v="2.4"/>
  </r>
  <r>
    <n v="3124"/>
    <x v="10"/>
    <x v="5"/>
    <n v="16"/>
    <n v="-6.9879999999999995"/>
    <x v="0"/>
    <x v="0"/>
    <x v="0"/>
    <n v="6.9879999999999995"/>
  </r>
  <r>
    <n v="3125"/>
    <x v="10"/>
    <x v="5"/>
    <n v="16"/>
    <n v="-0.65800000000000003"/>
    <x v="0"/>
    <x v="0"/>
    <x v="0"/>
    <n v="0.65800000000000003"/>
  </r>
  <r>
    <n v="3126"/>
    <x v="10"/>
    <x v="5"/>
    <n v="18"/>
    <n v="-9.5440000000000005"/>
    <x v="0"/>
    <x v="0"/>
    <x v="0"/>
    <n v="9.5440000000000005"/>
  </r>
  <r>
    <n v="3127"/>
    <x v="10"/>
    <x v="5"/>
    <n v="18"/>
    <n v="-0.39800000000000002"/>
    <x v="2"/>
    <x v="1"/>
    <x v="0"/>
    <n v="0.39800000000000002"/>
  </r>
  <r>
    <n v="3128"/>
    <x v="10"/>
    <x v="5"/>
    <n v="19"/>
    <n v="-0.65800000000000003"/>
    <x v="0"/>
    <x v="0"/>
    <x v="0"/>
    <n v="0.65800000000000003"/>
  </r>
  <r>
    <n v="3129"/>
    <x v="10"/>
    <x v="5"/>
    <n v="20"/>
    <n v="-231.6"/>
    <x v="15"/>
    <x v="4"/>
    <x v="0"/>
    <n v="231.6"/>
  </r>
  <r>
    <n v="3130"/>
    <x v="10"/>
    <x v="5"/>
    <n v="22"/>
    <n v="-0.32999999999999996"/>
    <x v="0"/>
    <x v="0"/>
    <x v="0"/>
    <n v="0.32999999999999996"/>
  </r>
  <r>
    <n v="3131"/>
    <x v="10"/>
    <x v="5"/>
    <n v="24"/>
    <n v="-6.36"/>
    <x v="7"/>
    <x v="5"/>
    <x v="0"/>
    <n v="6.36"/>
  </r>
  <r>
    <n v="3132"/>
    <x v="10"/>
    <x v="5"/>
    <n v="25"/>
    <n v="-8.516"/>
    <x v="0"/>
    <x v="0"/>
    <x v="0"/>
    <n v="8.516"/>
  </r>
  <r>
    <n v="3133"/>
    <x v="10"/>
    <x v="5"/>
    <n v="26"/>
    <n v="-20"/>
    <x v="14"/>
    <x v="1"/>
    <x v="0"/>
    <n v="20"/>
  </r>
  <r>
    <n v="3134"/>
    <x v="10"/>
    <x v="5"/>
    <n v="26"/>
    <n v="-0.65800000000000003"/>
    <x v="0"/>
    <x v="0"/>
    <x v="0"/>
    <n v="0.65800000000000003"/>
  </r>
  <r>
    <n v="3135"/>
    <x v="10"/>
    <x v="5"/>
    <n v="30"/>
    <n v="-2E-3"/>
    <x v="2"/>
    <x v="1"/>
    <x v="0"/>
    <n v="2E-3"/>
  </r>
  <r>
    <n v="3136"/>
    <x v="10"/>
    <x v="5"/>
    <n v="30"/>
    <n v="-1.3980000000000001"/>
    <x v="2"/>
    <x v="1"/>
    <x v="0"/>
    <n v="1.3980000000000001"/>
  </r>
  <r>
    <n v="3137"/>
    <x v="10"/>
    <x v="5"/>
    <n v="30"/>
    <n v="6.0000000000000001E-3"/>
    <x v="3"/>
    <x v="2"/>
    <x v="1"/>
    <n v="6.0000000000000001E-3"/>
  </r>
  <r>
    <n v="3138"/>
    <x v="10"/>
    <x v="5"/>
    <n v="30"/>
    <n v="-0.4"/>
    <x v="2"/>
    <x v="1"/>
    <x v="0"/>
    <n v="0.4"/>
  </r>
  <r>
    <n v="3139"/>
    <x v="10"/>
    <x v="6"/>
    <n v="1"/>
    <n v="-0.65800000000000003"/>
    <x v="0"/>
    <x v="0"/>
    <x v="0"/>
    <n v="0.65800000000000003"/>
  </r>
  <r>
    <n v="3140"/>
    <x v="10"/>
    <x v="6"/>
    <n v="1"/>
    <n v="-8.395999999999999"/>
    <x v="0"/>
    <x v="0"/>
    <x v="0"/>
    <n v="8.395999999999999"/>
  </r>
  <r>
    <n v="3141"/>
    <x v="10"/>
    <x v="6"/>
    <n v="2"/>
    <n v="-20"/>
    <x v="0"/>
    <x v="0"/>
    <x v="0"/>
    <n v="20"/>
  </r>
  <r>
    <n v="3142"/>
    <x v="10"/>
    <x v="6"/>
    <n v="2"/>
    <n v="-1.798"/>
    <x v="0"/>
    <x v="0"/>
    <x v="0"/>
    <n v="1.798"/>
  </r>
  <r>
    <n v="3143"/>
    <x v="10"/>
    <x v="6"/>
    <n v="3"/>
    <n v="-7.0640000000000001"/>
    <x v="18"/>
    <x v="1"/>
    <x v="0"/>
    <n v="7.0640000000000001"/>
  </r>
  <r>
    <n v="3144"/>
    <x v="10"/>
    <x v="6"/>
    <n v="3"/>
    <n v="-16.330000000000002"/>
    <x v="16"/>
    <x v="1"/>
    <x v="0"/>
    <n v="16.330000000000002"/>
  </r>
  <r>
    <n v="3145"/>
    <x v="10"/>
    <x v="6"/>
    <n v="3"/>
    <n v="-4.54"/>
    <x v="21"/>
    <x v="1"/>
    <x v="0"/>
    <n v="4.54"/>
  </r>
  <r>
    <n v="3146"/>
    <x v="10"/>
    <x v="6"/>
    <n v="3"/>
    <n v="-5.8"/>
    <x v="1"/>
    <x v="1"/>
    <x v="0"/>
    <n v="5.8"/>
  </r>
  <r>
    <n v="3147"/>
    <x v="10"/>
    <x v="6"/>
    <n v="3"/>
    <n v="-7.38"/>
    <x v="19"/>
    <x v="1"/>
    <x v="0"/>
    <n v="7.38"/>
  </r>
  <r>
    <n v="3148"/>
    <x v="10"/>
    <x v="6"/>
    <n v="3"/>
    <n v="-73.955999999999989"/>
    <x v="13"/>
    <x v="1"/>
    <x v="0"/>
    <n v="73.955999999999989"/>
  </r>
  <r>
    <n v="3149"/>
    <x v="10"/>
    <x v="6"/>
    <n v="3"/>
    <n v="-6"/>
    <x v="7"/>
    <x v="5"/>
    <x v="0"/>
    <n v="6"/>
  </r>
  <r>
    <n v="3150"/>
    <x v="10"/>
    <x v="6"/>
    <n v="4"/>
    <n v="-93.188000000000002"/>
    <x v="17"/>
    <x v="4"/>
    <x v="0"/>
    <n v="93.188000000000002"/>
  </r>
  <r>
    <n v="3151"/>
    <x v="10"/>
    <x v="6"/>
    <n v="6"/>
    <n v="-0.65800000000000003"/>
    <x v="0"/>
    <x v="0"/>
    <x v="0"/>
    <n v="0.65800000000000003"/>
  </r>
  <r>
    <n v="3152"/>
    <x v="10"/>
    <x v="6"/>
    <n v="9"/>
    <n v="-0.65800000000000003"/>
    <x v="0"/>
    <x v="0"/>
    <x v="0"/>
    <n v="0.65800000000000003"/>
  </r>
  <r>
    <n v="3153"/>
    <x v="10"/>
    <x v="6"/>
    <n v="9"/>
    <n v="-2.512"/>
    <x v="0"/>
    <x v="0"/>
    <x v="0"/>
    <n v="2.512"/>
  </r>
  <r>
    <n v="3154"/>
    <x v="10"/>
    <x v="6"/>
    <n v="10"/>
    <n v="-0.69800000000000006"/>
    <x v="0"/>
    <x v="0"/>
    <x v="0"/>
    <n v="0.69800000000000006"/>
  </r>
  <r>
    <n v="3155"/>
    <x v="10"/>
    <x v="6"/>
    <n v="10"/>
    <n v="-12.434000000000001"/>
    <x v="0"/>
    <x v="0"/>
    <x v="0"/>
    <n v="12.434000000000001"/>
  </r>
  <r>
    <n v="3156"/>
    <x v="10"/>
    <x v="6"/>
    <n v="13"/>
    <n v="-1.6"/>
    <x v="0"/>
    <x v="0"/>
    <x v="0"/>
    <n v="1.6"/>
  </r>
  <r>
    <n v="3157"/>
    <x v="10"/>
    <x v="6"/>
    <n v="13"/>
    <n v="-5.3140000000000001"/>
    <x v="0"/>
    <x v="0"/>
    <x v="0"/>
    <n v="5.3140000000000001"/>
  </r>
  <r>
    <n v="3158"/>
    <x v="10"/>
    <x v="6"/>
    <n v="14"/>
    <n v="-0.65800000000000003"/>
    <x v="0"/>
    <x v="0"/>
    <x v="0"/>
    <n v="0.65800000000000003"/>
  </r>
  <r>
    <n v="3159"/>
    <x v="10"/>
    <x v="6"/>
    <n v="14"/>
    <n v="-0.39800000000000002"/>
    <x v="2"/>
    <x v="1"/>
    <x v="0"/>
    <n v="0.39800000000000002"/>
  </r>
  <r>
    <n v="3160"/>
    <x v="10"/>
    <x v="6"/>
    <n v="19"/>
    <n v="-56.184000000000005"/>
    <x v="7"/>
    <x v="5"/>
    <x v="0"/>
    <n v="56.184000000000005"/>
  </r>
  <r>
    <n v="3161"/>
    <x v="10"/>
    <x v="6"/>
    <n v="20"/>
    <n v="-0.65800000000000003"/>
    <x v="0"/>
    <x v="0"/>
    <x v="0"/>
    <n v="0.65800000000000003"/>
  </r>
  <r>
    <n v="3162"/>
    <x v="10"/>
    <x v="6"/>
    <n v="23"/>
    <n v="735.55"/>
    <x v="4"/>
    <x v="3"/>
    <x v="1"/>
    <n v="735.55"/>
  </r>
  <r>
    <n v="3163"/>
    <x v="10"/>
    <x v="6"/>
    <n v="23"/>
    <n v="-0.65800000000000003"/>
    <x v="0"/>
    <x v="0"/>
    <x v="0"/>
    <n v="0.65800000000000003"/>
  </r>
  <r>
    <n v="3164"/>
    <x v="10"/>
    <x v="6"/>
    <n v="23"/>
    <n v="-11.202"/>
    <x v="0"/>
    <x v="0"/>
    <x v="0"/>
    <n v="11.202"/>
  </r>
  <r>
    <n v="3165"/>
    <x v="10"/>
    <x v="6"/>
    <n v="25"/>
    <n v="-2.214"/>
    <x v="7"/>
    <x v="5"/>
    <x v="0"/>
    <n v="2.214"/>
  </r>
  <r>
    <n v="3166"/>
    <x v="10"/>
    <x v="6"/>
    <n v="25"/>
    <n v="-24.48"/>
    <x v="14"/>
    <x v="1"/>
    <x v="0"/>
    <n v="24.48"/>
  </r>
  <r>
    <n v="3167"/>
    <x v="10"/>
    <x v="6"/>
    <n v="28"/>
    <n v="-9.2279999999999998"/>
    <x v="0"/>
    <x v="0"/>
    <x v="0"/>
    <n v="9.2279999999999998"/>
  </r>
  <r>
    <n v="3168"/>
    <x v="10"/>
    <x v="6"/>
    <n v="29"/>
    <n v="-0.32999999999999996"/>
    <x v="0"/>
    <x v="0"/>
    <x v="0"/>
    <n v="0.32999999999999996"/>
  </r>
  <r>
    <n v="3169"/>
    <x v="10"/>
    <x v="6"/>
    <n v="30"/>
    <n v="-2.1260000000000003"/>
    <x v="0"/>
    <x v="0"/>
    <x v="0"/>
    <n v="2.1260000000000003"/>
  </r>
  <r>
    <n v="3170"/>
    <x v="10"/>
    <x v="6"/>
    <n v="30"/>
    <n v="-9.8379999999999992"/>
    <x v="0"/>
    <x v="0"/>
    <x v="0"/>
    <n v="9.8379999999999992"/>
  </r>
  <r>
    <n v="3171"/>
    <x v="10"/>
    <x v="6"/>
    <n v="31"/>
    <n v="-0.5"/>
    <x v="2"/>
    <x v="1"/>
    <x v="0"/>
    <n v="0.5"/>
  </r>
  <r>
    <n v="3172"/>
    <x v="10"/>
    <x v="6"/>
    <n v="31"/>
    <n v="-1.3980000000000001"/>
    <x v="2"/>
    <x v="1"/>
    <x v="0"/>
    <n v="1.3980000000000001"/>
  </r>
  <r>
    <n v="3173"/>
    <x v="10"/>
    <x v="6"/>
    <n v="31"/>
    <n v="8.0000000000000002E-3"/>
    <x v="3"/>
    <x v="2"/>
    <x v="1"/>
    <n v="8.0000000000000002E-3"/>
  </r>
  <r>
    <n v="3174"/>
    <x v="10"/>
    <x v="6"/>
    <n v="31"/>
    <n v="-2E-3"/>
    <x v="2"/>
    <x v="1"/>
    <x v="0"/>
    <n v="2E-3"/>
  </r>
  <r>
    <n v="3175"/>
    <x v="10"/>
    <x v="6"/>
    <n v="31"/>
    <n v="-0.65800000000000003"/>
    <x v="0"/>
    <x v="0"/>
    <x v="0"/>
    <n v="0.65800000000000003"/>
  </r>
  <r>
    <n v="3176"/>
    <x v="10"/>
    <x v="7"/>
    <n v="1"/>
    <n v="-4.54"/>
    <x v="21"/>
    <x v="1"/>
    <x v="0"/>
    <n v="4.54"/>
  </r>
  <r>
    <n v="3177"/>
    <x v="10"/>
    <x v="7"/>
    <n v="1"/>
    <n v="-5.8"/>
    <x v="1"/>
    <x v="1"/>
    <x v="0"/>
    <n v="5.8"/>
  </r>
  <r>
    <n v="3178"/>
    <x v="10"/>
    <x v="7"/>
    <n v="1"/>
    <n v="-7.38"/>
    <x v="19"/>
    <x v="1"/>
    <x v="0"/>
    <n v="7.38"/>
  </r>
  <r>
    <n v="3179"/>
    <x v="10"/>
    <x v="7"/>
    <n v="1"/>
    <n v="-66.355999999999995"/>
    <x v="13"/>
    <x v="1"/>
    <x v="0"/>
    <n v="66.355999999999995"/>
  </r>
  <r>
    <n v="3180"/>
    <x v="10"/>
    <x v="7"/>
    <n v="3"/>
    <n v="-0.32999999999999996"/>
    <x v="0"/>
    <x v="0"/>
    <x v="0"/>
    <n v="0.32999999999999996"/>
  </r>
  <r>
    <n v="3181"/>
    <x v="10"/>
    <x v="7"/>
    <n v="5"/>
    <n v="-0.32999999999999996"/>
    <x v="0"/>
    <x v="0"/>
    <x v="0"/>
    <n v="0.32999999999999996"/>
  </r>
  <r>
    <n v="3182"/>
    <x v="10"/>
    <x v="7"/>
    <n v="6"/>
    <n v="205.89000000000001"/>
    <x v="8"/>
    <x v="3"/>
    <x v="1"/>
    <n v="205.89000000000001"/>
  </r>
  <r>
    <n v="3183"/>
    <x v="10"/>
    <x v="7"/>
    <n v="6"/>
    <n v="-3.3959999999999999"/>
    <x v="0"/>
    <x v="0"/>
    <x v="0"/>
    <n v="3.3959999999999999"/>
  </r>
  <r>
    <n v="3184"/>
    <x v="10"/>
    <x v="7"/>
    <n v="6"/>
    <n v="-12.651999999999999"/>
    <x v="0"/>
    <x v="0"/>
    <x v="0"/>
    <n v="12.651999999999999"/>
  </r>
  <r>
    <n v="3185"/>
    <x v="10"/>
    <x v="7"/>
    <n v="7"/>
    <n v="-2.6040000000000001"/>
    <x v="0"/>
    <x v="0"/>
    <x v="0"/>
    <n v="2.6040000000000001"/>
  </r>
  <r>
    <n v="3186"/>
    <x v="10"/>
    <x v="7"/>
    <n v="7"/>
    <n v="-0.65800000000000003"/>
    <x v="0"/>
    <x v="0"/>
    <x v="0"/>
    <n v="0.65800000000000003"/>
  </r>
  <r>
    <n v="3187"/>
    <x v="10"/>
    <x v="7"/>
    <n v="7"/>
    <n v="-1.996"/>
    <x v="0"/>
    <x v="0"/>
    <x v="0"/>
    <n v="1.996"/>
  </r>
  <r>
    <n v="3188"/>
    <x v="10"/>
    <x v="7"/>
    <n v="10"/>
    <n v="-1.496"/>
    <x v="0"/>
    <x v="0"/>
    <x v="0"/>
    <n v="1.496"/>
  </r>
  <r>
    <n v="3189"/>
    <x v="10"/>
    <x v="7"/>
    <n v="10"/>
    <n v="-0.65800000000000003"/>
    <x v="0"/>
    <x v="0"/>
    <x v="0"/>
    <n v="0.65800000000000003"/>
  </r>
  <r>
    <n v="3190"/>
    <x v="10"/>
    <x v="7"/>
    <n v="10"/>
    <n v="-15.234"/>
    <x v="0"/>
    <x v="0"/>
    <x v="0"/>
    <n v="15.234"/>
  </r>
  <r>
    <n v="3191"/>
    <x v="10"/>
    <x v="7"/>
    <n v="11"/>
    <n v="-12.656000000000001"/>
    <x v="0"/>
    <x v="0"/>
    <x v="0"/>
    <n v="12.656000000000001"/>
  </r>
  <r>
    <n v="3192"/>
    <x v="10"/>
    <x v="7"/>
    <n v="12"/>
    <n v="-17.356000000000002"/>
    <x v="7"/>
    <x v="5"/>
    <x v="0"/>
    <n v="17.356000000000002"/>
  </r>
  <r>
    <n v="3193"/>
    <x v="10"/>
    <x v="7"/>
    <n v="13"/>
    <n v="-3.9259999999999997"/>
    <x v="0"/>
    <x v="0"/>
    <x v="0"/>
    <n v="3.9259999999999997"/>
  </r>
  <r>
    <n v="3194"/>
    <x v="10"/>
    <x v="7"/>
    <n v="13"/>
    <n v="-0.65800000000000003"/>
    <x v="0"/>
    <x v="0"/>
    <x v="0"/>
    <n v="0.65800000000000003"/>
  </r>
  <r>
    <n v="3195"/>
    <x v="10"/>
    <x v="7"/>
    <n v="13"/>
    <n v="-1.798"/>
    <x v="0"/>
    <x v="0"/>
    <x v="0"/>
    <n v="1.798"/>
  </r>
  <r>
    <n v="3196"/>
    <x v="10"/>
    <x v="7"/>
    <n v="14"/>
    <n v="-0.39800000000000002"/>
    <x v="2"/>
    <x v="1"/>
    <x v="0"/>
    <n v="0.39800000000000002"/>
  </r>
  <r>
    <n v="3197"/>
    <x v="10"/>
    <x v="7"/>
    <n v="15"/>
    <n v="-53.977999999999994"/>
    <x v="7"/>
    <x v="5"/>
    <x v="0"/>
    <n v="53.977999999999994"/>
  </r>
  <r>
    <n v="3198"/>
    <x v="10"/>
    <x v="7"/>
    <n v="16"/>
    <n v="-4.9799999999999995"/>
    <x v="7"/>
    <x v="5"/>
    <x v="0"/>
    <n v="4.9799999999999995"/>
  </r>
  <r>
    <n v="3199"/>
    <x v="10"/>
    <x v="7"/>
    <n v="17"/>
    <n v="-0.32999999999999996"/>
    <x v="0"/>
    <x v="0"/>
    <x v="0"/>
    <n v="0.32999999999999996"/>
  </r>
  <r>
    <n v="3200"/>
    <x v="10"/>
    <x v="7"/>
    <n v="18"/>
    <n v="-4.9799999999999995"/>
    <x v="7"/>
    <x v="5"/>
    <x v="0"/>
    <n v="4.9799999999999995"/>
  </r>
  <r>
    <n v="3201"/>
    <x v="10"/>
    <x v="7"/>
    <n v="20"/>
    <n v="-1.3160000000000001"/>
    <x v="0"/>
    <x v="0"/>
    <x v="0"/>
    <n v="1.3160000000000001"/>
  </r>
  <r>
    <n v="3202"/>
    <x v="10"/>
    <x v="7"/>
    <n v="20"/>
    <n v="-10.318000000000001"/>
    <x v="0"/>
    <x v="0"/>
    <x v="0"/>
    <n v="10.318000000000001"/>
  </r>
  <r>
    <n v="3203"/>
    <x v="10"/>
    <x v="7"/>
    <n v="23"/>
    <n v="-69.400000000000006"/>
    <x v="7"/>
    <x v="5"/>
    <x v="0"/>
    <n v="69.400000000000006"/>
  </r>
  <r>
    <n v="3204"/>
    <x v="10"/>
    <x v="7"/>
    <n v="23"/>
    <n v="-23.8"/>
    <x v="14"/>
    <x v="1"/>
    <x v="0"/>
    <n v="23.8"/>
  </r>
  <r>
    <n v="3205"/>
    <x v="10"/>
    <x v="7"/>
    <n v="25"/>
    <n v="735.55"/>
    <x v="4"/>
    <x v="3"/>
    <x v="1"/>
    <n v="735.55"/>
  </r>
  <r>
    <n v="3206"/>
    <x v="10"/>
    <x v="7"/>
    <n v="26"/>
    <n v="-38.118000000000002"/>
    <x v="7"/>
    <x v="5"/>
    <x v="0"/>
    <n v="38.118000000000002"/>
  </r>
  <r>
    <n v="3207"/>
    <x v="10"/>
    <x v="7"/>
    <n v="26"/>
    <n v="1000"/>
    <x v="10"/>
    <x v="2"/>
    <x v="1"/>
    <n v="1000"/>
  </r>
  <r>
    <n v="3208"/>
    <x v="10"/>
    <x v="7"/>
    <n v="26"/>
    <n v="-0.69800000000000006"/>
    <x v="0"/>
    <x v="0"/>
    <x v="0"/>
    <n v="0.69800000000000006"/>
  </r>
  <r>
    <n v="3209"/>
    <x v="10"/>
    <x v="7"/>
    <n v="27"/>
    <n v="-14.069999999999999"/>
    <x v="0"/>
    <x v="0"/>
    <x v="0"/>
    <n v="14.069999999999999"/>
  </r>
  <r>
    <n v="3210"/>
    <x v="10"/>
    <x v="7"/>
    <n v="28"/>
    <n v="-1.92"/>
    <x v="0"/>
    <x v="0"/>
    <x v="0"/>
    <n v="1.92"/>
  </r>
  <r>
    <n v="3211"/>
    <x v="10"/>
    <x v="7"/>
    <n v="28"/>
    <n v="-0.65800000000000003"/>
    <x v="0"/>
    <x v="0"/>
    <x v="0"/>
    <n v="0.65800000000000003"/>
  </r>
  <r>
    <n v="3212"/>
    <x v="10"/>
    <x v="7"/>
    <n v="28"/>
    <n v="-26.633999999999997"/>
    <x v="0"/>
    <x v="0"/>
    <x v="0"/>
    <n v="26.633999999999997"/>
  </r>
  <r>
    <n v="3213"/>
    <x v="10"/>
    <x v="7"/>
    <n v="31"/>
    <n v="-0.4"/>
    <x v="2"/>
    <x v="1"/>
    <x v="0"/>
    <n v="0.4"/>
  </r>
  <r>
    <n v="3214"/>
    <x v="10"/>
    <x v="7"/>
    <n v="31"/>
    <n v="-1.3980000000000001"/>
    <x v="2"/>
    <x v="1"/>
    <x v="0"/>
    <n v="1.3980000000000001"/>
  </r>
  <r>
    <n v="3215"/>
    <x v="10"/>
    <x v="7"/>
    <n v="31"/>
    <n v="4.0000000000000001E-3"/>
    <x v="3"/>
    <x v="2"/>
    <x v="1"/>
    <n v="4.0000000000000001E-3"/>
  </r>
  <r>
    <n v="3216"/>
    <x v="10"/>
    <x v="7"/>
    <n v="31"/>
    <n v="-2E-3"/>
    <x v="2"/>
    <x v="1"/>
    <x v="0"/>
    <n v="2E-3"/>
  </r>
  <r>
    <n v="3217"/>
    <x v="10"/>
    <x v="8"/>
    <n v="1"/>
    <n v="-55.017999999999994"/>
    <x v="6"/>
    <x v="4"/>
    <x v="0"/>
    <n v="55.017999999999994"/>
  </r>
  <r>
    <n v="3218"/>
    <x v="10"/>
    <x v="8"/>
    <n v="1"/>
    <n v="-13.872"/>
    <x v="16"/>
    <x v="1"/>
    <x v="0"/>
    <n v="13.872"/>
  </r>
  <r>
    <n v="3219"/>
    <x v="10"/>
    <x v="8"/>
    <n v="1"/>
    <n v="-6.1979999999999995"/>
    <x v="18"/>
    <x v="1"/>
    <x v="0"/>
    <n v="6.1979999999999995"/>
  </r>
  <r>
    <n v="3220"/>
    <x v="10"/>
    <x v="8"/>
    <n v="1"/>
    <n v="-46.4"/>
    <x v="12"/>
    <x v="1"/>
    <x v="0"/>
    <n v="46.4"/>
  </r>
  <r>
    <n v="3221"/>
    <x v="10"/>
    <x v="8"/>
    <n v="1"/>
    <n v="-4.54"/>
    <x v="21"/>
    <x v="1"/>
    <x v="0"/>
    <n v="4.54"/>
  </r>
  <r>
    <n v="3222"/>
    <x v="10"/>
    <x v="8"/>
    <n v="1"/>
    <n v="-5.8"/>
    <x v="1"/>
    <x v="1"/>
    <x v="0"/>
    <n v="5.8"/>
  </r>
  <r>
    <n v="3223"/>
    <x v="10"/>
    <x v="8"/>
    <n v="1"/>
    <n v="-7.38"/>
    <x v="19"/>
    <x v="1"/>
    <x v="0"/>
    <n v="7.38"/>
  </r>
  <r>
    <n v="3224"/>
    <x v="10"/>
    <x v="8"/>
    <n v="1"/>
    <n v="-66.355999999999995"/>
    <x v="13"/>
    <x v="1"/>
    <x v="0"/>
    <n v="66.355999999999995"/>
  </r>
  <r>
    <n v="3225"/>
    <x v="10"/>
    <x v="8"/>
    <n v="1"/>
    <n v="-0.65800000000000003"/>
    <x v="0"/>
    <x v="0"/>
    <x v="0"/>
    <n v="0.65800000000000003"/>
  </r>
  <r>
    <n v="3226"/>
    <x v="10"/>
    <x v="8"/>
    <n v="2"/>
    <n v="-8.5500000000000007"/>
    <x v="0"/>
    <x v="0"/>
    <x v="0"/>
    <n v="8.5500000000000007"/>
  </r>
  <r>
    <n v="3227"/>
    <x v="10"/>
    <x v="8"/>
    <n v="3"/>
    <n v="-5.6719999999999997"/>
    <x v="0"/>
    <x v="0"/>
    <x v="0"/>
    <n v="5.6719999999999997"/>
  </r>
  <r>
    <n v="3228"/>
    <x v="10"/>
    <x v="8"/>
    <n v="3"/>
    <n v="-6.7760000000000007"/>
    <x v="0"/>
    <x v="0"/>
    <x v="0"/>
    <n v="6.7760000000000007"/>
  </r>
  <r>
    <n v="3229"/>
    <x v="10"/>
    <x v="8"/>
    <n v="4"/>
    <n v="-1.3160000000000001"/>
    <x v="0"/>
    <x v="0"/>
    <x v="0"/>
    <n v="1.3160000000000001"/>
  </r>
  <r>
    <n v="3230"/>
    <x v="10"/>
    <x v="8"/>
    <n v="4"/>
    <n v="-6.3579999999999997"/>
    <x v="0"/>
    <x v="0"/>
    <x v="0"/>
    <n v="6.3579999999999997"/>
  </r>
  <r>
    <n v="3231"/>
    <x v="10"/>
    <x v="8"/>
    <n v="5"/>
    <n v="-5"/>
    <x v="7"/>
    <x v="5"/>
    <x v="0"/>
    <n v="5"/>
  </r>
  <r>
    <n v="3232"/>
    <x v="10"/>
    <x v="8"/>
    <n v="11"/>
    <n v="-0.65800000000000003"/>
    <x v="0"/>
    <x v="0"/>
    <x v="0"/>
    <n v="0.65800000000000003"/>
  </r>
  <r>
    <n v="3233"/>
    <x v="10"/>
    <x v="8"/>
    <n v="12"/>
    <n v="-11.379999999999999"/>
    <x v="0"/>
    <x v="0"/>
    <x v="0"/>
    <n v="11.379999999999999"/>
  </r>
  <r>
    <n v="3234"/>
    <x v="10"/>
    <x v="8"/>
    <n v="12"/>
    <n v="-0.65800000000000003"/>
    <x v="0"/>
    <x v="0"/>
    <x v="0"/>
    <n v="0.65800000000000003"/>
  </r>
  <r>
    <n v="3235"/>
    <x v="10"/>
    <x v="8"/>
    <n v="12"/>
    <n v="-91.364000000000004"/>
    <x v="17"/>
    <x v="4"/>
    <x v="0"/>
    <n v="91.364000000000004"/>
  </r>
  <r>
    <n v="3236"/>
    <x v="10"/>
    <x v="8"/>
    <n v="14"/>
    <n v="-0.65800000000000003"/>
    <x v="0"/>
    <x v="0"/>
    <x v="0"/>
    <n v="0.65800000000000003"/>
  </r>
  <r>
    <n v="3237"/>
    <x v="10"/>
    <x v="8"/>
    <n v="14"/>
    <n v="-52.475999999999999"/>
    <x v="7"/>
    <x v="5"/>
    <x v="0"/>
    <n v="52.475999999999999"/>
  </r>
  <r>
    <n v="3238"/>
    <x v="10"/>
    <x v="8"/>
    <n v="14"/>
    <n v="-84.572000000000003"/>
    <x v="17"/>
    <x v="4"/>
    <x v="0"/>
    <n v="84.572000000000003"/>
  </r>
  <r>
    <n v="3239"/>
    <x v="10"/>
    <x v="8"/>
    <n v="15"/>
    <n v="-56.760000000000005"/>
    <x v="17"/>
    <x v="4"/>
    <x v="0"/>
    <n v="56.760000000000005"/>
  </r>
  <r>
    <n v="3240"/>
    <x v="10"/>
    <x v="8"/>
    <n v="15"/>
    <n v="-0.39800000000000002"/>
    <x v="2"/>
    <x v="1"/>
    <x v="0"/>
    <n v="0.39800000000000002"/>
  </r>
  <r>
    <n v="3241"/>
    <x v="10"/>
    <x v="8"/>
    <n v="17"/>
    <n v="-37.128"/>
    <x v="0"/>
    <x v="0"/>
    <x v="0"/>
    <n v="37.128"/>
  </r>
  <r>
    <n v="3242"/>
    <x v="10"/>
    <x v="8"/>
    <n v="18"/>
    <n v="-3.5799999999999996"/>
    <x v="0"/>
    <x v="0"/>
    <x v="0"/>
    <n v="3.5799999999999996"/>
  </r>
  <r>
    <n v="3243"/>
    <x v="10"/>
    <x v="8"/>
    <n v="19"/>
    <n v="-0.65800000000000003"/>
    <x v="0"/>
    <x v="0"/>
    <x v="0"/>
    <n v="0.65800000000000003"/>
  </r>
  <r>
    <n v="3244"/>
    <x v="10"/>
    <x v="8"/>
    <n v="19"/>
    <n v="-6.0880000000000001"/>
    <x v="0"/>
    <x v="0"/>
    <x v="0"/>
    <n v="6.0880000000000001"/>
  </r>
  <r>
    <n v="3245"/>
    <x v="10"/>
    <x v="8"/>
    <n v="21"/>
    <n v="-6"/>
    <x v="7"/>
    <x v="5"/>
    <x v="0"/>
    <n v="6"/>
  </r>
  <r>
    <n v="3246"/>
    <x v="10"/>
    <x v="8"/>
    <n v="21"/>
    <n v="-13.978"/>
    <x v="17"/>
    <x v="4"/>
    <x v="0"/>
    <n v="13.978"/>
  </r>
  <r>
    <n v="3247"/>
    <x v="10"/>
    <x v="8"/>
    <n v="21"/>
    <n v="-2.516"/>
    <x v="0"/>
    <x v="0"/>
    <x v="0"/>
    <n v="2.516"/>
  </r>
  <r>
    <n v="3248"/>
    <x v="10"/>
    <x v="8"/>
    <n v="21"/>
    <n v="-0.65800000000000003"/>
    <x v="0"/>
    <x v="0"/>
    <x v="0"/>
    <n v="0.65800000000000003"/>
  </r>
  <r>
    <n v="3249"/>
    <x v="10"/>
    <x v="8"/>
    <n v="22"/>
    <n v="-5.9979999999999993"/>
    <x v="0"/>
    <x v="0"/>
    <x v="0"/>
    <n v="5.9979999999999993"/>
  </r>
  <r>
    <n v="3250"/>
    <x v="10"/>
    <x v="8"/>
    <n v="23"/>
    <n v="-24.48"/>
    <x v="14"/>
    <x v="1"/>
    <x v="0"/>
    <n v="24.48"/>
  </r>
  <r>
    <n v="3251"/>
    <x v="10"/>
    <x v="8"/>
    <n v="24"/>
    <n v="735.55"/>
    <x v="4"/>
    <x v="3"/>
    <x v="1"/>
    <n v="735.55"/>
  </r>
  <r>
    <n v="3252"/>
    <x v="10"/>
    <x v="8"/>
    <n v="25"/>
    <n v="-5.62"/>
    <x v="0"/>
    <x v="0"/>
    <x v="0"/>
    <n v="5.62"/>
  </r>
  <r>
    <n v="3253"/>
    <x v="10"/>
    <x v="8"/>
    <n v="26"/>
    <n v="40"/>
    <x v="3"/>
    <x v="2"/>
    <x v="1"/>
    <n v="40"/>
  </r>
  <r>
    <n v="3254"/>
    <x v="10"/>
    <x v="8"/>
    <n v="27"/>
    <n v="-1.3160000000000001"/>
    <x v="0"/>
    <x v="0"/>
    <x v="0"/>
    <n v="1.3160000000000001"/>
  </r>
  <r>
    <n v="3255"/>
    <x v="10"/>
    <x v="8"/>
    <n v="28"/>
    <n v="-9.5380000000000003"/>
    <x v="0"/>
    <x v="0"/>
    <x v="0"/>
    <n v="9.5380000000000003"/>
  </r>
  <r>
    <n v="3256"/>
    <x v="10"/>
    <x v="8"/>
    <n v="29"/>
    <n v="-12.42"/>
    <x v="0"/>
    <x v="0"/>
    <x v="0"/>
    <n v="12.42"/>
  </r>
  <r>
    <n v="3257"/>
    <x v="10"/>
    <x v="8"/>
    <n v="30"/>
    <n v="2E-3"/>
    <x v="3"/>
    <x v="2"/>
    <x v="1"/>
    <n v="2E-3"/>
  </r>
  <r>
    <n v="3258"/>
    <x v="10"/>
    <x v="8"/>
    <n v="30"/>
    <n v="-2E-3"/>
    <x v="2"/>
    <x v="1"/>
    <x v="0"/>
    <n v="2E-3"/>
  </r>
  <r>
    <n v="3259"/>
    <x v="10"/>
    <x v="8"/>
    <n v="30"/>
    <n v="-1.3980000000000001"/>
    <x v="2"/>
    <x v="1"/>
    <x v="0"/>
    <n v="1.3980000000000001"/>
  </r>
  <r>
    <n v="3260"/>
    <x v="10"/>
    <x v="8"/>
    <n v="30"/>
    <n v="-1"/>
    <x v="2"/>
    <x v="1"/>
    <x v="0"/>
    <n v="1"/>
  </r>
  <r>
    <n v="3261"/>
    <x v="10"/>
    <x v="9"/>
    <n v="1"/>
    <n v="-66.355999999999995"/>
    <x v="13"/>
    <x v="1"/>
    <x v="0"/>
    <n v="66.355999999999995"/>
  </r>
  <r>
    <n v="3262"/>
    <x v="10"/>
    <x v="9"/>
    <n v="1"/>
    <n v="-7.38"/>
    <x v="19"/>
    <x v="1"/>
    <x v="0"/>
    <n v="7.38"/>
  </r>
  <r>
    <n v="3263"/>
    <x v="10"/>
    <x v="9"/>
    <n v="1"/>
    <n v="-5.8"/>
    <x v="1"/>
    <x v="1"/>
    <x v="0"/>
    <n v="5.8"/>
  </r>
  <r>
    <n v="3264"/>
    <x v="10"/>
    <x v="9"/>
    <n v="1"/>
    <n v="-4.54"/>
    <x v="21"/>
    <x v="1"/>
    <x v="0"/>
    <n v="4.54"/>
  </r>
  <r>
    <n v="3265"/>
    <x v="10"/>
    <x v="9"/>
    <n v="2"/>
    <n v="-1.296"/>
    <x v="0"/>
    <x v="0"/>
    <x v="0"/>
    <n v="1.296"/>
  </r>
  <r>
    <n v="3266"/>
    <x v="10"/>
    <x v="9"/>
    <n v="4"/>
    <n v="-8.7840000000000007"/>
    <x v="0"/>
    <x v="0"/>
    <x v="0"/>
    <n v="8.7840000000000007"/>
  </r>
  <r>
    <n v="3267"/>
    <x v="10"/>
    <x v="9"/>
    <n v="5"/>
    <n v="-1.464"/>
    <x v="0"/>
    <x v="0"/>
    <x v="0"/>
    <n v="1.464"/>
  </r>
  <r>
    <n v="3268"/>
    <x v="10"/>
    <x v="9"/>
    <n v="6"/>
    <n v="-0.65800000000000003"/>
    <x v="0"/>
    <x v="0"/>
    <x v="0"/>
    <n v="0.65800000000000003"/>
  </r>
  <r>
    <n v="3269"/>
    <x v="10"/>
    <x v="9"/>
    <n v="7"/>
    <n v="-7.0120000000000005"/>
    <x v="0"/>
    <x v="0"/>
    <x v="0"/>
    <n v="7.0120000000000005"/>
  </r>
  <r>
    <n v="3270"/>
    <x v="10"/>
    <x v="9"/>
    <n v="8"/>
    <n v="-0.65800000000000003"/>
    <x v="0"/>
    <x v="0"/>
    <x v="0"/>
    <n v="0.65800000000000003"/>
  </r>
  <r>
    <n v="3271"/>
    <x v="10"/>
    <x v="9"/>
    <n v="9"/>
    <n v="-0.32999999999999996"/>
    <x v="0"/>
    <x v="0"/>
    <x v="0"/>
    <n v="0.32999999999999996"/>
  </r>
  <r>
    <n v="3272"/>
    <x v="10"/>
    <x v="9"/>
    <n v="10"/>
    <n v="-2.726"/>
    <x v="0"/>
    <x v="0"/>
    <x v="0"/>
    <n v="2.726"/>
  </r>
  <r>
    <n v="3273"/>
    <x v="10"/>
    <x v="9"/>
    <n v="11"/>
    <n v="-0.39800000000000002"/>
    <x v="2"/>
    <x v="1"/>
    <x v="0"/>
    <n v="0.39800000000000002"/>
  </r>
  <r>
    <n v="3274"/>
    <x v="10"/>
    <x v="9"/>
    <n v="12"/>
    <n v="-0.65800000000000003"/>
    <x v="0"/>
    <x v="0"/>
    <x v="0"/>
    <n v="0.65800000000000003"/>
  </r>
  <r>
    <n v="3275"/>
    <x v="10"/>
    <x v="9"/>
    <n v="13"/>
    <n v="-2"/>
    <x v="0"/>
    <x v="0"/>
    <x v="0"/>
    <n v="2"/>
  </r>
  <r>
    <n v="3276"/>
    <x v="10"/>
    <x v="9"/>
    <n v="14"/>
    <n v="-10.666"/>
    <x v="0"/>
    <x v="0"/>
    <x v="0"/>
    <n v="10.666"/>
  </r>
  <r>
    <n v="3277"/>
    <x v="10"/>
    <x v="9"/>
    <n v="15"/>
    <n v="-0.32999999999999996"/>
    <x v="0"/>
    <x v="0"/>
    <x v="0"/>
    <n v="0.32999999999999996"/>
  </r>
  <r>
    <n v="3278"/>
    <x v="10"/>
    <x v="9"/>
    <n v="16"/>
    <n v="-120.83199999999999"/>
    <x v="6"/>
    <x v="4"/>
    <x v="0"/>
    <n v="120.83199999999999"/>
  </r>
  <r>
    <n v="3279"/>
    <x v="10"/>
    <x v="9"/>
    <n v="17"/>
    <n v="-0.32999999999999996"/>
    <x v="0"/>
    <x v="0"/>
    <x v="0"/>
    <n v="0.32999999999999996"/>
  </r>
  <r>
    <n v="3280"/>
    <x v="10"/>
    <x v="9"/>
    <n v="18"/>
    <n v="-1.3679999999999999"/>
    <x v="0"/>
    <x v="0"/>
    <x v="0"/>
    <n v="1.3679999999999999"/>
  </r>
  <r>
    <n v="3281"/>
    <x v="10"/>
    <x v="9"/>
    <n v="19"/>
    <n v="735.55"/>
    <x v="4"/>
    <x v="3"/>
    <x v="1"/>
    <n v="735.55"/>
  </r>
  <r>
    <n v="3282"/>
    <x v="10"/>
    <x v="9"/>
    <n v="20"/>
    <n v="140"/>
    <x v="9"/>
    <x v="3"/>
    <x v="1"/>
    <n v="140"/>
  </r>
  <r>
    <n v="3283"/>
    <x v="10"/>
    <x v="9"/>
    <n v="21"/>
    <n v="-0.65800000000000003"/>
    <x v="0"/>
    <x v="0"/>
    <x v="0"/>
    <n v="0.65800000000000003"/>
  </r>
  <r>
    <n v="3284"/>
    <x v="10"/>
    <x v="9"/>
    <n v="22"/>
    <n v="-23.8"/>
    <x v="14"/>
    <x v="1"/>
    <x v="0"/>
    <n v="23.8"/>
  </r>
  <r>
    <n v="3285"/>
    <x v="10"/>
    <x v="9"/>
    <n v="23"/>
    <n v="-33.998000000000005"/>
    <x v="0"/>
    <x v="0"/>
    <x v="0"/>
    <n v="33.998000000000005"/>
  </r>
  <r>
    <n v="3286"/>
    <x v="10"/>
    <x v="9"/>
    <n v="27"/>
    <n v="-0.32999999999999996"/>
    <x v="0"/>
    <x v="0"/>
    <x v="0"/>
    <n v="0.32999999999999996"/>
  </r>
  <r>
    <n v="3287"/>
    <x v="10"/>
    <x v="9"/>
    <n v="27"/>
    <n v="-8.52"/>
    <x v="0"/>
    <x v="0"/>
    <x v="0"/>
    <n v="8.52"/>
  </r>
  <r>
    <n v="3288"/>
    <x v="10"/>
    <x v="9"/>
    <n v="29"/>
    <n v="-0.65800000000000003"/>
    <x v="0"/>
    <x v="0"/>
    <x v="0"/>
    <n v="0.65800000000000003"/>
  </r>
  <r>
    <n v="3289"/>
    <x v="10"/>
    <x v="9"/>
    <n v="29"/>
    <n v="-2.3820000000000001"/>
    <x v="0"/>
    <x v="0"/>
    <x v="0"/>
    <n v="2.3820000000000001"/>
  </r>
  <r>
    <n v="3290"/>
    <x v="10"/>
    <x v="9"/>
    <n v="30"/>
    <n v="-4.0119999999999996"/>
    <x v="0"/>
    <x v="0"/>
    <x v="0"/>
    <n v="4.0119999999999996"/>
  </r>
  <r>
    <n v="3291"/>
    <x v="10"/>
    <x v="9"/>
    <n v="30"/>
    <n v="-0.65800000000000003"/>
    <x v="0"/>
    <x v="0"/>
    <x v="0"/>
    <n v="0.65800000000000003"/>
  </r>
  <r>
    <n v="3292"/>
    <x v="10"/>
    <x v="9"/>
    <n v="31"/>
    <n v="-1.3980000000000001"/>
    <x v="2"/>
    <x v="1"/>
    <x v="0"/>
    <n v="1.3980000000000001"/>
  </r>
  <r>
    <n v="3293"/>
    <x v="10"/>
    <x v="9"/>
    <n v="31"/>
    <n v="4.0000000000000001E-3"/>
    <x v="3"/>
    <x v="2"/>
    <x v="1"/>
    <n v="4.0000000000000001E-3"/>
  </r>
  <r>
    <n v="3294"/>
    <x v="10"/>
    <x v="9"/>
    <n v="31"/>
    <n v="-2E-3"/>
    <x v="2"/>
    <x v="1"/>
    <x v="0"/>
    <n v="2E-3"/>
  </r>
  <r>
    <n v="3295"/>
    <x v="10"/>
    <x v="10"/>
    <n v="2"/>
    <n v="-8.6"/>
    <x v="0"/>
    <x v="0"/>
    <x v="0"/>
    <n v="8.6"/>
  </r>
  <r>
    <n v="3296"/>
    <x v="10"/>
    <x v="10"/>
    <n v="2"/>
    <n v="-4.54"/>
    <x v="21"/>
    <x v="1"/>
    <x v="0"/>
    <n v="4.54"/>
  </r>
  <r>
    <n v="3297"/>
    <x v="10"/>
    <x v="10"/>
    <n v="2"/>
    <n v="-5.8100000000000005"/>
    <x v="1"/>
    <x v="1"/>
    <x v="0"/>
    <n v="5.8100000000000005"/>
  </r>
  <r>
    <n v="3298"/>
    <x v="10"/>
    <x v="10"/>
    <n v="2"/>
    <n v="-17.381999999999998"/>
    <x v="16"/>
    <x v="1"/>
    <x v="0"/>
    <n v="17.381999999999998"/>
  </r>
  <r>
    <n v="3299"/>
    <x v="10"/>
    <x v="10"/>
    <n v="2"/>
    <n v="-5.88"/>
    <x v="18"/>
    <x v="1"/>
    <x v="0"/>
    <n v="5.88"/>
  </r>
  <r>
    <n v="3300"/>
    <x v="10"/>
    <x v="10"/>
    <n v="2"/>
    <n v="-7.38"/>
    <x v="19"/>
    <x v="1"/>
    <x v="0"/>
    <n v="7.38"/>
  </r>
  <r>
    <n v="3301"/>
    <x v="10"/>
    <x v="10"/>
    <n v="2"/>
    <n v="-66.355999999999995"/>
    <x v="13"/>
    <x v="1"/>
    <x v="0"/>
    <n v="66.355999999999995"/>
  </r>
  <r>
    <n v="3302"/>
    <x v="10"/>
    <x v="10"/>
    <n v="2"/>
    <n v="-0.32999999999999996"/>
    <x v="0"/>
    <x v="0"/>
    <x v="0"/>
    <n v="0.32999999999999996"/>
  </r>
  <r>
    <n v="3303"/>
    <x v="10"/>
    <x v="10"/>
    <n v="2"/>
    <n v="-0.08"/>
    <x v="2"/>
    <x v="1"/>
    <x v="0"/>
    <n v="0.08"/>
  </r>
  <r>
    <n v="3304"/>
    <x v="10"/>
    <x v="10"/>
    <n v="4"/>
    <n v="236.56599999999997"/>
    <x v="8"/>
    <x v="3"/>
    <x v="1"/>
    <n v="236.56599999999997"/>
  </r>
  <r>
    <n v="3305"/>
    <x v="10"/>
    <x v="10"/>
    <n v="4"/>
    <n v="141.048"/>
    <x v="8"/>
    <x v="3"/>
    <x v="1"/>
    <n v="141.048"/>
  </r>
  <r>
    <n v="3306"/>
    <x v="10"/>
    <x v="10"/>
    <n v="5"/>
    <n v="-0.65800000000000003"/>
    <x v="0"/>
    <x v="0"/>
    <x v="0"/>
    <n v="0.65800000000000003"/>
  </r>
  <r>
    <n v="3307"/>
    <x v="10"/>
    <x v="10"/>
    <n v="5"/>
    <n v="-23.462"/>
    <x v="0"/>
    <x v="0"/>
    <x v="0"/>
    <n v="23.462"/>
  </r>
  <r>
    <n v="3308"/>
    <x v="10"/>
    <x v="10"/>
    <n v="9"/>
    <n v="-0.69800000000000006"/>
    <x v="0"/>
    <x v="0"/>
    <x v="0"/>
    <n v="0.69800000000000006"/>
  </r>
  <r>
    <n v="3309"/>
    <x v="10"/>
    <x v="10"/>
    <n v="13"/>
    <n v="-0.32999999999999996"/>
    <x v="0"/>
    <x v="0"/>
    <x v="0"/>
    <n v="0.32999999999999996"/>
  </r>
  <r>
    <n v="3310"/>
    <x v="10"/>
    <x v="10"/>
    <n v="17"/>
    <n v="-0.39800000000000002"/>
    <x v="2"/>
    <x v="1"/>
    <x v="0"/>
    <n v="0.39800000000000002"/>
  </r>
  <r>
    <n v="3311"/>
    <x v="10"/>
    <x v="10"/>
    <n v="18"/>
    <n v="-9.2219999999999995"/>
    <x v="0"/>
    <x v="0"/>
    <x v="0"/>
    <n v="9.2219999999999995"/>
  </r>
  <r>
    <n v="3312"/>
    <x v="10"/>
    <x v="10"/>
    <n v="18"/>
    <n v="-0.65800000000000003"/>
    <x v="0"/>
    <x v="0"/>
    <x v="0"/>
    <n v="0.65800000000000003"/>
  </r>
  <r>
    <n v="3313"/>
    <x v="10"/>
    <x v="10"/>
    <n v="18"/>
    <n v="-3.2719999999999998"/>
    <x v="0"/>
    <x v="0"/>
    <x v="0"/>
    <n v="3.2719999999999998"/>
  </r>
  <r>
    <n v="3314"/>
    <x v="10"/>
    <x v="10"/>
    <n v="25"/>
    <n v="741.78199999999993"/>
    <x v="4"/>
    <x v="3"/>
    <x v="1"/>
    <n v="741.78199999999993"/>
  </r>
  <r>
    <n v="3315"/>
    <x v="10"/>
    <x v="10"/>
    <n v="26"/>
    <n v="-73.296000000000006"/>
    <x v="7"/>
    <x v="5"/>
    <x v="0"/>
    <n v="73.296000000000006"/>
  </r>
  <r>
    <n v="3316"/>
    <x v="10"/>
    <x v="10"/>
    <n v="26"/>
    <n v="-37.295999999999999"/>
    <x v="7"/>
    <x v="5"/>
    <x v="0"/>
    <n v="37.295999999999999"/>
  </r>
  <r>
    <n v="3317"/>
    <x v="10"/>
    <x v="10"/>
    <n v="26"/>
    <n v="-24.48"/>
    <x v="7"/>
    <x v="5"/>
    <x v="0"/>
    <n v="24.48"/>
  </r>
  <r>
    <n v="3318"/>
    <x v="10"/>
    <x v="10"/>
    <n v="27"/>
    <n v="-1.3160000000000001"/>
    <x v="0"/>
    <x v="0"/>
    <x v="0"/>
    <n v="1.3160000000000001"/>
  </r>
  <r>
    <n v="3319"/>
    <x v="10"/>
    <x v="10"/>
    <n v="27"/>
    <n v="-13.786000000000001"/>
    <x v="0"/>
    <x v="0"/>
    <x v="0"/>
    <n v="13.786000000000001"/>
  </r>
  <r>
    <n v="3320"/>
    <x v="10"/>
    <x v="10"/>
    <n v="28"/>
    <n v="-13.618"/>
    <x v="7"/>
    <x v="5"/>
    <x v="0"/>
    <n v="13.618"/>
  </r>
  <r>
    <n v="3321"/>
    <x v="10"/>
    <x v="10"/>
    <n v="28"/>
    <n v="-50.591999999999999"/>
    <x v="7"/>
    <x v="5"/>
    <x v="0"/>
    <n v="50.591999999999999"/>
  </r>
  <r>
    <n v="3322"/>
    <x v="10"/>
    <x v="10"/>
    <n v="30"/>
    <n v="-0.5"/>
    <x v="2"/>
    <x v="1"/>
    <x v="0"/>
    <n v="0.5"/>
  </r>
  <r>
    <n v="3323"/>
    <x v="10"/>
    <x v="10"/>
    <n v="30"/>
    <n v="-1.3980000000000001"/>
    <x v="2"/>
    <x v="1"/>
    <x v="0"/>
    <n v="1.3980000000000001"/>
  </r>
  <r>
    <n v="3324"/>
    <x v="10"/>
    <x v="10"/>
    <n v="30"/>
    <n v="6.0000000000000001E-3"/>
    <x v="3"/>
    <x v="2"/>
    <x v="1"/>
    <n v="6.0000000000000001E-3"/>
  </r>
  <r>
    <n v="3325"/>
    <x v="10"/>
    <x v="10"/>
    <n v="30"/>
    <n v="-2E-3"/>
    <x v="2"/>
    <x v="1"/>
    <x v="0"/>
    <n v="2E-3"/>
  </r>
  <r>
    <n v="3326"/>
    <x v="10"/>
    <x v="11"/>
    <n v="1"/>
    <n v="-32.631999999999998"/>
    <x v="7"/>
    <x v="5"/>
    <x v="0"/>
    <n v="32.631999999999998"/>
  </r>
  <r>
    <n v="3327"/>
    <x v="10"/>
    <x v="11"/>
    <n v="1"/>
    <n v="-5.8"/>
    <x v="1"/>
    <x v="1"/>
    <x v="0"/>
    <n v="5.8"/>
  </r>
  <r>
    <n v="3328"/>
    <x v="10"/>
    <x v="11"/>
    <n v="1"/>
    <n v="-4.54"/>
    <x v="21"/>
    <x v="1"/>
    <x v="0"/>
    <n v="4.54"/>
  </r>
  <r>
    <n v="3329"/>
    <x v="10"/>
    <x v="11"/>
    <n v="1"/>
    <n v="-7.38"/>
    <x v="19"/>
    <x v="1"/>
    <x v="0"/>
    <n v="7.38"/>
  </r>
  <r>
    <n v="3330"/>
    <x v="10"/>
    <x v="11"/>
    <n v="1"/>
    <n v="-66.355999999999995"/>
    <x v="13"/>
    <x v="1"/>
    <x v="0"/>
    <n v="66.355999999999995"/>
  </r>
  <r>
    <n v="3331"/>
    <x v="10"/>
    <x v="11"/>
    <n v="2"/>
    <n v="-10.6"/>
    <x v="7"/>
    <x v="5"/>
    <x v="0"/>
    <n v="10.6"/>
  </r>
  <r>
    <n v="3332"/>
    <x v="10"/>
    <x v="11"/>
    <n v="2"/>
    <n v="-0.04"/>
    <x v="2"/>
    <x v="1"/>
    <x v="0"/>
    <n v="0.04"/>
  </r>
  <r>
    <n v="3333"/>
    <x v="10"/>
    <x v="11"/>
    <n v="7"/>
    <n v="-18.658000000000001"/>
    <x v="0"/>
    <x v="0"/>
    <x v="0"/>
    <n v="18.658000000000001"/>
  </r>
  <r>
    <n v="3334"/>
    <x v="10"/>
    <x v="11"/>
    <n v="7"/>
    <n v="-0.72399999999999998"/>
    <x v="0"/>
    <x v="0"/>
    <x v="0"/>
    <n v="0.72399999999999998"/>
  </r>
  <r>
    <n v="3335"/>
    <x v="10"/>
    <x v="11"/>
    <n v="8"/>
    <n v="-3.3460000000000001"/>
    <x v="0"/>
    <x v="0"/>
    <x v="0"/>
    <n v="3.3460000000000001"/>
  </r>
  <r>
    <n v="3336"/>
    <x v="10"/>
    <x v="11"/>
    <n v="8"/>
    <n v="-9.76"/>
    <x v="0"/>
    <x v="0"/>
    <x v="0"/>
    <n v="9.76"/>
  </r>
  <r>
    <n v="3337"/>
    <x v="10"/>
    <x v="11"/>
    <n v="10"/>
    <n v="-5.79"/>
    <x v="0"/>
    <x v="0"/>
    <x v="0"/>
    <n v="5.79"/>
  </r>
  <r>
    <n v="3338"/>
    <x v="10"/>
    <x v="11"/>
    <n v="11"/>
    <n v="-1.448"/>
    <x v="0"/>
    <x v="0"/>
    <x v="0"/>
    <n v="1.448"/>
  </r>
  <r>
    <n v="3339"/>
    <x v="10"/>
    <x v="11"/>
    <n v="11"/>
    <n v="-7.0579999999999998"/>
    <x v="0"/>
    <x v="0"/>
    <x v="0"/>
    <n v="7.0579999999999998"/>
  </r>
  <r>
    <n v="3340"/>
    <x v="10"/>
    <x v="11"/>
    <n v="14"/>
    <n v="741.78199999999993"/>
    <x v="4"/>
    <x v="3"/>
    <x v="1"/>
    <n v="741.78199999999993"/>
  </r>
  <r>
    <n v="3341"/>
    <x v="10"/>
    <x v="11"/>
    <n v="15"/>
    <n v="-0.39800000000000002"/>
    <x v="2"/>
    <x v="1"/>
    <x v="0"/>
    <n v="0.39800000000000002"/>
  </r>
  <r>
    <n v="3342"/>
    <x v="10"/>
    <x v="11"/>
    <n v="16"/>
    <n v="-1.41"/>
    <x v="0"/>
    <x v="0"/>
    <x v="0"/>
    <n v="1.41"/>
  </r>
  <r>
    <n v="3343"/>
    <x v="10"/>
    <x v="11"/>
    <n v="18"/>
    <n v="106"/>
    <x v="9"/>
    <x v="3"/>
    <x v="1"/>
    <n v="106"/>
  </r>
  <r>
    <n v="3344"/>
    <x v="10"/>
    <x v="11"/>
    <n v="18"/>
    <n v="-1.4319999999999999"/>
    <x v="0"/>
    <x v="0"/>
    <x v="0"/>
    <n v="1.4319999999999999"/>
  </r>
  <r>
    <n v="3345"/>
    <x v="10"/>
    <x v="11"/>
    <n v="18"/>
    <n v="-3.95"/>
    <x v="0"/>
    <x v="0"/>
    <x v="0"/>
    <n v="3.95"/>
  </r>
  <r>
    <n v="3346"/>
    <x v="10"/>
    <x v="11"/>
    <n v="21"/>
    <n v="-13.197999999999999"/>
    <x v="0"/>
    <x v="0"/>
    <x v="0"/>
    <n v="13.197999999999999"/>
  </r>
  <r>
    <n v="3347"/>
    <x v="10"/>
    <x v="11"/>
    <n v="24"/>
    <n v="-0.23599999999999999"/>
    <x v="0"/>
    <x v="0"/>
    <x v="0"/>
    <n v="0.23599999999999999"/>
  </r>
  <r>
    <n v="3348"/>
    <x v="10"/>
    <x v="11"/>
    <n v="24"/>
    <n v="-2.1719999999999997"/>
    <x v="0"/>
    <x v="0"/>
    <x v="0"/>
    <n v="2.1719999999999997"/>
  </r>
  <r>
    <n v="3349"/>
    <x v="10"/>
    <x v="11"/>
    <n v="28"/>
    <n v="-24.48"/>
    <x v="7"/>
    <x v="5"/>
    <x v="0"/>
    <n v="24.48"/>
  </r>
  <r>
    <n v="3350"/>
    <x v="10"/>
    <x v="11"/>
    <n v="31"/>
    <n v="-0.4"/>
    <x v="2"/>
    <x v="1"/>
    <x v="0"/>
    <n v="0.4"/>
  </r>
  <r>
    <n v="3351"/>
    <x v="10"/>
    <x v="11"/>
    <n v="31"/>
    <n v="-1.3980000000000001"/>
    <x v="2"/>
    <x v="1"/>
    <x v="0"/>
    <n v="1.3980000000000001"/>
  </r>
  <r>
    <n v="3352"/>
    <x v="10"/>
    <x v="11"/>
    <n v="31"/>
    <n v="1.4000000000000002E-2"/>
    <x v="3"/>
    <x v="2"/>
    <x v="1"/>
    <n v="1.4000000000000002E-2"/>
  </r>
  <r>
    <n v="3353"/>
    <x v="10"/>
    <x v="11"/>
    <n v="31"/>
    <n v="-4.0000000000000001E-3"/>
    <x v="2"/>
    <x v="1"/>
    <x v="0"/>
    <n v="4.0000000000000001E-3"/>
  </r>
  <r>
    <n v="3354"/>
    <x v="10"/>
    <x v="11"/>
    <n v="31"/>
    <n v="-21.472000000000001"/>
    <x v="0"/>
    <x v="0"/>
    <x v="0"/>
    <n v="21.472000000000001"/>
  </r>
  <r>
    <n v="3355"/>
    <x v="11"/>
    <x v="0"/>
    <n v="2"/>
    <n v="-4.9000000000000004"/>
    <x v="21"/>
    <x v="1"/>
    <x v="0"/>
    <n v="4.9000000000000004"/>
  </r>
  <r>
    <n v="3356"/>
    <x v="11"/>
    <x v="0"/>
    <n v="2"/>
    <n v="-5.8100000000000005"/>
    <x v="18"/>
    <x v="1"/>
    <x v="0"/>
    <n v="5.8100000000000005"/>
  </r>
  <r>
    <n v="3357"/>
    <x v="11"/>
    <x v="0"/>
    <n v="2"/>
    <n v="-14.693999999999999"/>
    <x v="16"/>
    <x v="1"/>
    <x v="0"/>
    <n v="14.693999999999999"/>
  </r>
  <r>
    <n v="3358"/>
    <x v="11"/>
    <x v="0"/>
    <n v="2"/>
    <n v="-6.2780000000000005"/>
    <x v="1"/>
    <x v="1"/>
    <x v="0"/>
    <n v="6.2780000000000005"/>
  </r>
  <r>
    <n v="3359"/>
    <x v="11"/>
    <x v="0"/>
    <n v="2"/>
    <n v="-7.38"/>
    <x v="19"/>
    <x v="1"/>
    <x v="0"/>
    <n v="7.38"/>
  </r>
  <r>
    <n v="3360"/>
    <x v="11"/>
    <x v="0"/>
    <n v="2"/>
    <n v="-70.201999999999998"/>
    <x v="13"/>
    <x v="1"/>
    <x v="0"/>
    <n v="70.201999999999998"/>
  </r>
  <r>
    <n v="3361"/>
    <x v="11"/>
    <x v="0"/>
    <n v="2"/>
    <n v="-2"/>
    <x v="0"/>
    <x v="0"/>
    <x v="0"/>
    <n v="2"/>
  </r>
  <r>
    <n v="3362"/>
    <x v="11"/>
    <x v="0"/>
    <n v="4"/>
    <n v="-0.24"/>
    <x v="2"/>
    <x v="1"/>
    <x v="0"/>
    <n v="0.24"/>
  </r>
  <r>
    <n v="3363"/>
    <x v="11"/>
    <x v="0"/>
    <n v="13"/>
    <n v="-3.8820000000000001"/>
    <x v="0"/>
    <x v="0"/>
    <x v="0"/>
    <n v="3.8820000000000001"/>
  </r>
  <r>
    <n v="3364"/>
    <x v="11"/>
    <x v="0"/>
    <n v="15"/>
    <n v="-0.72399999999999998"/>
    <x v="0"/>
    <x v="0"/>
    <x v="0"/>
    <n v="0.72399999999999998"/>
  </r>
  <r>
    <n v="3365"/>
    <x v="11"/>
    <x v="0"/>
    <n v="18"/>
    <n v="-0.72399999999999998"/>
    <x v="0"/>
    <x v="0"/>
    <x v="0"/>
    <n v="0.72399999999999998"/>
  </r>
  <r>
    <n v="3366"/>
    <x v="11"/>
    <x v="0"/>
    <n v="19"/>
    <n v="-0.39800000000000002"/>
    <x v="2"/>
    <x v="1"/>
    <x v="0"/>
    <n v="0.39800000000000002"/>
  </r>
  <r>
    <n v="3367"/>
    <x v="11"/>
    <x v="0"/>
    <n v="20"/>
    <n v="-13.11"/>
    <x v="0"/>
    <x v="0"/>
    <x v="0"/>
    <n v="13.11"/>
  </r>
  <r>
    <n v="3368"/>
    <x v="11"/>
    <x v="0"/>
    <n v="21"/>
    <n v="-0.36199999999999999"/>
    <x v="0"/>
    <x v="0"/>
    <x v="0"/>
    <n v="0.36199999999999999"/>
  </r>
  <r>
    <n v="3369"/>
    <x v="11"/>
    <x v="0"/>
    <n v="22"/>
    <n v="-0.72399999999999998"/>
    <x v="0"/>
    <x v="0"/>
    <x v="0"/>
    <n v="0.72399999999999998"/>
  </r>
  <r>
    <n v="3370"/>
    <x v="11"/>
    <x v="0"/>
    <n v="25"/>
    <n v="740.91800000000001"/>
    <x v="4"/>
    <x v="3"/>
    <x v="1"/>
    <n v="740.91800000000001"/>
  </r>
  <r>
    <n v="3371"/>
    <x v="11"/>
    <x v="0"/>
    <n v="25"/>
    <n v="-23.8"/>
    <x v="14"/>
    <x v="1"/>
    <x v="0"/>
    <n v="23.8"/>
  </r>
  <r>
    <n v="3372"/>
    <x v="11"/>
    <x v="0"/>
    <n v="26"/>
    <n v="-0.36199999999999999"/>
    <x v="0"/>
    <x v="0"/>
    <x v="0"/>
    <n v="0.36199999999999999"/>
  </r>
  <r>
    <n v="3373"/>
    <x v="11"/>
    <x v="0"/>
    <n v="28"/>
    <n v="-0.36199999999999999"/>
    <x v="0"/>
    <x v="0"/>
    <x v="0"/>
    <n v="0.36199999999999999"/>
  </r>
  <r>
    <n v="3374"/>
    <x v="11"/>
    <x v="0"/>
    <n v="28"/>
    <n v="-2.71"/>
    <x v="0"/>
    <x v="0"/>
    <x v="0"/>
    <n v="2.71"/>
  </r>
  <r>
    <n v="3375"/>
    <x v="11"/>
    <x v="0"/>
    <n v="28"/>
    <n v="-8.1999999999999993"/>
    <x v="0"/>
    <x v="0"/>
    <x v="0"/>
    <n v="8.1999999999999993"/>
  </r>
  <r>
    <n v="3376"/>
    <x v="11"/>
    <x v="0"/>
    <n v="29"/>
    <n v="-0.72399999999999998"/>
    <x v="0"/>
    <x v="0"/>
    <x v="0"/>
    <n v="0.72399999999999998"/>
  </r>
  <r>
    <n v="3377"/>
    <x v="11"/>
    <x v="0"/>
    <n v="30"/>
    <n v="-8.6"/>
    <x v="0"/>
    <x v="0"/>
    <x v="0"/>
    <n v="8.6"/>
  </r>
  <r>
    <n v="3378"/>
    <x v="11"/>
    <x v="0"/>
    <n v="30"/>
    <n v="-1"/>
    <x v="2"/>
    <x v="1"/>
    <x v="0"/>
    <n v="1"/>
  </r>
  <r>
    <n v="3379"/>
    <x v="11"/>
    <x v="0"/>
    <n v="30"/>
    <n v="-1.3980000000000001"/>
    <x v="2"/>
    <x v="1"/>
    <x v="0"/>
    <n v="1.3980000000000001"/>
  </r>
  <r>
    <n v="3380"/>
    <x v="11"/>
    <x v="0"/>
    <n v="30"/>
    <n v="-2E-3"/>
    <x v="2"/>
    <x v="1"/>
    <x v="0"/>
    <n v="2E-3"/>
  </r>
  <r>
    <n v="3381"/>
    <x v="11"/>
    <x v="0"/>
    <n v="30"/>
    <n v="4.0000000000000001E-3"/>
    <x v="3"/>
    <x v="2"/>
    <x v="1"/>
    <n v="4.0000000000000001E-3"/>
  </r>
  <r>
    <n v="3382"/>
    <x v="11"/>
    <x v="1"/>
    <n v="1"/>
    <n v="-9.1999999999999993"/>
    <x v="20"/>
    <x v="1"/>
    <x v="0"/>
    <n v="9.1999999999999993"/>
  </r>
  <r>
    <n v="3383"/>
    <x v="11"/>
    <x v="1"/>
    <n v="1"/>
    <n v="-4.9000000000000004"/>
    <x v="21"/>
    <x v="1"/>
    <x v="0"/>
    <n v="4.9000000000000004"/>
  </r>
  <r>
    <n v="3384"/>
    <x v="11"/>
    <x v="1"/>
    <n v="1"/>
    <n v="-5.8"/>
    <x v="1"/>
    <x v="1"/>
    <x v="0"/>
    <n v="5.8"/>
  </r>
  <r>
    <n v="3385"/>
    <x v="11"/>
    <x v="1"/>
    <n v="1"/>
    <n v="-7.38"/>
    <x v="19"/>
    <x v="1"/>
    <x v="0"/>
    <n v="7.38"/>
  </r>
  <r>
    <n v="3386"/>
    <x v="11"/>
    <x v="1"/>
    <n v="1"/>
    <n v="-72.304000000000002"/>
    <x v="13"/>
    <x v="1"/>
    <x v="0"/>
    <n v="72.304000000000002"/>
  </r>
  <r>
    <n v="3387"/>
    <x v="11"/>
    <x v="1"/>
    <n v="2"/>
    <n v="745.85400000000004"/>
    <x v="5"/>
    <x v="3"/>
    <x v="1"/>
    <n v="745.85400000000004"/>
  </r>
  <r>
    <n v="3388"/>
    <x v="11"/>
    <x v="1"/>
    <n v="2"/>
    <n v="-3.1640000000000001"/>
    <x v="0"/>
    <x v="0"/>
    <x v="0"/>
    <n v="3.1640000000000001"/>
  </r>
  <r>
    <n v="3389"/>
    <x v="11"/>
    <x v="1"/>
    <n v="2"/>
    <n v="-2.5680000000000001"/>
    <x v="0"/>
    <x v="0"/>
    <x v="0"/>
    <n v="2.5680000000000001"/>
  </r>
  <r>
    <n v="3390"/>
    <x v="11"/>
    <x v="1"/>
    <n v="4"/>
    <n v="-9.1959999999999997"/>
    <x v="0"/>
    <x v="0"/>
    <x v="0"/>
    <n v="9.1959999999999997"/>
  </r>
  <r>
    <n v="3391"/>
    <x v="11"/>
    <x v="1"/>
    <n v="5"/>
    <n v="-0.72399999999999998"/>
    <x v="0"/>
    <x v="0"/>
    <x v="0"/>
    <n v="0.72399999999999998"/>
  </r>
  <r>
    <n v="3392"/>
    <x v="11"/>
    <x v="1"/>
    <n v="9"/>
    <n v="-0.72399999999999998"/>
    <x v="0"/>
    <x v="0"/>
    <x v="0"/>
    <n v="0.72399999999999998"/>
  </r>
  <r>
    <n v="3393"/>
    <x v="11"/>
    <x v="1"/>
    <n v="11"/>
    <n v="-6.6579999999999995"/>
    <x v="0"/>
    <x v="0"/>
    <x v="0"/>
    <n v="6.6579999999999995"/>
  </r>
  <r>
    <n v="3394"/>
    <x v="11"/>
    <x v="1"/>
    <n v="11"/>
    <n v="-11.02"/>
    <x v="0"/>
    <x v="0"/>
    <x v="0"/>
    <n v="11.02"/>
  </r>
  <r>
    <n v="3395"/>
    <x v="11"/>
    <x v="1"/>
    <n v="12"/>
    <n v="-0.72399999999999998"/>
    <x v="0"/>
    <x v="0"/>
    <x v="0"/>
    <n v="0.72399999999999998"/>
  </r>
  <r>
    <n v="3396"/>
    <x v="11"/>
    <x v="1"/>
    <n v="16"/>
    <n v="-7.7180000000000009"/>
    <x v="0"/>
    <x v="0"/>
    <x v="0"/>
    <n v="7.7180000000000009"/>
  </r>
  <r>
    <n v="3397"/>
    <x v="11"/>
    <x v="1"/>
    <n v="16"/>
    <n v="-0.72399999999999998"/>
    <x v="0"/>
    <x v="0"/>
    <x v="0"/>
    <n v="0.72399999999999998"/>
  </r>
  <r>
    <n v="3398"/>
    <x v="11"/>
    <x v="1"/>
    <n v="16"/>
    <n v="-0.39800000000000002"/>
    <x v="2"/>
    <x v="1"/>
    <x v="0"/>
    <n v="0.39800000000000002"/>
  </r>
  <r>
    <n v="3399"/>
    <x v="11"/>
    <x v="1"/>
    <n v="22"/>
    <n v="-1.966"/>
    <x v="0"/>
    <x v="0"/>
    <x v="0"/>
    <n v="1.966"/>
  </r>
  <r>
    <n v="3400"/>
    <x v="11"/>
    <x v="1"/>
    <n v="22"/>
    <n v="-1.448"/>
    <x v="0"/>
    <x v="0"/>
    <x v="0"/>
    <n v="1.448"/>
  </r>
  <r>
    <n v="3401"/>
    <x v="11"/>
    <x v="1"/>
    <n v="23"/>
    <n v="-23.8"/>
    <x v="14"/>
    <x v="1"/>
    <x v="0"/>
    <n v="23.8"/>
  </r>
  <r>
    <n v="3402"/>
    <x v="11"/>
    <x v="1"/>
    <n v="26"/>
    <n v="2"/>
    <x v="9"/>
    <x v="3"/>
    <x v="1"/>
    <n v="2"/>
  </r>
  <r>
    <n v="3403"/>
    <x v="11"/>
    <x v="1"/>
    <n v="26"/>
    <n v="740.91800000000001"/>
    <x v="4"/>
    <x v="3"/>
    <x v="1"/>
    <n v="740.91800000000001"/>
  </r>
  <r>
    <n v="3404"/>
    <x v="11"/>
    <x v="1"/>
    <n v="27"/>
    <n v="2E-3"/>
    <x v="3"/>
    <x v="2"/>
    <x v="1"/>
    <n v="2E-3"/>
  </r>
  <r>
    <n v="3405"/>
    <x v="11"/>
    <x v="1"/>
    <n v="27"/>
    <n v="-0.5"/>
    <x v="2"/>
    <x v="1"/>
    <x v="0"/>
    <n v="0.5"/>
  </r>
  <r>
    <n v="3406"/>
    <x v="11"/>
    <x v="1"/>
    <n v="27"/>
    <n v="-1.3980000000000001"/>
    <x v="2"/>
    <x v="1"/>
    <x v="0"/>
    <n v="1.3980000000000001"/>
  </r>
  <r>
    <n v="3407"/>
    <x v="11"/>
    <x v="1"/>
    <n v="27"/>
    <n v="-2E-3"/>
    <x v="2"/>
    <x v="1"/>
    <x v="0"/>
    <n v="2E-3"/>
  </r>
  <r>
    <n v="3408"/>
    <x v="11"/>
    <x v="2"/>
    <n v="1"/>
    <n v="-19.891999999999999"/>
    <x v="16"/>
    <x v="1"/>
    <x v="0"/>
    <n v="19.891999999999999"/>
  </r>
  <r>
    <n v="3409"/>
    <x v="11"/>
    <x v="2"/>
    <n v="1"/>
    <n v="-5.8100000000000005"/>
    <x v="18"/>
    <x v="1"/>
    <x v="0"/>
    <n v="5.8100000000000005"/>
  </r>
  <r>
    <n v="3410"/>
    <x v="11"/>
    <x v="2"/>
    <n v="1"/>
    <n v="-4.9000000000000004"/>
    <x v="21"/>
    <x v="1"/>
    <x v="0"/>
    <n v="4.9000000000000004"/>
  </r>
  <r>
    <n v="3411"/>
    <x v="11"/>
    <x v="2"/>
    <n v="1"/>
    <n v="-5.8"/>
    <x v="1"/>
    <x v="1"/>
    <x v="0"/>
    <n v="5.8"/>
  </r>
  <r>
    <n v="3412"/>
    <x v="11"/>
    <x v="2"/>
    <n v="1"/>
    <n v="-7.38"/>
    <x v="19"/>
    <x v="1"/>
    <x v="0"/>
    <n v="7.38"/>
  </r>
  <r>
    <n v="3413"/>
    <x v="11"/>
    <x v="2"/>
    <n v="1"/>
    <n v="-72.304000000000002"/>
    <x v="13"/>
    <x v="1"/>
    <x v="0"/>
    <n v="72.304000000000002"/>
  </r>
  <r>
    <n v="3414"/>
    <x v="11"/>
    <x v="2"/>
    <n v="1"/>
    <n v="-13.325999999999999"/>
    <x v="0"/>
    <x v="0"/>
    <x v="0"/>
    <n v="13.325999999999999"/>
  </r>
  <r>
    <n v="3415"/>
    <x v="11"/>
    <x v="2"/>
    <n v="2"/>
    <n v="-0.72399999999999998"/>
    <x v="0"/>
    <x v="0"/>
    <x v="0"/>
    <n v="0.72399999999999998"/>
  </r>
  <r>
    <n v="3416"/>
    <x v="11"/>
    <x v="2"/>
    <n v="4"/>
    <n v="-0.82599999999999996"/>
    <x v="0"/>
    <x v="0"/>
    <x v="0"/>
    <n v="0.82599999999999996"/>
  </r>
  <r>
    <n v="3417"/>
    <x v="11"/>
    <x v="2"/>
    <n v="5"/>
    <n v="-0.76800000000000002"/>
    <x v="0"/>
    <x v="0"/>
    <x v="0"/>
    <n v="0.76800000000000002"/>
  </r>
  <r>
    <n v="3418"/>
    <x v="11"/>
    <x v="2"/>
    <n v="8"/>
    <n v="-0.72399999999999998"/>
    <x v="0"/>
    <x v="0"/>
    <x v="0"/>
    <n v="0.72399999999999998"/>
  </r>
  <r>
    <n v="3419"/>
    <x v="11"/>
    <x v="2"/>
    <n v="9"/>
    <n v="-19.991999999999997"/>
    <x v="0"/>
    <x v="0"/>
    <x v="0"/>
    <n v="19.991999999999997"/>
  </r>
  <r>
    <n v="3420"/>
    <x v="11"/>
    <x v="2"/>
    <n v="15"/>
    <n v="-9.8000000000000007"/>
    <x v="6"/>
    <x v="4"/>
    <x v="0"/>
    <n v="9.8000000000000007"/>
  </r>
  <r>
    <n v="3421"/>
    <x v="11"/>
    <x v="2"/>
    <n v="16"/>
    <n v="-0.39800000000000002"/>
    <x v="2"/>
    <x v="1"/>
    <x v="0"/>
    <n v="0.39800000000000002"/>
  </r>
  <r>
    <n v="3422"/>
    <x v="11"/>
    <x v="2"/>
    <n v="18"/>
    <n v="-10.657999999999999"/>
    <x v="0"/>
    <x v="0"/>
    <x v="0"/>
    <n v="10.657999999999999"/>
  </r>
  <r>
    <n v="3423"/>
    <x v="11"/>
    <x v="2"/>
    <n v="22"/>
    <n v="-2.87"/>
    <x v="0"/>
    <x v="0"/>
    <x v="0"/>
    <n v="2.87"/>
  </r>
  <r>
    <n v="3424"/>
    <x v="11"/>
    <x v="2"/>
    <n v="22"/>
    <n v="-1.298"/>
    <x v="0"/>
    <x v="0"/>
    <x v="0"/>
    <n v="1.298"/>
  </r>
  <r>
    <n v="3425"/>
    <x v="11"/>
    <x v="2"/>
    <n v="22"/>
    <n v="-6.0439999999999996"/>
    <x v="0"/>
    <x v="0"/>
    <x v="0"/>
    <n v="6.0439999999999996"/>
  </r>
  <r>
    <n v="3426"/>
    <x v="11"/>
    <x v="2"/>
    <n v="22"/>
    <n v="-0.7"/>
    <x v="0"/>
    <x v="0"/>
    <x v="0"/>
    <n v="0.7"/>
  </r>
  <r>
    <n v="3427"/>
    <x v="11"/>
    <x v="2"/>
    <n v="25"/>
    <n v="740.91800000000001"/>
    <x v="4"/>
    <x v="3"/>
    <x v="1"/>
    <n v="740.91800000000001"/>
  </r>
  <r>
    <n v="3428"/>
    <x v="11"/>
    <x v="2"/>
    <n v="31"/>
    <n v="-1.3980000000000001"/>
    <x v="2"/>
    <x v="1"/>
    <x v="0"/>
    <n v="1.3980000000000001"/>
  </r>
  <r>
    <n v="3429"/>
    <x v="11"/>
    <x v="2"/>
    <n v="31"/>
    <n v="2E-3"/>
    <x v="3"/>
    <x v="2"/>
    <x v="1"/>
    <n v="2E-3"/>
  </r>
  <r>
    <n v="3430"/>
    <x v="11"/>
    <x v="2"/>
    <n v="31"/>
    <n v="-2E-3"/>
    <x v="2"/>
    <x v="1"/>
    <x v="0"/>
    <n v="2E-3"/>
  </r>
  <r>
    <n v="3431"/>
    <x v="11"/>
    <x v="3"/>
    <n v="1"/>
    <n v="-23.8"/>
    <x v="14"/>
    <x v="1"/>
    <x v="0"/>
    <n v="23.8"/>
  </r>
  <r>
    <n v="3432"/>
    <x v="11"/>
    <x v="3"/>
    <n v="1"/>
    <n v="-3"/>
    <x v="7"/>
    <x v="5"/>
    <x v="0"/>
    <n v="3"/>
  </r>
  <r>
    <n v="3433"/>
    <x v="11"/>
    <x v="3"/>
    <n v="1"/>
    <n v="-4.9000000000000004"/>
    <x v="21"/>
    <x v="1"/>
    <x v="0"/>
    <n v="4.9000000000000004"/>
  </r>
  <r>
    <n v="3434"/>
    <x v="11"/>
    <x v="3"/>
    <n v="1"/>
    <n v="-5.8"/>
    <x v="1"/>
    <x v="1"/>
    <x v="0"/>
    <n v="5.8"/>
  </r>
  <r>
    <n v="3435"/>
    <x v="11"/>
    <x v="3"/>
    <n v="1"/>
    <n v="-7.38"/>
    <x v="19"/>
    <x v="1"/>
    <x v="0"/>
    <n v="7.38"/>
  </r>
  <r>
    <n v="3436"/>
    <x v="11"/>
    <x v="3"/>
    <n v="1"/>
    <n v="-72.304000000000002"/>
    <x v="13"/>
    <x v="1"/>
    <x v="0"/>
    <n v="72.304000000000002"/>
  </r>
  <r>
    <n v="3437"/>
    <x v="11"/>
    <x v="3"/>
    <n v="2"/>
    <n v="-40"/>
    <x v="7"/>
    <x v="5"/>
    <x v="0"/>
    <n v="40"/>
  </r>
  <r>
    <n v="3438"/>
    <x v="11"/>
    <x v="3"/>
    <n v="13"/>
    <n v="-0.81199999999999994"/>
    <x v="0"/>
    <x v="0"/>
    <x v="0"/>
    <n v="0.81199999999999994"/>
  </r>
  <r>
    <n v="3439"/>
    <x v="11"/>
    <x v="3"/>
    <n v="13"/>
    <n v="-1.448"/>
    <x v="0"/>
    <x v="0"/>
    <x v="0"/>
    <n v="1.448"/>
  </r>
  <r>
    <n v="3440"/>
    <x v="11"/>
    <x v="3"/>
    <n v="13"/>
    <n v="-17.206"/>
    <x v="0"/>
    <x v="0"/>
    <x v="0"/>
    <n v="17.206"/>
  </r>
  <r>
    <n v="3441"/>
    <x v="11"/>
    <x v="3"/>
    <n v="13"/>
    <n v="-0.39800000000000002"/>
    <x v="2"/>
    <x v="1"/>
    <x v="0"/>
    <n v="0.39800000000000002"/>
  </r>
  <r>
    <n v="3442"/>
    <x v="11"/>
    <x v="3"/>
    <n v="19"/>
    <n v="-11.123999999999999"/>
    <x v="0"/>
    <x v="0"/>
    <x v="0"/>
    <n v="11.123999999999999"/>
  </r>
  <r>
    <n v="3443"/>
    <x v="11"/>
    <x v="3"/>
    <n v="22"/>
    <n v="740.91800000000001"/>
    <x v="4"/>
    <x v="3"/>
    <x v="1"/>
    <n v="740.91800000000001"/>
  </r>
  <r>
    <n v="3444"/>
    <x v="11"/>
    <x v="3"/>
    <n v="22"/>
    <n v="-37.992000000000004"/>
    <x v="0"/>
    <x v="0"/>
    <x v="0"/>
    <n v="37.992000000000004"/>
  </r>
  <r>
    <n v="3445"/>
    <x v="11"/>
    <x v="3"/>
    <n v="29"/>
    <n v="-13.522"/>
    <x v="0"/>
    <x v="0"/>
    <x v="0"/>
    <n v="13.522"/>
  </r>
  <r>
    <n v="3446"/>
    <x v="11"/>
    <x v="3"/>
    <n v="29"/>
    <n v="-4.3899999999999997"/>
    <x v="0"/>
    <x v="0"/>
    <x v="0"/>
    <n v="4.3899999999999997"/>
  </r>
  <r>
    <n v="3447"/>
    <x v="11"/>
    <x v="3"/>
    <n v="29"/>
    <n v="-0.72399999999999998"/>
    <x v="0"/>
    <x v="0"/>
    <x v="0"/>
    <n v="0.72399999999999998"/>
  </r>
  <r>
    <n v="3448"/>
    <x v="11"/>
    <x v="3"/>
    <n v="30"/>
    <n v="-0.5"/>
    <x v="2"/>
    <x v="1"/>
    <x v="0"/>
    <n v="0.5"/>
  </r>
  <r>
    <n v="3449"/>
    <x v="11"/>
    <x v="3"/>
    <n v="30"/>
    <n v="-1.3980000000000001"/>
    <x v="2"/>
    <x v="1"/>
    <x v="0"/>
    <n v="1.3980000000000001"/>
  </r>
  <r>
    <n v="3450"/>
    <x v="11"/>
    <x v="3"/>
    <n v="30"/>
    <n v="6.0000000000000001E-3"/>
    <x v="3"/>
    <x v="2"/>
    <x v="1"/>
    <n v="6.0000000000000001E-3"/>
  </r>
  <r>
    <n v="3451"/>
    <x v="11"/>
    <x v="3"/>
    <n v="30"/>
    <n v="-2E-3"/>
    <x v="2"/>
    <x v="1"/>
    <x v="0"/>
    <n v="2E-3"/>
  </r>
  <r>
    <n v="3452"/>
    <x v="11"/>
    <x v="4"/>
    <n v="3"/>
    <n v="-19.8"/>
    <x v="6"/>
    <x v="4"/>
    <x v="0"/>
    <n v="19.8"/>
  </r>
  <r>
    <n v="3453"/>
    <x v="11"/>
    <x v="4"/>
    <n v="3"/>
    <n v="-39.799999999999997"/>
    <x v="11"/>
    <x v="1"/>
    <x v="0"/>
    <n v="39.799999999999997"/>
  </r>
  <r>
    <n v="3454"/>
    <x v="11"/>
    <x v="4"/>
    <n v="3"/>
    <n v="-46.4"/>
    <x v="12"/>
    <x v="1"/>
    <x v="0"/>
    <n v="46.4"/>
  </r>
  <r>
    <n v="3455"/>
    <x v="11"/>
    <x v="4"/>
    <n v="3"/>
    <n v="-16.978000000000002"/>
    <x v="16"/>
    <x v="1"/>
    <x v="0"/>
    <n v="16.978000000000002"/>
  </r>
  <r>
    <n v="3456"/>
    <x v="11"/>
    <x v="4"/>
    <n v="3"/>
    <n v="-5.8100000000000005"/>
    <x v="18"/>
    <x v="1"/>
    <x v="0"/>
    <n v="5.8100000000000005"/>
  </r>
  <r>
    <n v="3457"/>
    <x v="11"/>
    <x v="4"/>
    <n v="3"/>
    <n v="-4.9000000000000004"/>
    <x v="21"/>
    <x v="1"/>
    <x v="0"/>
    <n v="4.9000000000000004"/>
  </r>
  <r>
    <n v="3458"/>
    <x v="11"/>
    <x v="4"/>
    <n v="3"/>
    <n v="-5.8"/>
    <x v="1"/>
    <x v="1"/>
    <x v="0"/>
    <n v="5.8"/>
  </r>
  <r>
    <n v="3459"/>
    <x v="11"/>
    <x v="4"/>
    <n v="3"/>
    <n v="-7.38"/>
    <x v="19"/>
    <x v="1"/>
    <x v="0"/>
    <n v="7.38"/>
  </r>
  <r>
    <n v="3460"/>
    <x v="11"/>
    <x v="4"/>
    <n v="3"/>
    <n v="-72.304000000000002"/>
    <x v="13"/>
    <x v="1"/>
    <x v="0"/>
    <n v="72.304000000000002"/>
  </r>
  <r>
    <n v="3461"/>
    <x v="11"/>
    <x v="4"/>
    <n v="3"/>
    <n v="-1"/>
    <x v="7"/>
    <x v="5"/>
    <x v="0"/>
    <n v="1"/>
  </r>
  <r>
    <n v="3462"/>
    <x v="11"/>
    <x v="4"/>
    <n v="4"/>
    <n v="-23.8"/>
    <x v="14"/>
    <x v="1"/>
    <x v="0"/>
    <n v="23.8"/>
  </r>
  <r>
    <n v="3463"/>
    <x v="11"/>
    <x v="4"/>
    <n v="5"/>
    <n v="-12.684000000000001"/>
    <x v="7"/>
    <x v="5"/>
    <x v="0"/>
    <n v="12.684000000000001"/>
  </r>
  <r>
    <n v="3464"/>
    <x v="11"/>
    <x v="4"/>
    <n v="8"/>
    <n v="-32.188000000000002"/>
    <x v="7"/>
    <x v="5"/>
    <x v="0"/>
    <n v="32.188000000000002"/>
  </r>
  <r>
    <n v="3465"/>
    <x v="11"/>
    <x v="4"/>
    <n v="11"/>
    <n v="-1.8839999999999999"/>
    <x v="0"/>
    <x v="0"/>
    <x v="0"/>
    <n v="1.8839999999999999"/>
  </r>
  <r>
    <n v="3466"/>
    <x v="11"/>
    <x v="4"/>
    <n v="12"/>
    <n v="-11.998000000000001"/>
    <x v="7"/>
    <x v="5"/>
    <x v="0"/>
    <n v="11.998000000000001"/>
  </r>
  <r>
    <n v="3467"/>
    <x v="11"/>
    <x v="4"/>
    <n v="14"/>
    <n v="-20"/>
    <x v="0"/>
    <x v="0"/>
    <x v="0"/>
    <n v="20"/>
  </r>
  <r>
    <n v="3468"/>
    <x v="11"/>
    <x v="4"/>
    <n v="14"/>
    <n v="-37.353999999999999"/>
    <x v="0"/>
    <x v="0"/>
    <x v="0"/>
    <n v="37.353999999999999"/>
  </r>
  <r>
    <n v="3469"/>
    <x v="11"/>
    <x v="4"/>
    <n v="18"/>
    <n v="-0.72399999999999998"/>
    <x v="0"/>
    <x v="0"/>
    <x v="0"/>
    <n v="0.72399999999999998"/>
  </r>
  <r>
    <n v="3470"/>
    <x v="11"/>
    <x v="4"/>
    <n v="18"/>
    <n v="-7.1260000000000003"/>
    <x v="0"/>
    <x v="0"/>
    <x v="0"/>
    <n v="7.1260000000000003"/>
  </r>
  <r>
    <n v="3471"/>
    <x v="11"/>
    <x v="4"/>
    <n v="18"/>
    <n v="-0.39800000000000002"/>
    <x v="2"/>
    <x v="1"/>
    <x v="0"/>
    <n v="0.39800000000000002"/>
  </r>
  <r>
    <n v="3472"/>
    <x v="11"/>
    <x v="4"/>
    <n v="24"/>
    <n v="-0.72399999999999998"/>
    <x v="0"/>
    <x v="0"/>
    <x v="0"/>
    <n v="0.72399999999999998"/>
  </r>
  <r>
    <n v="3473"/>
    <x v="11"/>
    <x v="4"/>
    <n v="26"/>
    <n v="740.91800000000001"/>
    <x v="4"/>
    <x v="3"/>
    <x v="1"/>
    <n v="740.91800000000001"/>
  </r>
  <r>
    <n v="3474"/>
    <x v="11"/>
    <x v="4"/>
    <n v="27"/>
    <n v="-0.72399999999999998"/>
    <x v="0"/>
    <x v="0"/>
    <x v="0"/>
    <n v="0.72399999999999998"/>
  </r>
  <r>
    <n v="3475"/>
    <x v="11"/>
    <x v="4"/>
    <n v="27"/>
    <n v="-3.1760000000000002"/>
    <x v="0"/>
    <x v="0"/>
    <x v="0"/>
    <n v="3.1760000000000002"/>
  </r>
  <r>
    <n v="3476"/>
    <x v="11"/>
    <x v="4"/>
    <n v="27"/>
    <n v="-11.238"/>
    <x v="0"/>
    <x v="0"/>
    <x v="0"/>
    <n v="11.238"/>
  </r>
  <r>
    <n v="3477"/>
    <x v="11"/>
    <x v="4"/>
    <n v="31"/>
    <n v="-0.7"/>
    <x v="2"/>
    <x v="1"/>
    <x v="0"/>
    <n v="0.7"/>
  </r>
  <r>
    <n v="3478"/>
    <x v="11"/>
    <x v="4"/>
    <n v="31"/>
    <n v="-1.3980000000000001"/>
    <x v="2"/>
    <x v="1"/>
    <x v="0"/>
    <n v="1.3980000000000001"/>
  </r>
  <r>
    <n v="3479"/>
    <x v="11"/>
    <x v="4"/>
    <n v="31"/>
    <n v="8.0000000000000002E-3"/>
    <x v="3"/>
    <x v="2"/>
    <x v="1"/>
    <n v="8.0000000000000002E-3"/>
  </r>
  <r>
    <n v="3480"/>
    <x v="11"/>
    <x v="4"/>
    <n v="31"/>
    <n v="-2E-3"/>
    <x v="2"/>
    <x v="1"/>
    <x v="0"/>
    <n v="2E-3"/>
  </r>
  <r>
    <n v="3481"/>
    <x v="11"/>
    <x v="4"/>
    <n v="31"/>
    <n v="-2.2280000000000002"/>
    <x v="0"/>
    <x v="0"/>
    <x v="0"/>
    <n v="2.2280000000000002"/>
  </r>
  <r>
    <n v="3482"/>
    <x v="11"/>
    <x v="4"/>
    <n v="31"/>
    <n v="-1.448"/>
    <x v="0"/>
    <x v="0"/>
    <x v="0"/>
    <n v="1.448"/>
  </r>
  <r>
    <n v="3483"/>
    <x v="11"/>
    <x v="4"/>
    <n v="31"/>
    <n v="-359.22800000000001"/>
    <x v="7"/>
    <x v="5"/>
    <x v="0"/>
    <n v="359.22800000000001"/>
  </r>
  <r>
    <n v="3484"/>
    <x v="11"/>
    <x v="4"/>
    <n v="31"/>
    <n v="-38.56"/>
    <x v="7"/>
    <x v="5"/>
    <x v="0"/>
    <n v="38.56"/>
  </r>
  <r>
    <n v="3485"/>
    <x v="11"/>
    <x v="5"/>
    <n v="1"/>
    <n v="-7.8280000000000003"/>
    <x v="0"/>
    <x v="0"/>
    <x v="0"/>
    <n v="7.8280000000000003"/>
  </r>
  <r>
    <n v="3486"/>
    <x v="11"/>
    <x v="5"/>
    <n v="3"/>
    <n v="-23.8"/>
    <x v="14"/>
    <x v="1"/>
    <x v="0"/>
    <n v="23.8"/>
  </r>
  <r>
    <n v="3487"/>
    <x v="11"/>
    <x v="5"/>
    <n v="3"/>
    <n v="-4.9000000000000004"/>
    <x v="21"/>
    <x v="1"/>
    <x v="0"/>
    <n v="4.9000000000000004"/>
  </r>
  <r>
    <n v="3488"/>
    <x v="11"/>
    <x v="5"/>
    <n v="3"/>
    <n v="-5.8"/>
    <x v="1"/>
    <x v="1"/>
    <x v="0"/>
    <n v="5.8"/>
  </r>
  <r>
    <n v="3489"/>
    <x v="11"/>
    <x v="5"/>
    <n v="3"/>
    <n v="-7.38"/>
    <x v="19"/>
    <x v="1"/>
    <x v="0"/>
    <n v="7.38"/>
  </r>
  <r>
    <n v="3490"/>
    <x v="11"/>
    <x v="5"/>
    <n v="3"/>
    <n v="-72.304000000000002"/>
    <x v="13"/>
    <x v="1"/>
    <x v="0"/>
    <n v="72.304000000000002"/>
  </r>
  <r>
    <n v="3491"/>
    <x v="11"/>
    <x v="5"/>
    <n v="3"/>
    <n v="-8.6"/>
    <x v="0"/>
    <x v="0"/>
    <x v="0"/>
    <n v="8.6"/>
  </r>
  <r>
    <n v="3492"/>
    <x v="11"/>
    <x v="5"/>
    <n v="4"/>
    <n v="-1.9"/>
    <x v="0"/>
    <x v="0"/>
    <x v="0"/>
    <n v="1.9"/>
  </r>
  <r>
    <n v="3493"/>
    <x v="11"/>
    <x v="5"/>
    <n v="4"/>
    <n v="-0.72399999999999998"/>
    <x v="0"/>
    <x v="0"/>
    <x v="0"/>
    <n v="0.72399999999999998"/>
  </r>
  <r>
    <n v="3494"/>
    <x v="11"/>
    <x v="5"/>
    <n v="7"/>
    <n v="-9.2560000000000002"/>
    <x v="0"/>
    <x v="0"/>
    <x v="0"/>
    <n v="9.2560000000000002"/>
  </r>
  <r>
    <n v="3495"/>
    <x v="11"/>
    <x v="5"/>
    <n v="8"/>
    <n v="-3.5680000000000001"/>
    <x v="0"/>
    <x v="0"/>
    <x v="0"/>
    <n v="3.5680000000000001"/>
  </r>
  <r>
    <n v="3496"/>
    <x v="11"/>
    <x v="5"/>
    <n v="8"/>
    <n v="-2.6"/>
    <x v="0"/>
    <x v="0"/>
    <x v="0"/>
    <n v="2.6"/>
  </r>
  <r>
    <n v="3497"/>
    <x v="11"/>
    <x v="5"/>
    <n v="8"/>
    <n v="-8.1660000000000004"/>
    <x v="0"/>
    <x v="0"/>
    <x v="0"/>
    <n v="8.1660000000000004"/>
  </r>
  <r>
    <n v="3498"/>
    <x v="11"/>
    <x v="5"/>
    <n v="10"/>
    <n v="-0.72399999999999998"/>
    <x v="0"/>
    <x v="0"/>
    <x v="0"/>
    <n v="0.72399999999999998"/>
  </r>
  <r>
    <n v="3499"/>
    <x v="11"/>
    <x v="5"/>
    <n v="10"/>
    <n v="-2.34"/>
    <x v="0"/>
    <x v="0"/>
    <x v="0"/>
    <n v="2.34"/>
  </r>
  <r>
    <n v="3500"/>
    <x v="11"/>
    <x v="5"/>
    <n v="14"/>
    <n v="-0.72399999999999998"/>
    <x v="0"/>
    <x v="0"/>
    <x v="0"/>
    <n v="0.72399999999999998"/>
  </r>
  <r>
    <n v="3501"/>
    <x v="11"/>
    <x v="5"/>
    <n v="15"/>
    <n v="-13.084"/>
    <x v="0"/>
    <x v="0"/>
    <x v="0"/>
    <n v="13.084"/>
  </r>
  <r>
    <n v="3502"/>
    <x v="11"/>
    <x v="5"/>
    <n v="15"/>
    <n v="-0.39800000000000002"/>
    <x v="2"/>
    <x v="1"/>
    <x v="0"/>
    <n v="0.39800000000000002"/>
  </r>
  <r>
    <n v="3503"/>
    <x v="11"/>
    <x v="5"/>
    <n v="16"/>
    <n v="-2.2000000000000002"/>
    <x v="0"/>
    <x v="0"/>
    <x v="0"/>
    <n v="2.2000000000000002"/>
  </r>
  <r>
    <n v="3504"/>
    <x v="11"/>
    <x v="5"/>
    <n v="16"/>
    <n v="-10.356"/>
    <x v="0"/>
    <x v="0"/>
    <x v="0"/>
    <n v="10.356"/>
  </r>
  <r>
    <n v="3505"/>
    <x v="11"/>
    <x v="5"/>
    <n v="16"/>
    <n v="-2.7760000000000002"/>
    <x v="0"/>
    <x v="0"/>
    <x v="0"/>
    <n v="2.7760000000000002"/>
  </r>
  <r>
    <n v="3506"/>
    <x v="11"/>
    <x v="5"/>
    <n v="17"/>
    <n v="-3.8520000000000003"/>
    <x v="0"/>
    <x v="0"/>
    <x v="0"/>
    <n v="3.8520000000000003"/>
  </r>
  <r>
    <n v="3507"/>
    <x v="11"/>
    <x v="5"/>
    <n v="18"/>
    <n v="-0.72399999999999998"/>
    <x v="0"/>
    <x v="0"/>
    <x v="0"/>
    <n v="0.72399999999999998"/>
  </r>
  <r>
    <n v="3508"/>
    <x v="11"/>
    <x v="5"/>
    <n v="21"/>
    <n v="-0.72399999999999998"/>
    <x v="0"/>
    <x v="0"/>
    <x v="0"/>
    <n v="0.72399999999999998"/>
  </r>
  <r>
    <n v="3509"/>
    <x v="11"/>
    <x v="5"/>
    <n v="23"/>
    <n v="-1.5720000000000001"/>
    <x v="0"/>
    <x v="0"/>
    <x v="0"/>
    <n v="1.5720000000000001"/>
  </r>
  <r>
    <n v="3510"/>
    <x v="11"/>
    <x v="5"/>
    <n v="23"/>
    <n v="-16.641999999999999"/>
    <x v="0"/>
    <x v="0"/>
    <x v="0"/>
    <n v="16.641999999999999"/>
  </r>
  <r>
    <n v="3511"/>
    <x v="11"/>
    <x v="5"/>
    <n v="24"/>
    <n v="-8.0440000000000005"/>
    <x v="0"/>
    <x v="0"/>
    <x v="0"/>
    <n v="8.0440000000000005"/>
  </r>
  <r>
    <n v="3512"/>
    <x v="11"/>
    <x v="5"/>
    <n v="24"/>
    <n v="-0.72399999999999998"/>
    <x v="0"/>
    <x v="0"/>
    <x v="0"/>
    <n v="0.72399999999999998"/>
  </r>
  <r>
    <n v="3513"/>
    <x v="11"/>
    <x v="5"/>
    <n v="24"/>
    <n v="-10.373999999999999"/>
    <x v="0"/>
    <x v="0"/>
    <x v="0"/>
    <n v="10.373999999999999"/>
  </r>
  <r>
    <n v="3514"/>
    <x v="11"/>
    <x v="5"/>
    <n v="25"/>
    <n v="-6.0600000000000005"/>
    <x v="0"/>
    <x v="0"/>
    <x v="0"/>
    <n v="6.0600000000000005"/>
  </r>
  <r>
    <n v="3515"/>
    <x v="11"/>
    <x v="5"/>
    <n v="25"/>
    <n v="-3.3479999999999999"/>
    <x v="0"/>
    <x v="0"/>
    <x v="0"/>
    <n v="3.3479999999999999"/>
  </r>
  <r>
    <n v="3516"/>
    <x v="11"/>
    <x v="5"/>
    <n v="25"/>
    <n v="740.91800000000001"/>
    <x v="4"/>
    <x v="3"/>
    <x v="1"/>
    <n v="740.91800000000001"/>
  </r>
  <r>
    <n v="3517"/>
    <x v="11"/>
    <x v="5"/>
    <n v="28"/>
    <n v="-8.0259999999999998"/>
    <x v="0"/>
    <x v="0"/>
    <x v="0"/>
    <n v="8.0259999999999998"/>
  </r>
  <r>
    <n v="3518"/>
    <x v="11"/>
    <x v="5"/>
    <n v="29"/>
    <n v="-0.36199999999999999"/>
    <x v="0"/>
    <x v="0"/>
    <x v="0"/>
    <n v="0.36199999999999999"/>
  </r>
  <r>
    <n v="3519"/>
    <x v="11"/>
    <x v="5"/>
    <n v="30"/>
    <n v="-0.4"/>
    <x v="2"/>
    <x v="1"/>
    <x v="0"/>
    <n v="0.4"/>
  </r>
  <r>
    <n v="3520"/>
    <x v="11"/>
    <x v="5"/>
    <n v="30"/>
    <n v="-1.3980000000000001"/>
    <x v="2"/>
    <x v="1"/>
    <x v="0"/>
    <n v="1.3980000000000001"/>
  </r>
  <r>
    <n v="3521"/>
    <x v="11"/>
    <x v="5"/>
    <n v="30"/>
    <n v="6.0000000000000001E-3"/>
    <x v="3"/>
    <x v="2"/>
    <x v="1"/>
    <n v="6.0000000000000001E-3"/>
  </r>
  <r>
    <n v="3522"/>
    <x v="11"/>
    <x v="5"/>
    <n v="30"/>
    <n v="-2E-3"/>
    <x v="2"/>
    <x v="1"/>
    <x v="0"/>
    <n v="2E-3"/>
  </r>
  <r>
    <n v="3523"/>
    <x v="11"/>
    <x v="6"/>
    <n v="1"/>
    <n v="-8.7959999999999994"/>
    <x v="0"/>
    <x v="0"/>
    <x v="0"/>
    <n v="8.7959999999999994"/>
  </r>
  <r>
    <n v="3524"/>
    <x v="11"/>
    <x v="6"/>
    <n v="2"/>
    <n v="-5.9740000000000002"/>
    <x v="0"/>
    <x v="0"/>
    <x v="0"/>
    <n v="5.9740000000000002"/>
  </r>
  <r>
    <n v="3525"/>
    <x v="11"/>
    <x v="6"/>
    <n v="3"/>
    <n v="-13.98"/>
    <x v="7"/>
    <x v="5"/>
    <x v="0"/>
    <n v="13.98"/>
  </r>
  <r>
    <n v="3526"/>
    <x v="11"/>
    <x v="6"/>
    <n v="3"/>
    <n v="-4.9000000000000004"/>
    <x v="21"/>
    <x v="1"/>
    <x v="0"/>
    <n v="4.9000000000000004"/>
  </r>
  <r>
    <n v="3527"/>
    <x v="11"/>
    <x v="6"/>
    <n v="3"/>
    <n v="-22.747999999999998"/>
    <x v="16"/>
    <x v="1"/>
    <x v="0"/>
    <n v="22.747999999999998"/>
  </r>
  <r>
    <n v="3528"/>
    <x v="11"/>
    <x v="6"/>
    <n v="3"/>
    <n v="-38.134"/>
    <x v="18"/>
    <x v="1"/>
    <x v="0"/>
    <n v="38.134"/>
  </r>
  <r>
    <n v="3529"/>
    <x v="11"/>
    <x v="6"/>
    <n v="3"/>
    <n v="-5.8"/>
    <x v="1"/>
    <x v="1"/>
    <x v="0"/>
    <n v="5.8"/>
  </r>
  <r>
    <n v="3530"/>
    <x v="11"/>
    <x v="6"/>
    <n v="3"/>
    <n v="-7.38"/>
    <x v="19"/>
    <x v="1"/>
    <x v="0"/>
    <n v="7.38"/>
  </r>
  <r>
    <n v="3531"/>
    <x v="11"/>
    <x v="6"/>
    <n v="3"/>
    <n v="-72.304000000000002"/>
    <x v="13"/>
    <x v="1"/>
    <x v="0"/>
    <n v="72.304000000000002"/>
  </r>
  <r>
    <n v="3532"/>
    <x v="11"/>
    <x v="6"/>
    <n v="3"/>
    <n v="-31.96"/>
    <x v="14"/>
    <x v="1"/>
    <x v="0"/>
    <n v="31.96"/>
  </r>
  <r>
    <n v="3533"/>
    <x v="11"/>
    <x v="6"/>
    <n v="5"/>
    <n v="-0.72399999999999998"/>
    <x v="0"/>
    <x v="0"/>
    <x v="0"/>
    <n v="0.72399999999999998"/>
  </r>
  <r>
    <n v="3534"/>
    <x v="11"/>
    <x v="6"/>
    <n v="6"/>
    <n v="-9.8659999999999997"/>
    <x v="0"/>
    <x v="0"/>
    <x v="0"/>
    <n v="9.8659999999999997"/>
  </r>
  <r>
    <n v="3535"/>
    <x v="11"/>
    <x v="6"/>
    <n v="7"/>
    <n v="-4.8840000000000003"/>
    <x v="0"/>
    <x v="0"/>
    <x v="0"/>
    <n v="4.8840000000000003"/>
  </r>
  <r>
    <n v="3536"/>
    <x v="11"/>
    <x v="6"/>
    <n v="7"/>
    <n v="-11.302"/>
    <x v="0"/>
    <x v="0"/>
    <x v="0"/>
    <n v="11.302"/>
  </r>
  <r>
    <n v="3537"/>
    <x v="11"/>
    <x v="6"/>
    <n v="8"/>
    <n v="-0.72399999999999998"/>
    <x v="0"/>
    <x v="0"/>
    <x v="0"/>
    <n v="0.72399999999999998"/>
  </r>
  <r>
    <n v="3538"/>
    <x v="11"/>
    <x v="6"/>
    <n v="8"/>
    <n v="-7.2060000000000004"/>
    <x v="0"/>
    <x v="0"/>
    <x v="0"/>
    <n v="7.2060000000000004"/>
  </r>
  <r>
    <n v="3539"/>
    <x v="11"/>
    <x v="6"/>
    <n v="10"/>
    <n v="-31.6"/>
    <x v="7"/>
    <x v="5"/>
    <x v="0"/>
    <n v="31.6"/>
  </r>
  <r>
    <n v="3540"/>
    <x v="11"/>
    <x v="6"/>
    <n v="12"/>
    <n v="-3.3579999999999997"/>
    <x v="0"/>
    <x v="0"/>
    <x v="0"/>
    <n v="3.3579999999999997"/>
  </r>
  <r>
    <n v="3541"/>
    <x v="11"/>
    <x v="6"/>
    <n v="12"/>
    <n v="-0.72399999999999998"/>
    <x v="0"/>
    <x v="0"/>
    <x v="0"/>
    <n v="0.72399999999999998"/>
  </r>
  <r>
    <n v="3542"/>
    <x v="11"/>
    <x v="6"/>
    <n v="12"/>
    <n v="-5.0640000000000001"/>
    <x v="0"/>
    <x v="0"/>
    <x v="0"/>
    <n v="5.0640000000000001"/>
  </r>
  <r>
    <n v="3543"/>
    <x v="11"/>
    <x v="6"/>
    <n v="13"/>
    <n v="-0.39800000000000002"/>
    <x v="2"/>
    <x v="1"/>
    <x v="0"/>
    <n v="0.39800000000000002"/>
  </r>
  <r>
    <n v="3544"/>
    <x v="11"/>
    <x v="6"/>
    <n v="15"/>
    <n v="-0.72399999999999998"/>
    <x v="0"/>
    <x v="0"/>
    <x v="0"/>
    <n v="0.72399999999999998"/>
  </r>
  <r>
    <n v="3545"/>
    <x v="11"/>
    <x v="6"/>
    <n v="15"/>
    <n v="-4.8499999999999996"/>
    <x v="0"/>
    <x v="0"/>
    <x v="0"/>
    <n v="4.8499999999999996"/>
  </r>
  <r>
    <n v="3546"/>
    <x v="11"/>
    <x v="6"/>
    <n v="17"/>
    <n v="-47.998000000000005"/>
    <x v="7"/>
    <x v="5"/>
    <x v="0"/>
    <n v="47.998000000000005"/>
  </r>
  <r>
    <n v="3547"/>
    <x v="11"/>
    <x v="6"/>
    <n v="19"/>
    <n v="-6.9959999999999996"/>
    <x v="0"/>
    <x v="0"/>
    <x v="0"/>
    <n v="6.9959999999999996"/>
  </r>
  <r>
    <n v="3548"/>
    <x v="11"/>
    <x v="6"/>
    <n v="19"/>
    <n v="-5.3040000000000003"/>
    <x v="0"/>
    <x v="0"/>
    <x v="0"/>
    <n v="5.3040000000000003"/>
  </r>
  <r>
    <n v="3549"/>
    <x v="11"/>
    <x v="6"/>
    <n v="20"/>
    <n v="-0.72399999999999998"/>
    <x v="0"/>
    <x v="0"/>
    <x v="0"/>
    <n v="0.72399999999999998"/>
  </r>
  <r>
    <n v="3550"/>
    <x v="11"/>
    <x v="6"/>
    <n v="21"/>
    <n v="155.15199999999999"/>
    <x v="8"/>
    <x v="3"/>
    <x v="1"/>
    <n v="155.15199999999999"/>
  </r>
  <r>
    <n v="3551"/>
    <x v="11"/>
    <x v="6"/>
    <n v="21"/>
    <n v="-9.2480000000000011"/>
    <x v="0"/>
    <x v="0"/>
    <x v="0"/>
    <n v="9.2480000000000011"/>
  </r>
  <r>
    <n v="3552"/>
    <x v="11"/>
    <x v="6"/>
    <n v="22"/>
    <n v="740.91800000000001"/>
    <x v="4"/>
    <x v="3"/>
    <x v="1"/>
    <n v="740.91800000000001"/>
  </r>
  <r>
    <n v="3553"/>
    <x v="11"/>
    <x v="6"/>
    <n v="22"/>
    <n v="-1.524"/>
    <x v="0"/>
    <x v="0"/>
    <x v="0"/>
    <n v="1.524"/>
  </r>
  <r>
    <n v="3554"/>
    <x v="11"/>
    <x v="6"/>
    <n v="22"/>
    <n v="-2.798"/>
    <x v="0"/>
    <x v="0"/>
    <x v="0"/>
    <n v="2.798"/>
  </r>
  <r>
    <n v="3555"/>
    <x v="11"/>
    <x v="6"/>
    <n v="23"/>
    <n v="-17.091999999999999"/>
    <x v="0"/>
    <x v="0"/>
    <x v="0"/>
    <n v="17.091999999999999"/>
  </r>
  <r>
    <n v="3556"/>
    <x v="11"/>
    <x v="6"/>
    <n v="24"/>
    <n v="-61.224000000000004"/>
    <x v="7"/>
    <x v="5"/>
    <x v="0"/>
    <n v="61.224000000000004"/>
  </r>
  <r>
    <n v="3557"/>
    <x v="11"/>
    <x v="6"/>
    <n v="24"/>
    <n v="-97.72"/>
    <x v="7"/>
    <x v="5"/>
    <x v="0"/>
    <n v="97.72"/>
  </r>
  <r>
    <n v="3558"/>
    <x v="11"/>
    <x v="6"/>
    <n v="24"/>
    <n v="-27.998000000000001"/>
    <x v="7"/>
    <x v="5"/>
    <x v="0"/>
    <n v="27.998000000000001"/>
  </r>
  <r>
    <n v="3559"/>
    <x v="11"/>
    <x v="6"/>
    <n v="27"/>
    <n v="-1.1460000000000001"/>
    <x v="0"/>
    <x v="0"/>
    <x v="0"/>
    <n v="1.1460000000000001"/>
  </r>
  <r>
    <n v="3560"/>
    <x v="11"/>
    <x v="6"/>
    <n v="27"/>
    <n v="-6.4319999999999995"/>
    <x v="0"/>
    <x v="0"/>
    <x v="0"/>
    <n v="6.4319999999999995"/>
  </r>
  <r>
    <n v="3561"/>
    <x v="11"/>
    <x v="6"/>
    <n v="28"/>
    <n v="-0.72399999999999998"/>
    <x v="0"/>
    <x v="0"/>
    <x v="0"/>
    <n v="0.72399999999999998"/>
  </r>
  <r>
    <n v="3562"/>
    <x v="11"/>
    <x v="6"/>
    <n v="30"/>
    <n v="-5.1020000000000003"/>
    <x v="0"/>
    <x v="0"/>
    <x v="0"/>
    <n v="5.1020000000000003"/>
  </r>
  <r>
    <n v="3563"/>
    <x v="11"/>
    <x v="6"/>
    <n v="30"/>
    <n v="-13.6"/>
    <x v="0"/>
    <x v="0"/>
    <x v="0"/>
    <n v="13.6"/>
  </r>
  <r>
    <n v="3564"/>
    <x v="11"/>
    <x v="6"/>
    <n v="31"/>
    <n v="-1"/>
    <x v="2"/>
    <x v="1"/>
    <x v="0"/>
    <n v="1"/>
  </r>
  <r>
    <n v="3565"/>
    <x v="11"/>
    <x v="6"/>
    <n v="31"/>
    <n v="-1.3980000000000001"/>
    <x v="2"/>
    <x v="1"/>
    <x v="0"/>
    <n v="1.3980000000000001"/>
  </r>
  <r>
    <n v="3566"/>
    <x v="11"/>
    <x v="6"/>
    <n v="31"/>
    <n v="6.0000000000000001E-3"/>
    <x v="3"/>
    <x v="2"/>
    <x v="1"/>
    <n v="6.0000000000000001E-3"/>
  </r>
  <r>
    <n v="3567"/>
    <x v="11"/>
    <x v="6"/>
    <n v="31"/>
    <n v="-2E-3"/>
    <x v="2"/>
    <x v="1"/>
    <x v="0"/>
    <n v="2E-3"/>
  </r>
  <r>
    <n v="3568"/>
    <x v="11"/>
    <x v="6"/>
    <n v="31"/>
    <n v="-33.799999999999997"/>
    <x v="7"/>
    <x v="5"/>
    <x v="0"/>
    <n v="33.799999999999997"/>
  </r>
  <r>
    <n v="3569"/>
    <x v="11"/>
    <x v="7"/>
    <n v="2"/>
    <n v="-4.9000000000000004"/>
    <x v="21"/>
    <x v="1"/>
    <x v="0"/>
    <n v="4.9000000000000004"/>
  </r>
  <r>
    <n v="3570"/>
    <x v="11"/>
    <x v="7"/>
    <n v="2"/>
    <n v="-6.04"/>
    <x v="1"/>
    <x v="1"/>
    <x v="0"/>
    <n v="6.04"/>
  </r>
  <r>
    <n v="3571"/>
    <x v="11"/>
    <x v="7"/>
    <n v="2"/>
    <n v="-7.38"/>
    <x v="19"/>
    <x v="1"/>
    <x v="0"/>
    <n v="7.38"/>
  </r>
  <r>
    <n v="3572"/>
    <x v="11"/>
    <x v="7"/>
    <n v="2"/>
    <n v="-72.304000000000002"/>
    <x v="13"/>
    <x v="1"/>
    <x v="0"/>
    <n v="72.304000000000002"/>
  </r>
  <r>
    <n v="3573"/>
    <x v="11"/>
    <x v="7"/>
    <n v="2"/>
    <n v="-20.399999999999999"/>
    <x v="7"/>
    <x v="5"/>
    <x v="0"/>
    <n v="20.399999999999999"/>
  </r>
  <r>
    <n v="3574"/>
    <x v="11"/>
    <x v="7"/>
    <n v="2"/>
    <n v="-0.36199999999999999"/>
    <x v="0"/>
    <x v="0"/>
    <x v="0"/>
    <n v="0.36199999999999999"/>
  </r>
  <r>
    <n v="3575"/>
    <x v="11"/>
    <x v="7"/>
    <n v="4"/>
    <n v="-3.34"/>
    <x v="0"/>
    <x v="0"/>
    <x v="0"/>
    <n v="3.34"/>
  </r>
  <r>
    <n v="3576"/>
    <x v="11"/>
    <x v="7"/>
    <n v="5"/>
    <n v="-24.85"/>
    <x v="0"/>
    <x v="0"/>
    <x v="0"/>
    <n v="24.85"/>
  </r>
  <r>
    <n v="3577"/>
    <x v="11"/>
    <x v="7"/>
    <n v="6"/>
    <n v="-6.21"/>
    <x v="0"/>
    <x v="0"/>
    <x v="0"/>
    <n v="6.21"/>
  </r>
  <r>
    <n v="3578"/>
    <x v="11"/>
    <x v="7"/>
    <n v="6"/>
    <n v="-1.272"/>
    <x v="0"/>
    <x v="0"/>
    <x v="0"/>
    <n v="1.272"/>
  </r>
  <r>
    <n v="3579"/>
    <x v="11"/>
    <x v="7"/>
    <n v="9"/>
    <n v="-30.6"/>
    <x v="14"/>
    <x v="1"/>
    <x v="0"/>
    <n v="30.6"/>
  </r>
  <r>
    <n v="3580"/>
    <x v="11"/>
    <x v="7"/>
    <n v="10"/>
    <n v="-0.72399999999999998"/>
    <x v="0"/>
    <x v="0"/>
    <x v="0"/>
    <n v="0.72399999999999998"/>
  </r>
  <r>
    <n v="3581"/>
    <x v="11"/>
    <x v="7"/>
    <n v="11"/>
    <n v="-13.852"/>
    <x v="0"/>
    <x v="0"/>
    <x v="0"/>
    <n v="13.852"/>
  </r>
  <r>
    <n v="3582"/>
    <x v="11"/>
    <x v="7"/>
    <n v="12"/>
    <n v="-17.874000000000002"/>
    <x v="0"/>
    <x v="0"/>
    <x v="0"/>
    <n v="17.874000000000002"/>
  </r>
  <r>
    <n v="3583"/>
    <x v="11"/>
    <x v="7"/>
    <n v="13"/>
    <n v="-0.72399999999999998"/>
    <x v="0"/>
    <x v="0"/>
    <x v="0"/>
    <n v="0.72399999999999998"/>
  </r>
  <r>
    <n v="3584"/>
    <x v="11"/>
    <x v="7"/>
    <n v="13"/>
    <n v="-0.39800000000000002"/>
    <x v="2"/>
    <x v="1"/>
    <x v="0"/>
    <n v="0.39800000000000002"/>
  </r>
  <r>
    <n v="3585"/>
    <x v="11"/>
    <x v="7"/>
    <n v="14"/>
    <n v="-46.545999999999999"/>
    <x v="7"/>
    <x v="5"/>
    <x v="0"/>
    <n v="46.545999999999999"/>
  </r>
  <r>
    <n v="3586"/>
    <x v="11"/>
    <x v="7"/>
    <n v="14"/>
    <n v="-19.716000000000001"/>
    <x v="7"/>
    <x v="5"/>
    <x v="0"/>
    <n v="19.716000000000001"/>
  </r>
  <r>
    <n v="3587"/>
    <x v="11"/>
    <x v="7"/>
    <n v="16"/>
    <n v="-8.1879999999999988"/>
    <x v="0"/>
    <x v="0"/>
    <x v="0"/>
    <n v="8.1879999999999988"/>
  </r>
  <r>
    <n v="3588"/>
    <x v="11"/>
    <x v="7"/>
    <n v="17"/>
    <n v="-0.72399999999999998"/>
    <x v="0"/>
    <x v="0"/>
    <x v="0"/>
    <n v="0.72399999999999998"/>
  </r>
  <r>
    <n v="3589"/>
    <x v="11"/>
    <x v="7"/>
    <n v="18"/>
    <n v="-1.9219999999999999"/>
    <x v="0"/>
    <x v="0"/>
    <x v="0"/>
    <n v="1.9219999999999999"/>
  </r>
  <r>
    <n v="3590"/>
    <x v="11"/>
    <x v="7"/>
    <n v="19"/>
    <n v="-4"/>
    <x v="0"/>
    <x v="0"/>
    <x v="0"/>
    <n v="4"/>
  </r>
  <r>
    <n v="3591"/>
    <x v="11"/>
    <x v="7"/>
    <n v="19"/>
    <n v="-12.104000000000001"/>
    <x v="0"/>
    <x v="0"/>
    <x v="0"/>
    <n v="12.104000000000001"/>
  </r>
  <r>
    <n v="3592"/>
    <x v="11"/>
    <x v="7"/>
    <n v="20"/>
    <n v="-4"/>
    <x v="0"/>
    <x v="0"/>
    <x v="0"/>
    <n v="4"/>
  </r>
  <r>
    <n v="3593"/>
    <x v="11"/>
    <x v="7"/>
    <n v="20"/>
    <n v="-5"/>
    <x v="0"/>
    <x v="0"/>
    <x v="0"/>
    <n v="5"/>
  </r>
  <r>
    <n v="3594"/>
    <x v="11"/>
    <x v="7"/>
    <n v="23"/>
    <n v="-0.38400000000000001"/>
    <x v="0"/>
    <x v="0"/>
    <x v="0"/>
    <n v="0.38400000000000001"/>
  </r>
  <r>
    <n v="3595"/>
    <x v="11"/>
    <x v="7"/>
    <n v="24"/>
    <n v="-0.36199999999999999"/>
    <x v="0"/>
    <x v="0"/>
    <x v="0"/>
    <n v="0.36199999999999999"/>
  </r>
  <r>
    <n v="3596"/>
    <x v="11"/>
    <x v="7"/>
    <n v="25"/>
    <n v="740.91800000000001"/>
    <x v="4"/>
    <x v="3"/>
    <x v="1"/>
    <n v="740.91800000000001"/>
  </r>
  <r>
    <n v="3597"/>
    <x v="11"/>
    <x v="7"/>
    <n v="25"/>
    <n v="-17.826000000000001"/>
    <x v="0"/>
    <x v="0"/>
    <x v="0"/>
    <n v="17.826000000000001"/>
  </r>
  <r>
    <n v="3598"/>
    <x v="11"/>
    <x v="7"/>
    <n v="27"/>
    <n v="-0.72399999999999998"/>
    <x v="0"/>
    <x v="0"/>
    <x v="0"/>
    <n v="0.72399999999999998"/>
  </r>
  <r>
    <n v="3599"/>
    <x v="11"/>
    <x v="7"/>
    <n v="31"/>
    <n v="-0.1"/>
    <x v="2"/>
    <x v="1"/>
    <x v="0"/>
    <n v="0.1"/>
  </r>
  <r>
    <n v="3600"/>
    <x v="11"/>
    <x v="7"/>
    <n v="31"/>
    <n v="-1.3980000000000001"/>
    <x v="2"/>
    <x v="1"/>
    <x v="0"/>
    <n v="1.3980000000000001"/>
  </r>
  <r>
    <n v="3601"/>
    <x v="11"/>
    <x v="7"/>
    <n v="31"/>
    <n v="2E-3"/>
    <x v="3"/>
    <x v="2"/>
    <x v="1"/>
    <n v="2E-3"/>
  </r>
  <r>
    <n v="3602"/>
    <x v="11"/>
    <x v="7"/>
    <n v="31"/>
    <n v="-2E-3"/>
    <x v="2"/>
    <x v="1"/>
    <x v="0"/>
    <n v="2E-3"/>
  </r>
  <r>
    <n v="3603"/>
    <x v="11"/>
    <x v="7"/>
    <n v="31"/>
    <n v="-45.82"/>
    <x v="7"/>
    <x v="5"/>
    <x v="0"/>
    <n v="45.82"/>
  </r>
  <r>
    <n v="3604"/>
    <x v="11"/>
    <x v="8"/>
    <n v="1"/>
    <n v="-46.4"/>
    <x v="12"/>
    <x v="1"/>
    <x v="0"/>
    <n v="46.4"/>
  </r>
  <r>
    <n v="3605"/>
    <x v="11"/>
    <x v="8"/>
    <n v="1"/>
    <n v="-4.9000000000000004"/>
    <x v="21"/>
    <x v="1"/>
    <x v="0"/>
    <n v="4.9000000000000004"/>
  </r>
  <r>
    <n v="3606"/>
    <x v="11"/>
    <x v="8"/>
    <n v="1"/>
    <n v="-15.446000000000002"/>
    <x v="16"/>
    <x v="1"/>
    <x v="0"/>
    <n v="15.446000000000002"/>
  </r>
  <r>
    <n v="3607"/>
    <x v="11"/>
    <x v="8"/>
    <n v="1"/>
    <n v="-5.8"/>
    <x v="1"/>
    <x v="1"/>
    <x v="0"/>
    <n v="5.8"/>
  </r>
  <r>
    <n v="3608"/>
    <x v="11"/>
    <x v="8"/>
    <n v="1"/>
    <n v="-7.38"/>
    <x v="19"/>
    <x v="1"/>
    <x v="0"/>
    <n v="7.38"/>
  </r>
  <r>
    <n v="3609"/>
    <x v="11"/>
    <x v="8"/>
    <n v="1"/>
    <n v="-72.304000000000002"/>
    <x v="13"/>
    <x v="1"/>
    <x v="0"/>
    <n v="72.304000000000002"/>
  </r>
  <r>
    <n v="3610"/>
    <x v="11"/>
    <x v="8"/>
    <n v="1"/>
    <n v="-68.597999999999999"/>
    <x v="7"/>
    <x v="5"/>
    <x v="0"/>
    <n v="68.597999999999999"/>
  </r>
  <r>
    <n v="3611"/>
    <x v="11"/>
    <x v="8"/>
    <n v="3"/>
    <n v="-0.72399999999999998"/>
    <x v="0"/>
    <x v="0"/>
    <x v="0"/>
    <n v="0.72399999999999998"/>
  </r>
  <r>
    <n v="3612"/>
    <x v="11"/>
    <x v="8"/>
    <n v="7"/>
    <n v="-5.0520000000000005"/>
    <x v="0"/>
    <x v="0"/>
    <x v="0"/>
    <n v="5.0520000000000005"/>
  </r>
  <r>
    <n v="3613"/>
    <x v="11"/>
    <x v="8"/>
    <n v="8"/>
    <n v="-0.72399999999999998"/>
    <x v="0"/>
    <x v="0"/>
    <x v="0"/>
    <n v="0.72399999999999998"/>
  </r>
  <r>
    <n v="3614"/>
    <x v="11"/>
    <x v="8"/>
    <n v="8"/>
    <n v="-11.32"/>
    <x v="0"/>
    <x v="0"/>
    <x v="0"/>
    <n v="11.32"/>
  </r>
  <r>
    <n v="3615"/>
    <x v="11"/>
    <x v="8"/>
    <n v="10"/>
    <n v="-50.96"/>
    <x v="0"/>
    <x v="0"/>
    <x v="0"/>
    <n v="50.96"/>
  </r>
  <r>
    <n v="3616"/>
    <x v="11"/>
    <x v="8"/>
    <n v="11"/>
    <n v="-36.200000000000003"/>
    <x v="7"/>
    <x v="5"/>
    <x v="0"/>
    <n v="36.200000000000003"/>
  </r>
  <r>
    <n v="3617"/>
    <x v="11"/>
    <x v="8"/>
    <n v="15"/>
    <n v="-3.3979999999999997"/>
    <x v="0"/>
    <x v="0"/>
    <x v="0"/>
    <n v="3.3979999999999997"/>
  </r>
  <r>
    <n v="3618"/>
    <x v="11"/>
    <x v="8"/>
    <n v="15"/>
    <n v="-2.4"/>
    <x v="0"/>
    <x v="0"/>
    <x v="0"/>
    <n v="2.4"/>
  </r>
  <r>
    <n v="3619"/>
    <x v="11"/>
    <x v="8"/>
    <n v="16"/>
    <n v="-38.995999999999995"/>
    <x v="7"/>
    <x v="5"/>
    <x v="0"/>
    <n v="38.995999999999995"/>
  </r>
  <r>
    <n v="3620"/>
    <x v="11"/>
    <x v="8"/>
    <n v="17"/>
    <n v="-33.65"/>
    <x v="7"/>
    <x v="5"/>
    <x v="0"/>
    <n v="33.65"/>
  </r>
  <r>
    <n v="3621"/>
    <x v="11"/>
    <x v="8"/>
    <n v="20"/>
    <n v="-11.045999999999999"/>
    <x v="0"/>
    <x v="0"/>
    <x v="0"/>
    <n v="11.045999999999999"/>
  </r>
  <r>
    <n v="3622"/>
    <x v="11"/>
    <x v="8"/>
    <n v="20"/>
    <n v="-34"/>
    <x v="7"/>
    <x v="5"/>
    <x v="0"/>
    <n v="34"/>
  </r>
  <r>
    <n v="3623"/>
    <x v="11"/>
    <x v="8"/>
    <n v="21"/>
    <n v="-0.2"/>
    <x v="2"/>
    <x v="1"/>
    <x v="0"/>
    <n v="0.2"/>
  </r>
  <r>
    <n v="3624"/>
    <x v="11"/>
    <x v="8"/>
    <n v="22"/>
    <n v="-3"/>
    <x v="7"/>
    <x v="5"/>
    <x v="0"/>
    <n v="3"/>
  </r>
  <r>
    <n v="3625"/>
    <x v="11"/>
    <x v="8"/>
    <n v="23"/>
    <n v="740.91800000000001"/>
    <x v="4"/>
    <x v="3"/>
    <x v="1"/>
    <n v="740.91800000000001"/>
  </r>
  <r>
    <n v="3626"/>
    <x v="11"/>
    <x v="8"/>
    <n v="23"/>
    <n v="-7.1180000000000003"/>
    <x v="0"/>
    <x v="0"/>
    <x v="0"/>
    <n v="7.1180000000000003"/>
  </r>
  <r>
    <n v="3627"/>
    <x v="11"/>
    <x v="8"/>
    <n v="24"/>
    <n v="-1.448"/>
    <x v="0"/>
    <x v="0"/>
    <x v="0"/>
    <n v="1.448"/>
  </r>
  <r>
    <n v="3628"/>
    <x v="11"/>
    <x v="8"/>
    <n v="27"/>
    <n v="-23.8"/>
    <x v="14"/>
    <x v="1"/>
    <x v="0"/>
    <n v="23.8"/>
  </r>
  <r>
    <n v="3629"/>
    <x v="11"/>
    <x v="8"/>
    <n v="28"/>
    <n v="-2E-3"/>
    <x v="2"/>
    <x v="1"/>
    <x v="0"/>
    <n v="2E-3"/>
  </r>
  <r>
    <n v="3630"/>
    <x v="11"/>
    <x v="8"/>
    <n v="29"/>
    <n v="6.0000000000000001E-3"/>
    <x v="3"/>
    <x v="2"/>
    <x v="1"/>
    <n v="6.0000000000000001E-3"/>
  </r>
  <r>
    <n v="3631"/>
    <x v="11"/>
    <x v="8"/>
    <n v="30"/>
    <n v="-1.4"/>
    <x v="2"/>
    <x v="1"/>
    <x v="0"/>
    <n v="1.4"/>
  </r>
  <r>
    <n v="3632"/>
    <x v="11"/>
    <x v="9"/>
    <n v="1"/>
    <n v="-72.304000000000002"/>
    <x v="13"/>
    <x v="1"/>
    <x v="0"/>
    <n v="72.304000000000002"/>
  </r>
  <r>
    <n v="3633"/>
    <x v="11"/>
    <x v="9"/>
    <n v="1"/>
    <n v="-7.38"/>
    <x v="19"/>
    <x v="1"/>
    <x v="0"/>
    <n v="7.38"/>
  </r>
  <r>
    <n v="3634"/>
    <x v="11"/>
    <x v="9"/>
    <n v="1"/>
    <n v="-5.8"/>
    <x v="1"/>
    <x v="1"/>
    <x v="0"/>
    <n v="5.8"/>
  </r>
  <r>
    <n v="3635"/>
    <x v="11"/>
    <x v="9"/>
    <n v="1"/>
    <n v="-4.9000000000000004"/>
    <x v="21"/>
    <x v="1"/>
    <x v="0"/>
    <n v="4.9000000000000004"/>
  </r>
  <r>
    <n v="3636"/>
    <x v="11"/>
    <x v="9"/>
    <n v="2"/>
    <n v="-19.448"/>
    <x v="0"/>
    <x v="0"/>
    <x v="0"/>
    <n v="19.448"/>
  </r>
  <r>
    <n v="3637"/>
    <x v="11"/>
    <x v="9"/>
    <n v="4"/>
    <n v="-2.58"/>
    <x v="0"/>
    <x v="0"/>
    <x v="0"/>
    <n v="2.58"/>
  </r>
  <r>
    <n v="3638"/>
    <x v="11"/>
    <x v="9"/>
    <n v="5"/>
    <n v="-7.0400000000000009"/>
    <x v="0"/>
    <x v="0"/>
    <x v="0"/>
    <n v="7.0400000000000009"/>
  </r>
  <r>
    <n v="3639"/>
    <x v="11"/>
    <x v="9"/>
    <n v="6"/>
    <n v="-3.55"/>
    <x v="0"/>
    <x v="0"/>
    <x v="0"/>
    <n v="3.55"/>
  </r>
  <r>
    <n v="3640"/>
    <x v="11"/>
    <x v="9"/>
    <n v="7"/>
    <n v="140"/>
    <x v="9"/>
    <x v="3"/>
    <x v="1"/>
    <n v="140"/>
  </r>
  <r>
    <n v="3641"/>
    <x v="11"/>
    <x v="9"/>
    <n v="8"/>
    <n v="-8.6"/>
    <x v="0"/>
    <x v="0"/>
    <x v="0"/>
    <n v="8.6"/>
  </r>
  <r>
    <n v="3642"/>
    <x v="11"/>
    <x v="9"/>
    <n v="9"/>
    <n v="-7.2219999999999995"/>
    <x v="0"/>
    <x v="0"/>
    <x v="0"/>
    <n v="7.2219999999999995"/>
  </r>
  <r>
    <n v="3643"/>
    <x v="11"/>
    <x v="9"/>
    <n v="10"/>
    <n v="-0.79800000000000004"/>
    <x v="0"/>
    <x v="0"/>
    <x v="0"/>
    <n v="0.79800000000000004"/>
  </r>
  <r>
    <n v="3644"/>
    <x v="11"/>
    <x v="9"/>
    <n v="11"/>
    <n v="-30"/>
    <x v="7"/>
    <x v="5"/>
    <x v="0"/>
    <n v="30"/>
  </r>
  <r>
    <n v="3645"/>
    <x v="11"/>
    <x v="9"/>
    <n v="12"/>
    <n v="-3.278"/>
    <x v="0"/>
    <x v="0"/>
    <x v="0"/>
    <n v="3.278"/>
  </r>
  <r>
    <n v="3646"/>
    <x v="11"/>
    <x v="9"/>
    <n v="13"/>
    <n v="-2.3600000000000003"/>
    <x v="0"/>
    <x v="0"/>
    <x v="0"/>
    <n v="2.3600000000000003"/>
  </r>
  <r>
    <n v="3647"/>
    <x v="11"/>
    <x v="9"/>
    <n v="19"/>
    <n v="-4.9799999999999995"/>
    <x v="0"/>
    <x v="0"/>
    <x v="0"/>
    <n v="4.9799999999999995"/>
  </r>
  <r>
    <n v="3648"/>
    <x v="11"/>
    <x v="9"/>
    <n v="19"/>
    <n v="-18"/>
    <x v="0"/>
    <x v="0"/>
    <x v="0"/>
    <n v="18"/>
  </r>
  <r>
    <n v="3649"/>
    <x v="11"/>
    <x v="9"/>
    <n v="19"/>
    <n v="-1.5880000000000001"/>
    <x v="0"/>
    <x v="0"/>
    <x v="0"/>
    <n v="1.5880000000000001"/>
  </r>
  <r>
    <n v="3650"/>
    <x v="11"/>
    <x v="9"/>
    <n v="22"/>
    <n v="-8.8159999999999989"/>
    <x v="0"/>
    <x v="0"/>
    <x v="0"/>
    <n v="8.8159999999999989"/>
  </r>
  <r>
    <n v="3651"/>
    <x v="11"/>
    <x v="9"/>
    <n v="22"/>
    <n v="-0.2"/>
    <x v="2"/>
    <x v="1"/>
    <x v="0"/>
    <n v="0.2"/>
  </r>
  <r>
    <n v="3652"/>
    <x v="11"/>
    <x v="9"/>
    <n v="23"/>
    <n v="-23.8"/>
    <x v="14"/>
    <x v="1"/>
    <x v="0"/>
    <n v="23.8"/>
  </r>
  <r>
    <n v="3653"/>
    <x v="11"/>
    <x v="9"/>
    <n v="25"/>
    <n v="740.91800000000001"/>
    <x v="4"/>
    <x v="3"/>
    <x v="1"/>
    <n v="740.91800000000001"/>
  </r>
  <r>
    <n v="3654"/>
    <x v="11"/>
    <x v="9"/>
    <n v="27"/>
    <n v="-1.1779999999999999"/>
    <x v="0"/>
    <x v="0"/>
    <x v="0"/>
    <n v="1.1779999999999999"/>
  </r>
  <r>
    <n v="3655"/>
    <x v="11"/>
    <x v="9"/>
    <n v="28"/>
    <n v="-16.368000000000002"/>
    <x v="0"/>
    <x v="0"/>
    <x v="0"/>
    <n v="16.368000000000002"/>
  </r>
  <r>
    <n v="3656"/>
    <x v="11"/>
    <x v="9"/>
    <n v="29"/>
    <n v="-573.79999999999995"/>
    <x v="6"/>
    <x v="4"/>
    <x v="0"/>
    <n v="573.79999999999995"/>
  </r>
  <r>
    <n v="3657"/>
    <x v="11"/>
    <x v="9"/>
    <n v="29"/>
    <n v="-0.91999999999999993"/>
    <x v="0"/>
    <x v="0"/>
    <x v="0"/>
    <n v="0.91999999999999993"/>
  </r>
  <r>
    <n v="3658"/>
    <x v="11"/>
    <x v="9"/>
    <n v="30"/>
    <n v="-2E-3"/>
    <x v="2"/>
    <x v="1"/>
    <x v="0"/>
    <n v="2E-3"/>
  </r>
  <r>
    <n v="3659"/>
    <x v="11"/>
    <x v="9"/>
    <n v="30"/>
    <n v="6.0000000000000001E-3"/>
    <x v="3"/>
    <x v="2"/>
    <x v="1"/>
    <n v="6.0000000000000001E-3"/>
  </r>
  <r>
    <n v="3660"/>
    <x v="11"/>
    <x v="9"/>
    <n v="31"/>
    <n v="-1.4"/>
    <x v="2"/>
    <x v="1"/>
    <x v="0"/>
    <n v="1.4"/>
  </r>
  <r>
    <n v="3661"/>
    <x v="11"/>
    <x v="10"/>
    <n v="1"/>
    <n v="-4.9000000000000004"/>
    <x v="21"/>
    <x v="1"/>
    <x v="0"/>
    <n v="4.9000000000000004"/>
  </r>
  <r>
    <n v="3662"/>
    <x v="11"/>
    <x v="10"/>
    <n v="1"/>
    <n v="-21.334"/>
    <x v="16"/>
    <x v="1"/>
    <x v="0"/>
    <n v="21.334"/>
  </r>
  <r>
    <n v="3663"/>
    <x v="11"/>
    <x v="10"/>
    <n v="1"/>
    <n v="-5.8"/>
    <x v="1"/>
    <x v="1"/>
    <x v="0"/>
    <n v="5.8"/>
  </r>
  <r>
    <n v="3664"/>
    <x v="11"/>
    <x v="10"/>
    <n v="1"/>
    <n v="-7.38"/>
    <x v="19"/>
    <x v="1"/>
    <x v="0"/>
    <n v="7.38"/>
  </r>
  <r>
    <n v="3665"/>
    <x v="11"/>
    <x v="10"/>
    <n v="1"/>
    <n v="-72.304000000000002"/>
    <x v="13"/>
    <x v="1"/>
    <x v="0"/>
    <n v="72.304000000000002"/>
  </r>
  <r>
    <n v="3666"/>
    <x v="11"/>
    <x v="10"/>
    <n v="2"/>
    <n v="-0.4"/>
    <x v="0"/>
    <x v="0"/>
    <x v="0"/>
    <n v="0.4"/>
  </r>
  <r>
    <n v="3667"/>
    <x v="11"/>
    <x v="10"/>
    <n v="3"/>
    <n v="-10.837999999999999"/>
    <x v="0"/>
    <x v="0"/>
    <x v="0"/>
    <n v="10.837999999999999"/>
  </r>
  <r>
    <n v="3668"/>
    <x v="11"/>
    <x v="10"/>
    <n v="4"/>
    <n v="-4.0039999999999996"/>
    <x v="0"/>
    <x v="0"/>
    <x v="0"/>
    <n v="4.0039999999999996"/>
  </r>
  <r>
    <n v="3669"/>
    <x v="11"/>
    <x v="10"/>
    <n v="5"/>
    <n v="-0.79800000000000004"/>
    <x v="0"/>
    <x v="0"/>
    <x v="0"/>
    <n v="0.79800000000000004"/>
  </r>
  <r>
    <n v="3670"/>
    <x v="11"/>
    <x v="10"/>
    <n v="6"/>
    <n v="-0.91999999999999993"/>
    <x v="0"/>
    <x v="0"/>
    <x v="0"/>
    <n v="0.91999999999999993"/>
  </r>
  <r>
    <n v="3671"/>
    <x v="11"/>
    <x v="10"/>
    <n v="8"/>
    <n v="366.72399999999999"/>
    <x v="8"/>
    <x v="3"/>
    <x v="1"/>
    <n v="366.72399999999999"/>
  </r>
  <r>
    <n v="3672"/>
    <x v="11"/>
    <x v="10"/>
    <n v="8"/>
    <n v="-3.2479999999999998"/>
    <x v="0"/>
    <x v="0"/>
    <x v="0"/>
    <n v="3.2479999999999998"/>
  </r>
  <r>
    <n v="3673"/>
    <x v="11"/>
    <x v="10"/>
    <n v="8"/>
    <n v="-4.4779999999999998"/>
    <x v="0"/>
    <x v="0"/>
    <x v="0"/>
    <n v="4.4779999999999998"/>
  </r>
  <r>
    <n v="3674"/>
    <x v="11"/>
    <x v="10"/>
    <n v="8"/>
    <n v="-15.7"/>
    <x v="0"/>
    <x v="0"/>
    <x v="0"/>
    <n v="15.7"/>
  </r>
  <r>
    <n v="3675"/>
    <x v="11"/>
    <x v="10"/>
    <n v="9"/>
    <n v="-13.697999999999999"/>
    <x v="0"/>
    <x v="0"/>
    <x v="0"/>
    <n v="13.697999999999999"/>
  </r>
  <r>
    <n v="3676"/>
    <x v="11"/>
    <x v="10"/>
    <n v="10"/>
    <n v="-0.52"/>
    <x v="0"/>
    <x v="0"/>
    <x v="0"/>
    <n v="0.52"/>
  </r>
  <r>
    <n v="3677"/>
    <x v="11"/>
    <x v="10"/>
    <n v="10"/>
    <n v="-9.1900000000000013"/>
    <x v="0"/>
    <x v="0"/>
    <x v="0"/>
    <n v="9.1900000000000013"/>
  </r>
  <r>
    <n v="3678"/>
    <x v="11"/>
    <x v="10"/>
    <n v="14"/>
    <n v="-61.998000000000005"/>
    <x v="7"/>
    <x v="5"/>
    <x v="0"/>
    <n v="61.998000000000005"/>
  </r>
  <r>
    <n v="3679"/>
    <x v="11"/>
    <x v="10"/>
    <n v="16"/>
    <n v="-0.4"/>
    <x v="2"/>
    <x v="1"/>
    <x v="0"/>
    <n v="0.4"/>
  </r>
  <r>
    <n v="3680"/>
    <x v="11"/>
    <x v="10"/>
    <n v="18"/>
    <n v="-0.4"/>
    <x v="0"/>
    <x v="0"/>
    <x v="0"/>
    <n v="0.4"/>
  </r>
  <r>
    <n v="3681"/>
    <x v="11"/>
    <x v="10"/>
    <n v="18"/>
    <n v="-17.082000000000001"/>
    <x v="0"/>
    <x v="0"/>
    <x v="0"/>
    <n v="17.082000000000001"/>
  </r>
  <r>
    <n v="3682"/>
    <x v="11"/>
    <x v="10"/>
    <n v="22"/>
    <n v="-0.52"/>
    <x v="0"/>
    <x v="0"/>
    <x v="0"/>
    <n v="0.52"/>
  </r>
  <r>
    <n v="3683"/>
    <x v="11"/>
    <x v="10"/>
    <n v="22"/>
    <n v="-6.81"/>
    <x v="0"/>
    <x v="0"/>
    <x v="0"/>
    <n v="6.81"/>
  </r>
  <r>
    <n v="3684"/>
    <x v="11"/>
    <x v="10"/>
    <n v="23"/>
    <n v="-0.43"/>
    <x v="0"/>
    <x v="0"/>
    <x v="0"/>
    <n v="0.43"/>
  </r>
  <r>
    <n v="3685"/>
    <x v="11"/>
    <x v="10"/>
    <n v="23"/>
    <n v="-0.2"/>
    <x v="0"/>
    <x v="0"/>
    <x v="0"/>
    <n v="0.2"/>
  </r>
  <r>
    <n v="3686"/>
    <x v="11"/>
    <x v="10"/>
    <n v="25"/>
    <n v="-23.8"/>
    <x v="14"/>
    <x v="1"/>
    <x v="0"/>
    <n v="23.8"/>
  </r>
  <r>
    <n v="3687"/>
    <x v="11"/>
    <x v="10"/>
    <n v="25"/>
    <n v="-0.79800000000000004"/>
    <x v="0"/>
    <x v="0"/>
    <x v="0"/>
    <n v="0.79800000000000004"/>
  </r>
  <r>
    <n v="3688"/>
    <x v="11"/>
    <x v="10"/>
    <n v="25"/>
    <n v="-2.1040000000000001"/>
    <x v="0"/>
    <x v="0"/>
    <x v="0"/>
    <n v="2.1040000000000001"/>
  </r>
  <r>
    <n v="3689"/>
    <x v="11"/>
    <x v="10"/>
    <n v="26"/>
    <n v="748.01800000000003"/>
    <x v="4"/>
    <x v="3"/>
    <x v="1"/>
    <n v="748.01800000000003"/>
  </r>
  <r>
    <n v="3690"/>
    <x v="11"/>
    <x v="10"/>
    <n v="27"/>
    <n v="-3.6"/>
    <x v="0"/>
    <x v="0"/>
    <x v="0"/>
    <n v="3.6"/>
  </r>
  <r>
    <n v="3691"/>
    <x v="11"/>
    <x v="10"/>
    <n v="30"/>
    <n v="-1.4"/>
    <x v="2"/>
    <x v="1"/>
    <x v="0"/>
    <n v="1.4"/>
  </r>
  <r>
    <n v="3692"/>
    <x v="11"/>
    <x v="10"/>
    <n v="30"/>
    <n v="2E-3"/>
    <x v="3"/>
    <x v="2"/>
    <x v="1"/>
    <n v="2E-3"/>
  </r>
  <r>
    <n v="3693"/>
    <x v="11"/>
    <x v="10"/>
    <n v="30"/>
    <n v="-2E-3"/>
    <x v="2"/>
    <x v="1"/>
    <x v="0"/>
    <n v="2E-3"/>
  </r>
  <r>
    <n v="3694"/>
    <x v="11"/>
    <x v="10"/>
    <n v="30"/>
    <n v="-15.297999999999998"/>
    <x v="0"/>
    <x v="0"/>
    <x v="0"/>
    <n v="15.297999999999998"/>
  </r>
  <r>
    <n v="3695"/>
    <x v="11"/>
    <x v="11"/>
    <n v="2"/>
    <n v="2000"/>
    <x v="10"/>
    <x v="2"/>
    <x v="1"/>
    <n v="2000"/>
  </r>
  <r>
    <n v="3696"/>
    <x v="11"/>
    <x v="11"/>
    <n v="2"/>
    <n v="-0.79800000000000004"/>
    <x v="0"/>
    <x v="0"/>
    <x v="0"/>
    <n v="0.79800000000000004"/>
  </r>
  <r>
    <n v="3697"/>
    <x v="11"/>
    <x v="11"/>
    <n v="3"/>
    <n v="-0.4"/>
    <x v="0"/>
    <x v="0"/>
    <x v="0"/>
    <n v="0.4"/>
  </r>
  <r>
    <n v="3698"/>
    <x v="11"/>
    <x v="11"/>
    <n v="3"/>
    <n v="-6.5920000000000005"/>
    <x v="0"/>
    <x v="0"/>
    <x v="0"/>
    <n v="6.5920000000000005"/>
  </r>
  <r>
    <n v="3699"/>
    <x v="11"/>
    <x v="11"/>
    <n v="4"/>
    <n v="-18.596"/>
    <x v="7"/>
    <x v="5"/>
    <x v="0"/>
    <n v="18.596"/>
  </r>
  <r>
    <n v="3700"/>
    <x v="11"/>
    <x v="11"/>
    <n v="4"/>
    <n v="-32.036000000000001"/>
    <x v="7"/>
    <x v="5"/>
    <x v="0"/>
    <n v="32.036000000000001"/>
  </r>
  <r>
    <n v="3701"/>
    <x v="11"/>
    <x v="11"/>
    <n v="4"/>
    <n v="-4.9000000000000004"/>
    <x v="21"/>
    <x v="1"/>
    <x v="0"/>
    <n v="4.9000000000000004"/>
  </r>
  <r>
    <n v="3702"/>
    <x v="11"/>
    <x v="11"/>
    <n v="4"/>
    <n v="-5.8"/>
    <x v="1"/>
    <x v="1"/>
    <x v="0"/>
    <n v="5.8"/>
  </r>
  <r>
    <n v="3703"/>
    <x v="11"/>
    <x v="11"/>
    <n v="4"/>
    <n v="-7.38"/>
    <x v="19"/>
    <x v="1"/>
    <x v="0"/>
    <n v="7.38"/>
  </r>
  <r>
    <n v="3704"/>
    <x v="11"/>
    <x v="11"/>
    <n v="4"/>
    <n v="-72.304000000000002"/>
    <x v="13"/>
    <x v="1"/>
    <x v="0"/>
    <n v="72.304000000000002"/>
  </r>
  <r>
    <n v="3705"/>
    <x v="11"/>
    <x v="11"/>
    <n v="6"/>
    <n v="-0.79800000000000004"/>
    <x v="0"/>
    <x v="0"/>
    <x v="0"/>
    <n v="0.79800000000000004"/>
  </r>
  <r>
    <n v="3706"/>
    <x v="11"/>
    <x v="11"/>
    <n v="7"/>
    <n v="-11.795999999999999"/>
    <x v="0"/>
    <x v="0"/>
    <x v="0"/>
    <n v="11.795999999999999"/>
  </r>
  <r>
    <n v="3707"/>
    <x v="11"/>
    <x v="11"/>
    <n v="8"/>
    <n v="-8.7919999999999998"/>
    <x v="0"/>
    <x v="0"/>
    <x v="0"/>
    <n v="8.7919999999999998"/>
  </r>
  <r>
    <n v="3708"/>
    <x v="11"/>
    <x v="11"/>
    <n v="9"/>
    <n v="-38.486000000000004"/>
    <x v="0"/>
    <x v="0"/>
    <x v="0"/>
    <n v="38.486000000000004"/>
  </r>
  <r>
    <n v="3709"/>
    <x v="11"/>
    <x v="11"/>
    <n v="10"/>
    <n v="-0.79800000000000004"/>
    <x v="0"/>
    <x v="0"/>
    <x v="0"/>
    <n v="0.79800000000000004"/>
  </r>
  <r>
    <n v="3710"/>
    <x v="11"/>
    <x v="11"/>
    <n v="11"/>
    <n v="748.01800000000003"/>
    <x v="4"/>
    <x v="3"/>
    <x v="1"/>
    <n v="748.01800000000003"/>
  </r>
  <r>
    <n v="3711"/>
    <x v="11"/>
    <x v="11"/>
    <n v="13"/>
    <n v="-0.79800000000000004"/>
    <x v="0"/>
    <x v="0"/>
    <x v="0"/>
    <n v="0.79800000000000004"/>
  </r>
  <r>
    <n v="3712"/>
    <x v="11"/>
    <x v="11"/>
    <n v="14"/>
    <n v="-3.2560000000000002"/>
    <x v="0"/>
    <x v="0"/>
    <x v="0"/>
    <n v="3.2560000000000002"/>
  </r>
  <r>
    <n v="3713"/>
    <x v="11"/>
    <x v="11"/>
    <n v="15"/>
    <n v="-0.2"/>
    <x v="2"/>
    <x v="1"/>
    <x v="0"/>
    <n v="0.2"/>
  </r>
  <r>
    <n v="3714"/>
    <x v="11"/>
    <x v="11"/>
    <n v="16"/>
    <n v="-1.5580000000000001"/>
    <x v="0"/>
    <x v="0"/>
    <x v="0"/>
    <n v="1.5580000000000001"/>
  </r>
  <r>
    <n v="3715"/>
    <x v="11"/>
    <x v="11"/>
    <n v="20"/>
    <n v="-20.568000000000001"/>
    <x v="0"/>
    <x v="0"/>
    <x v="0"/>
    <n v="20.568000000000001"/>
  </r>
  <r>
    <n v="3716"/>
    <x v="11"/>
    <x v="11"/>
    <n v="21"/>
    <n v="-0.79800000000000004"/>
    <x v="0"/>
    <x v="0"/>
    <x v="0"/>
    <n v="0.79800000000000004"/>
  </r>
  <r>
    <n v="3717"/>
    <x v="11"/>
    <x v="11"/>
    <n v="22"/>
    <n v="-23.8"/>
    <x v="0"/>
    <x v="0"/>
    <x v="0"/>
    <n v="23.8"/>
  </r>
  <r>
    <n v="3718"/>
    <x v="11"/>
    <x v="11"/>
    <n v="23"/>
    <n v="-3.996"/>
    <x v="0"/>
    <x v="0"/>
    <x v="0"/>
    <n v="3.996"/>
  </r>
  <r>
    <n v="3719"/>
    <x v="11"/>
    <x v="11"/>
    <n v="23"/>
    <n v="118"/>
    <x v="9"/>
    <x v="3"/>
    <x v="1"/>
    <n v="118"/>
  </r>
  <r>
    <n v="3720"/>
    <x v="11"/>
    <x v="11"/>
    <n v="23"/>
    <n v="345.56799999999998"/>
    <x v="8"/>
    <x v="3"/>
    <x v="1"/>
    <n v="345.56799999999998"/>
  </r>
  <r>
    <n v="3721"/>
    <x v="11"/>
    <x v="11"/>
    <n v="23"/>
    <n v="-3.6"/>
    <x v="7"/>
    <x v="5"/>
    <x v="0"/>
    <n v="3.6"/>
  </r>
  <r>
    <n v="3722"/>
    <x v="11"/>
    <x v="11"/>
    <n v="24"/>
    <n v="190.416"/>
    <x v="8"/>
    <x v="3"/>
    <x v="1"/>
    <n v="190.416"/>
  </r>
  <r>
    <n v="3723"/>
    <x v="11"/>
    <x v="11"/>
    <n v="25"/>
    <n v="190.41400000000002"/>
    <x v="8"/>
    <x v="3"/>
    <x v="1"/>
    <n v="190.41400000000002"/>
  </r>
  <r>
    <n v="3724"/>
    <x v="11"/>
    <x v="11"/>
    <n v="26"/>
    <n v="-3.21"/>
    <x v="0"/>
    <x v="0"/>
    <x v="0"/>
    <n v="3.21"/>
  </r>
  <r>
    <n v="3725"/>
    <x v="11"/>
    <x v="11"/>
    <n v="27"/>
    <n v="246.83200000000002"/>
    <x v="8"/>
    <x v="3"/>
    <x v="1"/>
    <n v="246.83200000000002"/>
  </r>
  <r>
    <n v="3726"/>
    <x v="11"/>
    <x v="11"/>
    <n v="28"/>
    <n v="-1.4"/>
    <x v="2"/>
    <x v="1"/>
    <x v="0"/>
    <n v="1.4"/>
  </r>
  <r>
    <n v="3727"/>
    <x v="11"/>
    <x v="11"/>
    <n v="29"/>
    <n v="4.0000000000000001E-3"/>
    <x v="3"/>
    <x v="2"/>
    <x v="1"/>
    <n v="4.0000000000000001E-3"/>
  </r>
  <r>
    <n v="3728"/>
    <x v="11"/>
    <x v="11"/>
    <n v="30"/>
    <n v="-2E-3"/>
    <x v="2"/>
    <x v="1"/>
    <x v="0"/>
    <n v="2E-3"/>
  </r>
  <r>
    <n v="3729"/>
    <x v="12"/>
    <x v="0"/>
    <n v="1"/>
    <n v="-84.224000000000004"/>
    <x v="13"/>
    <x v="1"/>
    <x v="0"/>
    <n v="84.224000000000004"/>
  </r>
  <r>
    <n v="3730"/>
    <x v="12"/>
    <x v="0"/>
    <n v="1"/>
    <n v="-17.25"/>
    <x v="13"/>
    <x v="1"/>
    <x v="0"/>
    <n v="17.25"/>
  </r>
  <r>
    <n v="3731"/>
    <x v="12"/>
    <x v="0"/>
    <n v="1"/>
    <n v="-7.38"/>
    <x v="19"/>
    <x v="1"/>
    <x v="0"/>
    <n v="7.38"/>
  </r>
  <r>
    <n v="3732"/>
    <x v="12"/>
    <x v="0"/>
    <n v="1"/>
    <n v="-6.2780000000000005"/>
    <x v="1"/>
    <x v="1"/>
    <x v="0"/>
    <n v="6.2780000000000005"/>
  </r>
  <r>
    <n v="3733"/>
    <x v="12"/>
    <x v="0"/>
    <n v="1"/>
    <n v="-15.209999999999999"/>
    <x v="16"/>
    <x v="1"/>
    <x v="0"/>
    <n v="15.209999999999999"/>
  </r>
  <r>
    <n v="3734"/>
    <x v="12"/>
    <x v="0"/>
    <n v="1"/>
    <n v="-52.92"/>
    <x v="21"/>
    <x v="1"/>
    <x v="0"/>
    <n v="52.92"/>
  </r>
  <r>
    <n v="3735"/>
    <x v="12"/>
    <x v="0"/>
    <n v="7"/>
    <n v="-14.044"/>
    <x v="0"/>
    <x v="0"/>
    <x v="0"/>
    <n v="14.044"/>
  </r>
  <r>
    <n v="3736"/>
    <x v="12"/>
    <x v="0"/>
    <n v="7"/>
    <n v="-24.442"/>
    <x v="0"/>
    <x v="0"/>
    <x v="0"/>
    <n v="24.442"/>
  </r>
  <r>
    <n v="3737"/>
    <x v="12"/>
    <x v="0"/>
    <n v="9"/>
    <n v="-2"/>
    <x v="7"/>
    <x v="5"/>
    <x v="0"/>
    <n v="2"/>
  </r>
  <r>
    <n v="3738"/>
    <x v="12"/>
    <x v="0"/>
    <n v="10"/>
    <n v="-1.3180000000000001"/>
    <x v="0"/>
    <x v="0"/>
    <x v="0"/>
    <n v="1.3180000000000001"/>
  </r>
  <r>
    <n v="3739"/>
    <x v="12"/>
    <x v="0"/>
    <n v="11"/>
    <n v="-2.1079999999999997"/>
    <x v="0"/>
    <x v="0"/>
    <x v="0"/>
    <n v="2.1079999999999997"/>
  </r>
  <r>
    <n v="3740"/>
    <x v="12"/>
    <x v="0"/>
    <n v="12"/>
    <n v="-8.5739999999999998"/>
    <x v="0"/>
    <x v="0"/>
    <x v="0"/>
    <n v="8.5739999999999998"/>
  </r>
  <r>
    <n v="3741"/>
    <x v="12"/>
    <x v="0"/>
    <n v="13"/>
    <n v="-16.943999999999999"/>
    <x v="0"/>
    <x v="0"/>
    <x v="0"/>
    <n v="16.943999999999999"/>
  </r>
  <r>
    <n v="3742"/>
    <x v="12"/>
    <x v="0"/>
    <n v="14"/>
    <n v="-5.3819999999999997"/>
    <x v="0"/>
    <x v="0"/>
    <x v="0"/>
    <n v="5.3819999999999997"/>
  </r>
  <r>
    <n v="3743"/>
    <x v="12"/>
    <x v="0"/>
    <n v="15"/>
    <n v="-2.1960000000000002"/>
    <x v="0"/>
    <x v="0"/>
    <x v="0"/>
    <n v="2.1960000000000002"/>
  </r>
  <r>
    <n v="3744"/>
    <x v="12"/>
    <x v="0"/>
    <n v="16"/>
    <n v="-0.45800000000000002"/>
    <x v="0"/>
    <x v="0"/>
    <x v="0"/>
    <n v="0.45800000000000002"/>
  </r>
  <r>
    <n v="3745"/>
    <x v="12"/>
    <x v="0"/>
    <n v="17"/>
    <n v="-17.724"/>
    <x v="0"/>
    <x v="0"/>
    <x v="0"/>
    <n v="17.724"/>
  </r>
  <r>
    <n v="3746"/>
    <x v="12"/>
    <x v="0"/>
    <n v="18"/>
    <n v="0.79800000000000004"/>
    <x v="0"/>
    <x v="0"/>
    <x v="0"/>
    <n v="0.79800000000000004"/>
  </r>
  <r>
    <n v="3747"/>
    <x v="12"/>
    <x v="0"/>
    <n v="19"/>
    <n v="-1.0900000000000001"/>
    <x v="0"/>
    <x v="0"/>
    <x v="0"/>
    <n v="1.0900000000000001"/>
  </r>
  <r>
    <n v="3748"/>
    <x v="12"/>
    <x v="0"/>
    <n v="20"/>
    <n v="-23.8"/>
    <x v="14"/>
    <x v="1"/>
    <x v="0"/>
    <n v="23.8"/>
  </r>
  <r>
    <n v="3749"/>
    <x v="12"/>
    <x v="0"/>
    <n v="21"/>
    <n v="-13.994"/>
    <x v="0"/>
    <x v="0"/>
    <x v="0"/>
    <n v="13.994"/>
  </r>
  <r>
    <n v="3750"/>
    <x v="12"/>
    <x v="0"/>
    <n v="22"/>
    <n v="-0.42000000000000004"/>
    <x v="0"/>
    <x v="0"/>
    <x v="0"/>
    <n v="0.42000000000000004"/>
  </r>
  <r>
    <n v="3751"/>
    <x v="12"/>
    <x v="0"/>
    <n v="23"/>
    <n v="813.47"/>
    <x v="4"/>
    <x v="3"/>
    <x v="1"/>
    <n v="813.47"/>
  </r>
  <r>
    <n v="3752"/>
    <x v="12"/>
    <x v="0"/>
    <n v="24"/>
    <n v="-4.9799999999999995"/>
    <x v="0"/>
    <x v="0"/>
    <x v="0"/>
    <n v="4.9799999999999995"/>
  </r>
  <r>
    <n v="3753"/>
    <x v="12"/>
    <x v="0"/>
    <n v="31"/>
    <n v="-1.4"/>
    <x v="2"/>
    <x v="1"/>
    <x v="0"/>
    <n v="1.4"/>
  </r>
  <r>
    <n v="3754"/>
    <x v="12"/>
    <x v="0"/>
    <n v="31"/>
    <n v="4.0000000000000001E-3"/>
    <x v="3"/>
    <x v="2"/>
    <x v="1"/>
    <n v="4.0000000000000001E-3"/>
  </r>
  <r>
    <n v="3755"/>
    <x v="12"/>
    <x v="0"/>
    <n v="31"/>
    <n v="-2E-3"/>
    <x v="2"/>
    <x v="1"/>
    <x v="0"/>
    <n v="2E-3"/>
  </r>
  <r>
    <n v="3756"/>
    <x v="12"/>
    <x v="1"/>
    <n v="1"/>
    <n v="-0.79800000000000004"/>
    <x v="0"/>
    <x v="0"/>
    <x v="0"/>
    <n v="0.79800000000000004"/>
  </r>
  <r>
    <n v="3757"/>
    <x v="12"/>
    <x v="1"/>
    <n v="4"/>
    <n v="-0.79800000000000004"/>
    <x v="0"/>
    <x v="0"/>
    <x v="0"/>
    <n v="0.79800000000000004"/>
  </r>
  <r>
    <n v="3758"/>
    <x v="12"/>
    <x v="1"/>
    <n v="5"/>
    <n v="-9.6"/>
    <x v="20"/>
    <x v="1"/>
    <x v="0"/>
    <n v="9.6"/>
  </r>
  <r>
    <n v="3759"/>
    <x v="12"/>
    <x v="1"/>
    <n v="5"/>
    <n v="-5.8"/>
    <x v="1"/>
    <x v="1"/>
    <x v="0"/>
    <n v="5.8"/>
  </r>
  <r>
    <n v="3760"/>
    <x v="12"/>
    <x v="1"/>
    <n v="5"/>
    <n v="-7.38"/>
    <x v="19"/>
    <x v="1"/>
    <x v="0"/>
    <n v="7.38"/>
  </r>
  <r>
    <n v="3761"/>
    <x v="12"/>
    <x v="1"/>
    <n v="5"/>
    <n v="-84.224000000000004"/>
    <x v="13"/>
    <x v="1"/>
    <x v="0"/>
    <n v="84.224000000000004"/>
  </r>
  <r>
    <n v="3762"/>
    <x v="12"/>
    <x v="1"/>
    <n v="8"/>
    <n v="-10.523999999999999"/>
    <x v="0"/>
    <x v="0"/>
    <x v="0"/>
    <n v="10.523999999999999"/>
  </r>
  <r>
    <n v="3763"/>
    <x v="12"/>
    <x v="1"/>
    <n v="9"/>
    <n v="-0.4"/>
    <x v="0"/>
    <x v="0"/>
    <x v="0"/>
    <n v="0.4"/>
  </r>
  <r>
    <n v="3764"/>
    <x v="12"/>
    <x v="1"/>
    <n v="11"/>
    <n v="-0.79800000000000004"/>
    <x v="0"/>
    <x v="0"/>
    <x v="0"/>
    <n v="0.79800000000000004"/>
  </r>
  <r>
    <n v="3765"/>
    <x v="12"/>
    <x v="1"/>
    <n v="14"/>
    <n v="-8.6"/>
    <x v="0"/>
    <x v="0"/>
    <x v="0"/>
    <n v="8.6"/>
  </r>
  <r>
    <n v="3766"/>
    <x v="12"/>
    <x v="1"/>
    <n v="15"/>
    <n v="-0.4"/>
    <x v="0"/>
    <x v="0"/>
    <x v="0"/>
    <n v="0.4"/>
  </r>
  <r>
    <n v="3767"/>
    <x v="12"/>
    <x v="1"/>
    <n v="15"/>
    <n v="-1.246"/>
    <x v="0"/>
    <x v="0"/>
    <x v="0"/>
    <n v="1.246"/>
  </r>
  <r>
    <n v="3768"/>
    <x v="12"/>
    <x v="1"/>
    <n v="17"/>
    <n v="-0.2"/>
    <x v="2"/>
    <x v="1"/>
    <x v="0"/>
    <n v="0.2"/>
  </r>
  <r>
    <n v="3769"/>
    <x v="12"/>
    <x v="1"/>
    <n v="17"/>
    <n v="-15.746"/>
    <x v="0"/>
    <x v="0"/>
    <x v="0"/>
    <n v="15.746"/>
  </r>
  <r>
    <n v="3770"/>
    <x v="12"/>
    <x v="1"/>
    <n v="18"/>
    <n v="-1.5880000000000001"/>
    <x v="0"/>
    <x v="0"/>
    <x v="0"/>
    <n v="1.5880000000000001"/>
  </r>
  <r>
    <n v="3771"/>
    <x v="12"/>
    <x v="1"/>
    <n v="23"/>
    <n v="-24.48"/>
    <x v="14"/>
    <x v="1"/>
    <x v="0"/>
    <n v="24.48"/>
  </r>
  <r>
    <n v="3772"/>
    <x v="12"/>
    <x v="1"/>
    <n v="23"/>
    <n v="-18.167999999999999"/>
    <x v="0"/>
    <x v="0"/>
    <x v="0"/>
    <n v="18.167999999999999"/>
  </r>
  <r>
    <n v="3773"/>
    <x v="12"/>
    <x v="1"/>
    <n v="23"/>
    <n v="-2.3380000000000001"/>
    <x v="0"/>
    <x v="0"/>
    <x v="0"/>
    <n v="2.3380000000000001"/>
  </r>
  <r>
    <n v="3774"/>
    <x v="12"/>
    <x v="1"/>
    <n v="24"/>
    <n v="813.47"/>
    <x v="4"/>
    <x v="3"/>
    <x v="1"/>
    <n v="813.47"/>
  </r>
  <r>
    <n v="3775"/>
    <x v="12"/>
    <x v="1"/>
    <n v="25"/>
    <n v="-0.79800000000000004"/>
    <x v="0"/>
    <x v="0"/>
    <x v="0"/>
    <n v="0.79800000000000004"/>
  </r>
  <r>
    <n v="3776"/>
    <x v="12"/>
    <x v="1"/>
    <n v="28"/>
    <n v="-1.4"/>
    <x v="2"/>
    <x v="1"/>
    <x v="0"/>
    <n v="1.4"/>
  </r>
  <r>
    <n v="3777"/>
    <x v="12"/>
    <x v="1"/>
    <n v="28"/>
    <n v="8.0000000000000002E-3"/>
    <x v="3"/>
    <x v="2"/>
    <x v="1"/>
    <n v="8.0000000000000002E-3"/>
  </r>
  <r>
    <n v="3778"/>
    <x v="12"/>
    <x v="1"/>
    <n v="28"/>
    <n v="-2E-3"/>
    <x v="2"/>
    <x v="1"/>
    <x v="0"/>
    <n v="2E-3"/>
  </r>
  <r>
    <n v="3779"/>
    <x v="12"/>
    <x v="1"/>
    <n v="28"/>
    <n v="0.8"/>
    <x v="9"/>
    <x v="3"/>
    <x v="1"/>
    <n v="0.8"/>
  </r>
  <r>
    <n v="3780"/>
    <x v="12"/>
    <x v="2"/>
    <n v="1"/>
    <n v="-22.113999999999997"/>
    <x v="16"/>
    <x v="1"/>
    <x v="0"/>
    <n v="22.113999999999997"/>
  </r>
  <r>
    <n v="3781"/>
    <x v="12"/>
    <x v="2"/>
    <n v="1"/>
    <n v="-5.8"/>
    <x v="1"/>
    <x v="1"/>
    <x v="0"/>
    <n v="5.8"/>
  </r>
  <r>
    <n v="3782"/>
    <x v="12"/>
    <x v="2"/>
    <n v="1"/>
    <n v="-7.38"/>
    <x v="19"/>
    <x v="1"/>
    <x v="0"/>
    <n v="7.38"/>
  </r>
  <r>
    <n v="3783"/>
    <x v="12"/>
    <x v="2"/>
    <n v="1"/>
    <n v="-84.224000000000004"/>
    <x v="13"/>
    <x v="1"/>
    <x v="0"/>
    <n v="84.224000000000004"/>
  </r>
  <r>
    <n v="3784"/>
    <x v="12"/>
    <x v="2"/>
    <n v="1"/>
    <n v="-0.4"/>
    <x v="0"/>
    <x v="0"/>
    <x v="0"/>
    <n v="0.4"/>
  </r>
  <r>
    <n v="3785"/>
    <x v="12"/>
    <x v="2"/>
    <n v="2"/>
    <n v="-13.663999999999998"/>
    <x v="0"/>
    <x v="0"/>
    <x v="0"/>
    <n v="13.663999999999998"/>
  </r>
  <r>
    <n v="3786"/>
    <x v="12"/>
    <x v="2"/>
    <n v="3"/>
    <n v="-20.580000000000002"/>
    <x v="0"/>
    <x v="0"/>
    <x v="0"/>
    <n v="20.580000000000002"/>
  </r>
  <r>
    <n v="3787"/>
    <x v="12"/>
    <x v="2"/>
    <n v="4"/>
    <n v="753.41399999999999"/>
    <x v="5"/>
    <x v="3"/>
    <x v="1"/>
    <n v="753.41399999999999"/>
  </r>
  <r>
    <n v="3788"/>
    <x v="12"/>
    <x v="2"/>
    <n v="5"/>
    <n v="-43.768000000000001"/>
    <x v="7"/>
    <x v="5"/>
    <x v="0"/>
    <n v="43.768000000000001"/>
  </r>
  <r>
    <n v="3789"/>
    <x v="12"/>
    <x v="2"/>
    <n v="7"/>
    <n v="-0.4"/>
    <x v="0"/>
    <x v="0"/>
    <x v="0"/>
    <n v="0.4"/>
  </r>
  <r>
    <n v="3790"/>
    <x v="12"/>
    <x v="2"/>
    <n v="8"/>
    <n v="-0.79800000000000004"/>
    <x v="0"/>
    <x v="0"/>
    <x v="0"/>
    <n v="0.79800000000000004"/>
  </r>
  <r>
    <n v="3791"/>
    <x v="12"/>
    <x v="2"/>
    <n v="8"/>
    <n v="-3.18"/>
    <x v="0"/>
    <x v="0"/>
    <x v="0"/>
    <n v="3.18"/>
  </r>
  <r>
    <n v="3792"/>
    <x v="12"/>
    <x v="2"/>
    <n v="9"/>
    <n v="-17.887999999999998"/>
    <x v="0"/>
    <x v="0"/>
    <x v="0"/>
    <n v="17.887999999999998"/>
  </r>
  <r>
    <n v="3793"/>
    <x v="12"/>
    <x v="2"/>
    <n v="10"/>
    <n v="-4.1719999999999997"/>
    <x v="0"/>
    <x v="0"/>
    <x v="0"/>
    <n v="4.1719999999999997"/>
  </r>
  <r>
    <n v="3794"/>
    <x v="12"/>
    <x v="2"/>
    <n v="10"/>
    <n v="-0.91999999999999993"/>
    <x v="0"/>
    <x v="0"/>
    <x v="0"/>
    <n v="0.91999999999999993"/>
  </r>
  <r>
    <n v="3795"/>
    <x v="12"/>
    <x v="2"/>
    <n v="11"/>
    <n v="-95.99"/>
    <x v="7"/>
    <x v="5"/>
    <x v="0"/>
    <n v="95.99"/>
  </r>
  <r>
    <n v="3796"/>
    <x v="12"/>
    <x v="2"/>
    <n v="11"/>
    <n v="-59.996000000000002"/>
    <x v="7"/>
    <x v="5"/>
    <x v="0"/>
    <n v="59.996000000000002"/>
  </r>
  <r>
    <n v="3797"/>
    <x v="12"/>
    <x v="2"/>
    <n v="13"/>
    <n v="-24.990000000000002"/>
    <x v="7"/>
    <x v="5"/>
    <x v="0"/>
    <n v="24.990000000000002"/>
  </r>
  <r>
    <n v="3798"/>
    <x v="12"/>
    <x v="2"/>
    <n v="15"/>
    <n v="-0.79800000000000004"/>
    <x v="0"/>
    <x v="0"/>
    <x v="0"/>
    <n v="0.79800000000000004"/>
  </r>
  <r>
    <n v="3799"/>
    <x v="12"/>
    <x v="2"/>
    <n v="17"/>
    <n v="-14.506"/>
    <x v="0"/>
    <x v="0"/>
    <x v="0"/>
    <n v="14.506"/>
  </r>
  <r>
    <n v="3800"/>
    <x v="12"/>
    <x v="2"/>
    <n v="18"/>
    <n v="-0.43"/>
    <x v="0"/>
    <x v="0"/>
    <x v="0"/>
    <n v="0.43"/>
  </r>
  <r>
    <n v="3801"/>
    <x v="12"/>
    <x v="2"/>
    <n v="18"/>
    <n v="-0.2"/>
    <x v="2"/>
    <x v="1"/>
    <x v="0"/>
    <n v="0.2"/>
  </r>
  <r>
    <n v="3802"/>
    <x v="12"/>
    <x v="2"/>
    <n v="21"/>
    <n v="-0.79800000000000004"/>
    <x v="0"/>
    <x v="0"/>
    <x v="0"/>
    <n v="0.79800000000000004"/>
  </r>
  <r>
    <n v="3803"/>
    <x v="12"/>
    <x v="2"/>
    <n v="24"/>
    <n v="-0.79800000000000004"/>
    <x v="0"/>
    <x v="0"/>
    <x v="0"/>
    <n v="0.79800000000000004"/>
  </r>
  <r>
    <n v="3804"/>
    <x v="12"/>
    <x v="2"/>
    <n v="24"/>
    <n v="-14.824000000000002"/>
    <x v="0"/>
    <x v="0"/>
    <x v="0"/>
    <n v="14.824000000000002"/>
  </r>
  <r>
    <n v="3805"/>
    <x v="12"/>
    <x v="2"/>
    <n v="25"/>
    <n v="-1.5960000000000001"/>
    <x v="0"/>
    <x v="0"/>
    <x v="0"/>
    <n v="1.5960000000000001"/>
  </r>
  <r>
    <n v="3806"/>
    <x v="12"/>
    <x v="2"/>
    <n v="25"/>
    <n v="813.47199999999998"/>
    <x v="4"/>
    <x v="3"/>
    <x v="1"/>
    <n v="813.47199999999998"/>
  </r>
  <r>
    <n v="3807"/>
    <x v="12"/>
    <x v="2"/>
    <n v="26"/>
    <n v="-23.8"/>
    <x v="14"/>
    <x v="1"/>
    <x v="0"/>
    <n v="23.8"/>
  </r>
  <r>
    <n v="3808"/>
    <x v="12"/>
    <x v="2"/>
    <n v="27"/>
    <n v="-3.9979999999999998"/>
    <x v="7"/>
    <x v="5"/>
    <x v="0"/>
    <n v="3.9979999999999998"/>
  </r>
  <r>
    <n v="3809"/>
    <x v="12"/>
    <x v="2"/>
    <n v="29"/>
    <n v="-40.037999999999997"/>
    <x v="7"/>
    <x v="5"/>
    <x v="0"/>
    <n v="40.037999999999997"/>
  </r>
  <r>
    <n v="3810"/>
    <x v="12"/>
    <x v="2"/>
    <n v="29"/>
    <n v="-0.79800000000000004"/>
    <x v="0"/>
    <x v="0"/>
    <x v="0"/>
    <n v="0.79800000000000004"/>
  </r>
  <r>
    <n v="3811"/>
    <x v="12"/>
    <x v="2"/>
    <n v="29"/>
    <n v="-37.89"/>
    <x v="0"/>
    <x v="0"/>
    <x v="0"/>
    <n v="37.89"/>
  </r>
  <r>
    <n v="3812"/>
    <x v="12"/>
    <x v="2"/>
    <n v="31"/>
    <n v="-1.4"/>
    <x v="2"/>
    <x v="1"/>
    <x v="0"/>
    <n v="1.4"/>
  </r>
  <r>
    <n v="3813"/>
    <x v="12"/>
    <x v="2"/>
    <n v="31"/>
    <n v="6.0000000000000001E-3"/>
    <x v="3"/>
    <x v="2"/>
    <x v="1"/>
    <n v="6.0000000000000001E-3"/>
  </r>
  <r>
    <n v="3814"/>
    <x v="12"/>
    <x v="2"/>
    <n v="31"/>
    <n v="-2E-3"/>
    <x v="2"/>
    <x v="1"/>
    <x v="0"/>
    <n v="2E-3"/>
  </r>
  <r>
    <n v="3815"/>
    <x v="12"/>
    <x v="2"/>
    <n v="31"/>
    <n v="-5.2359999999999998"/>
    <x v="0"/>
    <x v="0"/>
    <x v="0"/>
    <n v="5.2359999999999998"/>
  </r>
  <r>
    <n v="3816"/>
    <x v="12"/>
    <x v="3"/>
    <n v="1"/>
    <n v="-0.52"/>
    <x v="0"/>
    <x v="0"/>
    <x v="0"/>
    <n v="0.52"/>
  </r>
  <r>
    <n v="3817"/>
    <x v="12"/>
    <x v="3"/>
    <n v="3"/>
    <n v="-89.6"/>
    <x v="7"/>
    <x v="5"/>
    <x v="0"/>
    <n v="89.6"/>
  </r>
  <r>
    <n v="3818"/>
    <x v="12"/>
    <x v="3"/>
    <n v="3"/>
    <n v="-5.8"/>
    <x v="1"/>
    <x v="1"/>
    <x v="0"/>
    <n v="5.8"/>
  </r>
  <r>
    <n v="3819"/>
    <x v="12"/>
    <x v="3"/>
    <n v="3"/>
    <n v="-7.38"/>
    <x v="19"/>
    <x v="1"/>
    <x v="0"/>
    <n v="7.38"/>
  </r>
  <r>
    <n v="3820"/>
    <x v="12"/>
    <x v="3"/>
    <n v="3"/>
    <n v="-84.224000000000004"/>
    <x v="13"/>
    <x v="1"/>
    <x v="0"/>
    <n v="84.224000000000004"/>
  </r>
  <r>
    <n v="3821"/>
    <x v="12"/>
    <x v="3"/>
    <n v="4"/>
    <n v="-0.79800000000000004"/>
    <x v="0"/>
    <x v="0"/>
    <x v="0"/>
    <n v="0.79800000000000004"/>
  </r>
  <r>
    <n v="3822"/>
    <x v="12"/>
    <x v="3"/>
    <n v="4"/>
    <n v="-16.128"/>
    <x v="0"/>
    <x v="0"/>
    <x v="0"/>
    <n v="16.128"/>
  </r>
  <r>
    <n v="3823"/>
    <x v="12"/>
    <x v="3"/>
    <n v="7"/>
    <n v="-0.79800000000000004"/>
    <x v="0"/>
    <x v="0"/>
    <x v="0"/>
    <n v="0.79800000000000004"/>
  </r>
  <r>
    <n v="3824"/>
    <x v="12"/>
    <x v="3"/>
    <n v="7"/>
    <n v="-3.3920000000000003"/>
    <x v="0"/>
    <x v="0"/>
    <x v="0"/>
    <n v="3.3920000000000003"/>
  </r>
  <r>
    <n v="3825"/>
    <x v="12"/>
    <x v="3"/>
    <n v="8"/>
    <n v="-0.65999999999999992"/>
    <x v="0"/>
    <x v="0"/>
    <x v="0"/>
    <n v="0.65999999999999992"/>
  </r>
  <r>
    <n v="3826"/>
    <x v="12"/>
    <x v="3"/>
    <n v="11"/>
    <n v="-8.4319999999999986"/>
    <x v="0"/>
    <x v="0"/>
    <x v="0"/>
    <n v="8.4319999999999986"/>
  </r>
  <r>
    <n v="3827"/>
    <x v="12"/>
    <x v="3"/>
    <n v="11"/>
    <n v="-7.734"/>
    <x v="0"/>
    <x v="0"/>
    <x v="0"/>
    <n v="7.734"/>
  </r>
  <r>
    <n v="3828"/>
    <x v="12"/>
    <x v="3"/>
    <n v="12"/>
    <n v="-1.3180000000000001"/>
    <x v="0"/>
    <x v="0"/>
    <x v="0"/>
    <n v="1.3180000000000001"/>
  </r>
  <r>
    <n v="3829"/>
    <x v="12"/>
    <x v="3"/>
    <n v="13"/>
    <n v="-20"/>
    <x v="0"/>
    <x v="0"/>
    <x v="0"/>
    <n v="20"/>
  </r>
  <r>
    <n v="3830"/>
    <x v="12"/>
    <x v="3"/>
    <n v="14"/>
    <n v="-7.2"/>
    <x v="0"/>
    <x v="0"/>
    <x v="0"/>
    <n v="7.2"/>
  </r>
  <r>
    <n v="3831"/>
    <x v="12"/>
    <x v="3"/>
    <n v="14"/>
    <n v="-2"/>
    <x v="0"/>
    <x v="0"/>
    <x v="0"/>
    <n v="2"/>
  </r>
  <r>
    <n v="3832"/>
    <x v="12"/>
    <x v="3"/>
    <n v="22"/>
    <n v="-12.504000000000001"/>
    <x v="0"/>
    <x v="0"/>
    <x v="0"/>
    <n v="12.504000000000001"/>
  </r>
  <r>
    <n v="3833"/>
    <x v="12"/>
    <x v="3"/>
    <n v="22"/>
    <n v="-0.2"/>
    <x v="2"/>
    <x v="1"/>
    <x v="0"/>
    <n v="0.2"/>
  </r>
  <r>
    <n v="3834"/>
    <x v="12"/>
    <x v="3"/>
    <n v="24"/>
    <n v="-41.2"/>
    <x v="11"/>
    <x v="1"/>
    <x v="0"/>
    <n v="41.2"/>
  </r>
  <r>
    <n v="3835"/>
    <x v="12"/>
    <x v="3"/>
    <n v="25"/>
    <n v="813.47199999999998"/>
    <x v="4"/>
    <x v="3"/>
    <x v="1"/>
    <n v="813.47199999999998"/>
  </r>
  <r>
    <n v="3836"/>
    <x v="12"/>
    <x v="3"/>
    <n v="25"/>
    <n v="-23.8"/>
    <x v="14"/>
    <x v="1"/>
    <x v="0"/>
    <n v="23.8"/>
  </r>
  <r>
    <n v="3837"/>
    <x v="12"/>
    <x v="3"/>
    <n v="25"/>
    <n v="-15.734"/>
    <x v="0"/>
    <x v="0"/>
    <x v="0"/>
    <n v="15.734"/>
  </r>
  <r>
    <n v="3838"/>
    <x v="12"/>
    <x v="3"/>
    <n v="26"/>
    <n v="-0.87799999999999989"/>
    <x v="0"/>
    <x v="0"/>
    <x v="0"/>
    <n v="0.87799999999999989"/>
  </r>
  <r>
    <n v="3839"/>
    <x v="12"/>
    <x v="3"/>
    <n v="26"/>
    <n v="-13.228"/>
    <x v="0"/>
    <x v="0"/>
    <x v="0"/>
    <n v="13.228"/>
  </r>
  <r>
    <n v="3840"/>
    <x v="12"/>
    <x v="3"/>
    <n v="27"/>
    <n v="77.578000000000003"/>
    <x v="8"/>
    <x v="3"/>
    <x v="1"/>
    <n v="77.578000000000003"/>
  </r>
  <r>
    <n v="3841"/>
    <x v="12"/>
    <x v="3"/>
    <n v="27"/>
    <n v="-0.87799999999999989"/>
    <x v="0"/>
    <x v="0"/>
    <x v="0"/>
    <n v="0.87799999999999989"/>
  </r>
  <r>
    <n v="3842"/>
    <x v="12"/>
    <x v="3"/>
    <n v="28"/>
    <n v="-0.44000000000000006"/>
    <x v="0"/>
    <x v="0"/>
    <x v="0"/>
    <n v="0.44000000000000006"/>
  </r>
  <r>
    <n v="3843"/>
    <x v="12"/>
    <x v="3"/>
    <n v="30"/>
    <n v="-1.4"/>
    <x v="2"/>
    <x v="1"/>
    <x v="0"/>
    <n v="1.4"/>
  </r>
  <r>
    <n v="3844"/>
    <x v="12"/>
    <x v="3"/>
    <n v="30"/>
    <n v="2E-3"/>
    <x v="3"/>
    <x v="2"/>
    <x v="1"/>
    <n v="2E-3"/>
  </r>
  <r>
    <n v="3845"/>
    <x v="12"/>
    <x v="3"/>
    <n v="30"/>
    <n v="-2E-3"/>
    <x v="2"/>
    <x v="1"/>
    <x v="0"/>
    <n v="2E-3"/>
  </r>
  <r>
    <n v="3846"/>
    <x v="12"/>
    <x v="3"/>
    <n v="30"/>
    <n v="-3.9979999999999998"/>
    <x v="0"/>
    <x v="0"/>
    <x v="0"/>
    <n v="3.9979999999999998"/>
  </r>
  <r>
    <n v="3847"/>
    <x v="12"/>
    <x v="4"/>
    <n v="1"/>
    <n v="-46.4"/>
    <x v="12"/>
    <x v="1"/>
    <x v="0"/>
    <n v="46.4"/>
  </r>
  <r>
    <n v="3848"/>
    <x v="12"/>
    <x v="4"/>
    <n v="1"/>
    <n v="-16.752000000000002"/>
    <x v="16"/>
    <x v="1"/>
    <x v="0"/>
    <n v="16.752000000000002"/>
  </r>
  <r>
    <n v="3849"/>
    <x v="12"/>
    <x v="4"/>
    <n v="1"/>
    <n v="-5.8"/>
    <x v="1"/>
    <x v="1"/>
    <x v="0"/>
    <n v="5.8"/>
  </r>
  <r>
    <n v="3850"/>
    <x v="12"/>
    <x v="4"/>
    <n v="1"/>
    <n v="-7.38"/>
    <x v="19"/>
    <x v="1"/>
    <x v="0"/>
    <n v="7.38"/>
  </r>
  <r>
    <n v="3851"/>
    <x v="12"/>
    <x v="4"/>
    <n v="1"/>
    <n v="-84.224000000000004"/>
    <x v="13"/>
    <x v="1"/>
    <x v="0"/>
    <n v="84.224000000000004"/>
  </r>
  <r>
    <n v="3852"/>
    <x v="12"/>
    <x v="4"/>
    <n v="1"/>
    <n v="-0.87799999999999989"/>
    <x v="0"/>
    <x v="0"/>
    <x v="0"/>
    <n v="0.87799999999999989"/>
  </r>
  <r>
    <n v="3853"/>
    <x v="12"/>
    <x v="4"/>
    <n v="5"/>
    <n v="-19.058"/>
    <x v="0"/>
    <x v="0"/>
    <x v="0"/>
    <n v="19.058"/>
  </r>
  <r>
    <n v="3854"/>
    <x v="12"/>
    <x v="4"/>
    <n v="10"/>
    <n v="-8.2140000000000004"/>
    <x v="0"/>
    <x v="0"/>
    <x v="0"/>
    <n v="8.2140000000000004"/>
  </r>
  <r>
    <n v="3855"/>
    <x v="12"/>
    <x v="4"/>
    <n v="11"/>
    <n v="-5.68"/>
    <x v="0"/>
    <x v="0"/>
    <x v="0"/>
    <n v="5.68"/>
  </r>
  <r>
    <n v="3856"/>
    <x v="12"/>
    <x v="4"/>
    <n v="11"/>
    <n v="-1.3"/>
    <x v="0"/>
    <x v="0"/>
    <x v="0"/>
    <n v="1.3"/>
  </r>
  <r>
    <n v="3857"/>
    <x v="12"/>
    <x v="4"/>
    <n v="12"/>
    <n v="-2.48"/>
    <x v="0"/>
    <x v="0"/>
    <x v="0"/>
    <n v="2.48"/>
  </r>
  <r>
    <n v="3858"/>
    <x v="12"/>
    <x v="4"/>
    <n v="12"/>
    <n v="-1.748"/>
    <x v="0"/>
    <x v="0"/>
    <x v="0"/>
    <n v="1.748"/>
  </r>
  <r>
    <n v="3859"/>
    <x v="12"/>
    <x v="4"/>
    <n v="16"/>
    <n v="-10.623999999999999"/>
    <x v="0"/>
    <x v="0"/>
    <x v="0"/>
    <n v="10.623999999999999"/>
  </r>
  <r>
    <n v="3860"/>
    <x v="12"/>
    <x v="4"/>
    <n v="17"/>
    <n v="-0.2"/>
    <x v="2"/>
    <x v="1"/>
    <x v="0"/>
    <n v="0.2"/>
  </r>
  <r>
    <n v="3861"/>
    <x v="12"/>
    <x v="4"/>
    <n v="19"/>
    <n v="-0.87799999999999989"/>
    <x v="0"/>
    <x v="0"/>
    <x v="0"/>
    <n v="0.87799999999999989"/>
  </r>
  <r>
    <n v="3862"/>
    <x v="12"/>
    <x v="4"/>
    <n v="19"/>
    <n v="-16.488"/>
    <x v="0"/>
    <x v="0"/>
    <x v="0"/>
    <n v="16.488"/>
  </r>
  <r>
    <n v="3863"/>
    <x v="12"/>
    <x v="4"/>
    <n v="20"/>
    <n v="-0.44000000000000006"/>
    <x v="0"/>
    <x v="0"/>
    <x v="0"/>
    <n v="0.44000000000000006"/>
  </r>
  <r>
    <n v="3864"/>
    <x v="12"/>
    <x v="4"/>
    <n v="20"/>
    <n v="-6.0880000000000001"/>
    <x v="0"/>
    <x v="0"/>
    <x v="0"/>
    <n v="6.0880000000000001"/>
  </r>
  <r>
    <n v="3865"/>
    <x v="12"/>
    <x v="4"/>
    <n v="23"/>
    <n v="-0.44000000000000006"/>
    <x v="0"/>
    <x v="0"/>
    <x v="0"/>
    <n v="0.44000000000000006"/>
  </r>
  <r>
    <n v="3866"/>
    <x v="12"/>
    <x v="4"/>
    <n v="22"/>
    <n v="-23.8"/>
    <x v="14"/>
    <x v="1"/>
    <x v="0"/>
    <n v="23.8"/>
  </r>
  <r>
    <n v="3867"/>
    <x v="12"/>
    <x v="4"/>
    <n v="22"/>
    <n v="-3"/>
    <x v="0"/>
    <x v="0"/>
    <x v="0"/>
    <n v="3"/>
  </r>
  <r>
    <n v="3868"/>
    <x v="12"/>
    <x v="4"/>
    <n v="25"/>
    <n v="-14.012"/>
    <x v="0"/>
    <x v="0"/>
    <x v="0"/>
    <n v="14.012"/>
  </r>
  <r>
    <n v="3869"/>
    <x v="12"/>
    <x v="4"/>
    <n v="26"/>
    <n v="-1.478"/>
    <x v="0"/>
    <x v="0"/>
    <x v="0"/>
    <n v="1.478"/>
  </r>
  <r>
    <n v="3870"/>
    <x v="12"/>
    <x v="4"/>
    <n v="27"/>
    <n v="813.47199999999998"/>
    <x v="4"/>
    <x v="3"/>
    <x v="1"/>
    <n v="813.47199999999998"/>
  </r>
  <r>
    <n v="3871"/>
    <x v="12"/>
    <x v="4"/>
    <n v="31"/>
    <n v="-2E-3"/>
    <x v="2"/>
    <x v="1"/>
    <x v="0"/>
    <n v="2E-3"/>
  </r>
  <r>
    <n v="3872"/>
    <x v="12"/>
    <x v="4"/>
    <n v="31"/>
    <n v="4.0000000000000001E-3"/>
    <x v="3"/>
    <x v="2"/>
    <x v="1"/>
    <n v="4.0000000000000001E-3"/>
  </r>
  <r>
    <n v="3873"/>
    <x v="12"/>
    <x v="4"/>
    <n v="31"/>
    <n v="-1.4"/>
    <x v="2"/>
    <x v="1"/>
    <x v="0"/>
    <n v="1.4"/>
  </r>
  <r>
    <n v="3874"/>
    <x v="12"/>
    <x v="4"/>
    <n v="31"/>
    <n v="-2.7"/>
    <x v="0"/>
    <x v="0"/>
    <x v="0"/>
    <n v="2.7"/>
  </r>
  <r>
    <n v="3875"/>
    <x v="12"/>
    <x v="4"/>
    <n v="31"/>
    <n v="-0.87799999999999989"/>
    <x v="0"/>
    <x v="0"/>
    <x v="0"/>
    <n v="0.87799999999999989"/>
  </r>
  <r>
    <n v="3876"/>
    <x v="12"/>
    <x v="4"/>
    <n v="31"/>
    <n v="-25.324000000000002"/>
    <x v="0"/>
    <x v="0"/>
    <x v="0"/>
    <n v="25.324000000000002"/>
  </r>
  <r>
    <n v="3877"/>
    <x v="12"/>
    <x v="4"/>
    <n v="31"/>
    <n v="-190"/>
    <x v="7"/>
    <x v="5"/>
    <x v="0"/>
    <n v="190"/>
  </r>
  <r>
    <n v="3878"/>
    <x v="12"/>
    <x v="5"/>
    <n v="1"/>
    <n v="-1.476"/>
    <x v="0"/>
    <x v="0"/>
    <x v="0"/>
    <n v="1.476"/>
  </r>
  <r>
    <n v="3879"/>
    <x v="12"/>
    <x v="5"/>
    <n v="1"/>
    <n v="-5.2880000000000003"/>
    <x v="0"/>
    <x v="0"/>
    <x v="0"/>
    <n v="5.2880000000000003"/>
  </r>
  <r>
    <n v="3880"/>
    <x v="12"/>
    <x v="5"/>
    <n v="2"/>
    <n v="-14.672000000000001"/>
    <x v="0"/>
    <x v="0"/>
    <x v="0"/>
    <n v="14.672000000000001"/>
  </r>
  <r>
    <n v="3881"/>
    <x v="12"/>
    <x v="5"/>
    <n v="2"/>
    <n v="-29.994"/>
    <x v="0"/>
    <x v="0"/>
    <x v="0"/>
    <n v="29.994"/>
  </r>
  <r>
    <n v="3882"/>
    <x v="12"/>
    <x v="5"/>
    <n v="2"/>
    <n v="-0.04"/>
    <x v="2"/>
    <x v="1"/>
    <x v="0"/>
    <n v="0.04"/>
  </r>
  <r>
    <n v="3883"/>
    <x v="12"/>
    <x v="5"/>
    <n v="3"/>
    <n v="-0.99"/>
    <x v="0"/>
    <x v="0"/>
    <x v="0"/>
    <n v="0.99"/>
  </r>
  <r>
    <n v="3884"/>
    <x v="12"/>
    <x v="5"/>
    <n v="4"/>
    <n v="-5.8"/>
    <x v="1"/>
    <x v="1"/>
    <x v="0"/>
    <n v="5.8"/>
  </r>
  <r>
    <n v="3885"/>
    <x v="12"/>
    <x v="5"/>
    <n v="4"/>
    <n v="-7.38"/>
    <x v="19"/>
    <x v="1"/>
    <x v="0"/>
    <n v="7.38"/>
  </r>
  <r>
    <n v="3886"/>
    <x v="12"/>
    <x v="5"/>
    <n v="4"/>
    <n v="-84.224000000000004"/>
    <x v="13"/>
    <x v="1"/>
    <x v="0"/>
    <n v="84.224000000000004"/>
  </r>
  <r>
    <n v="3887"/>
    <x v="12"/>
    <x v="5"/>
    <n v="8"/>
    <n v="-20.344000000000001"/>
    <x v="0"/>
    <x v="0"/>
    <x v="0"/>
    <n v="20.344000000000001"/>
  </r>
  <r>
    <n v="3888"/>
    <x v="12"/>
    <x v="5"/>
    <n v="8"/>
    <n v="-0.44000000000000006"/>
    <x v="0"/>
    <x v="0"/>
    <x v="0"/>
    <n v="0.44000000000000006"/>
  </r>
  <r>
    <n v="3889"/>
    <x v="12"/>
    <x v="5"/>
    <n v="10"/>
    <n v="-4.782"/>
    <x v="0"/>
    <x v="0"/>
    <x v="0"/>
    <n v="4.782"/>
  </r>
  <r>
    <n v="3890"/>
    <x v="12"/>
    <x v="5"/>
    <n v="10"/>
    <n v="-0.87799999999999989"/>
    <x v="0"/>
    <x v="0"/>
    <x v="0"/>
    <n v="0.87799999999999989"/>
  </r>
  <r>
    <n v="3891"/>
    <x v="12"/>
    <x v="5"/>
    <n v="13"/>
    <n v="-20.494"/>
    <x v="7"/>
    <x v="5"/>
    <x v="0"/>
    <n v="20.494"/>
  </r>
  <r>
    <n v="3892"/>
    <x v="12"/>
    <x v="5"/>
    <n v="13"/>
    <n v="-1.7559999999999998"/>
    <x v="0"/>
    <x v="0"/>
    <x v="0"/>
    <n v="1.7559999999999998"/>
  </r>
  <r>
    <n v="3893"/>
    <x v="12"/>
    <x v="5"/>
    <n v="15"/>
    <n v="-11.166"/>
    <x v="0"/>
    <x v="0"/>
    <x v="0"/>
    <n v="11.166"/>
  </r>
  <r>
    <n v="3894"/>
    <x v="12"/>
    <x v="5"/>
    <n v="15"/>
    <n v="-0.2"/>
    <x v="2"/>
    <x v="1"/>
    <x v="0"/>
    <n v="0.2"/>
  </r>
  <r>
    <n v="3895"/>
    <x v="12"/>
    <x v="5"/>
    <n v="17"/>
    <n v="305.25"/>
    <x v="8"/>
    <x v="3"/>
    <x v="1"/>
    <n v="305.25"/>
  </r>
  <r>
    <n v="3896"/>
    <x v="12"/>
    <x v="5"/>
    <n v="18"/>
    <n v="-16.119999999999997"/>
    <x v="16"/>
    <x v="1"/>
    <x v="0"/>
    <n v="16.119999999999997"/>
  </r>
  <r>
    <n v="3897"/>
    <x v="12"/>
    <x v="5"/>
    <n v="21"/>
    <n v="-30.574000000000002"/>
    <x v="7"/>
    <x v="5"/>
    <x v="0"/>
    <n v="30.574000000000002"/>
  </r>
  <r>
    <n v="3898"/>
    <x v="12"/>
    <x v="5"/>
    <n v="21"/>
    <n v="-24.48"/>
    <x v="7"/>
    <x v="5"/>
    <x v="0"/>
    <n v="24.48"/>
  </r>
  <r>
    <n v="3899"/>
    <x v="12"/>
    <x v="5"/>
    <n v="22"/>
    <n v="-4.516"/>
    <x v="0"/>
    <x v="0"/>
    <x v="0"/>
    <n v="4.516"/>
  </r>
  <r>
    <n v="3900"/>
    <x v="12"/>
    <x v="5"/>
    <n v="22"/>
    <n v="-1.748"/>
    <x v="0"/>
    <x v="0"/>
    <x v="0"/>
    <n v="1.748"/>
  </r>
  <r>
    <n v="3901"/>
    <x v="12"/>
    <x v="5"/>
    <n v="23"/>
    <n v="-28.648000000000003"/>
    <x v="7"/>
    <x v="5"/>
    <x v="0"/>
    <n v="28.648000000000003"/>
  </r>
  <r>
    <n v="3902"/>
    <x v="12"/>
    <x v="5"/>
    <n v="24"/>
    <n v="-12.866"/>
    <x v="0"/>
    <x v="0"/>
    <x v="0"/>
    <n v="12.866"/>
  </r>
  <r>
    <n v="3903"/>
    <x v="12"/>
    <x v="5"/>
    <n v="27"/>
    <n v="813.47199999999998"/>
    <x v="4"/>
    <x v="3"/>
    <x v="1"/>
    <n v="813.47199999999998"/>
  </r>
  <r>
    <n v="3904"/>
    <x v="12"/>
    <x v="5"/>
    <n v="27"/>
    <n v="-25.247999999999998"/>
    <x v="14"/>
    <x v="1"/>
    <x v="0"/>
    <n v="25.247999999999998"/>
  </r>
  <r>
    <n v="3905"/>
    <x v="12"/>
    <x v="5"/>
    <n v="28"/>
    <n v="-0.87799999999999989"/>
    <x v="0"/>
    <x v="0"/>
    <x v="0"/>
    <n v="0.87799999999999989"/>
  </r>
  <r>
    <n v="3906"/>
    <x v="12"/>
    <x v="5"/>
    <n v="30"/>
    <n v="-2E-3"/>
    <x v="2"/>
    <x v="1"/>
    <x v="0"/>
    <n v="2E-3"/>
  </r>
  <r>
    <n v="3907"/>
    <x v="12"/>
    <x v="5"/>
    <n v="30"/>
    <n v="-1.4"/>
    <x v="2"/>
    <x v="1"/>
    <x v="0"/>
    <n v="1.4"/>
  </r>
  <r>
    <n v="3908"/>
    <x v="12"/>
    <x v="5"/>
    <n v="30"/>
    <n v="-6.0020000000000007"/>
    <x v="0"/>
    <x v="0"/>
    <x v="0"/>
    <n v="6.0020000000000007"/>
  </r>
  <r>
    <n v="3909"/>
    <x v="12"/>
    <x v="5"/>
    <n v="30"/>
    <n v="-9.2759999999999998"/>
    <x v="0"/>
    <x v="0"/>
    <x v="0"/>
    <n v="9.2759999999999998"/>
  </r>
  <r>
    <n v="3910"/>
    <x v="12"/>
    <x v="5"/>
    <n v="30"/>
    <n v="6.0000000000000001E-3"/>
    <x v="3"/>
    <x v="2"/>
    <x v="1"/>
    <n v="6.0000000000000001E-3"/>
  </r>
  <r>
    <n v="3911"/>
    <x v="12"/>
    <x v="6"/>
    <n v="1"/>
    <n v="-6.4580000000000002"/>
    <x v="0"/>
    <x v="0"/>
    <x v="0"/>
    <n v="6.4580000000000002"/>
  </r>
  <r>
    <n v="3912"/>
    <x v="12"/>
    <x v="6"/>
    <n v="2"/>
    <n v="-5.798"/>
    <x v="2"/>
    <x v="1"/>
    <x v="0"/>
    <n v="5.798"/>
  </r>
  <r>
    <n v="3913"/>
    <x v="12"/>
    <x v="6"/>
    <n v="2"/>
    <n v="-7.38"/>
    <x v="19"/>
    <x v="1"/>
    <x v="0"/>
    <n v="7.38"/>
  </r>
  <r>
    <n v="3914"/>
    <x v="12"/>
    <x v="6"/>
    <n v="2"/>
    <n v="-84.224000000000004"/>
    <x v="13"/>
    <x v="1"/>
    <x v="0"/>
    <n v="84.224000000000004"/>
  </r>
  <r>
    <n v="3915"/>
    <x v="12"/>
    <x v="6"/>
    <n v="2"/>
    <n v="-9.4920000000000009"/>
    <x v="18"/>
    <x v="1"/>
    <x v="0"/>
    <n v="9.4920000000000009"/>
  </r>
  <r>
    <n v="3916"/>
    <x v="12"/>
    <x v="6"/>
    <n v="2"/>
    <n v="-5.8"/>
    <x v="1"/>
    <x v="1"/>
    <x v="0"/>
    <n v="5.8"/>
  </r>
  <r>
    <n v="3917"/>
    <x v="12"/>
    <x v="6"/>
    <n v="8"/>
    <n v="-7.3340000000000005"/>
    <x v="0"/>
    <x v="0"/>
    <x v="0"/>
    <n v="7.3340000000000005"/>
  </r>
  <r>
    <n v="3918"/>
    <x v="12"/>
    <x v="6"/>
    <n v="12"/>
    <n v="-0.87799999999999989"/>
    <x v="0"/>
    <x v="0"/>
    <x v="0"/>
    <n v="0.87799999999999989"/>
  </r>
  <r>
    <n v="3919"/>
    <x v="12"/>
    <x v="6"/>
    <n v="12"/>
    <n v="-16.336000000000002"/>
    <x v="0"/>
    <x v="0"/>
    <x v="0"/>
    <n v="16.336000000000002"/>
  </r>
  <r>
    <n v="3920"/>
    <x v="12"/>
    <x v="6"/>
    <n v="13"/>
    <n v="-0.85"/>
    <x v="0"/>
    <x v="0"/>
    <x v="0"/>
    <n v="0.85"/>
  </r>
  <r>
    <n v="3921"/>
    <x v="12"/>
    <x v="6"/>
    <n v="14"/>
    <n v="-4.194"/>
    <x v="0"/>
    <x v="0"/>
    <x v="0"/>
    <n v="4.194"/>
  </r>
  <r>
    <n v="3922"/>
    <x v="12"/>
    <x v="6"/>
    <n v="15"/>
    <n v="-1.9600000000000002"/>
    <x v="0"/>
    <x v="0"/>
    <x v="0"/>
    <n v="1.9600000000000002"/>
  </r>
  <r>
    <n v="3923"/>
    <x v="12"/>
    <x v="6"/>
    <n v="15"/>
    <n v="-0.87799999999999989"/>
    <x v="0"/>
    <x v="0"/>
    <x v="0"/>
    <n v="0.87799999999999989"/>
  </r>
  <r>
    <n v="3924"/>
    <x v="12"/>
    <x v="6"/>
    <n v="19"/>
    <n v="-5.0140000000000002"/>
    <x v="0"/>
    <x v="0"/>
    <x v="0"/>
    <n v="5.0140000000000002"/>
  </r>
  <r>
    <n v="3925"/>
    <x v="12"/>
    <x v="6"/>
    <n v="19"/>
    <n v="-0.2"/>
    <x v="2"/>
    <x v="1"/>
    <x v="0"/>
    <n v="0.2"/>
  </r>
  <r>
    <n v="3926"/>
    <x v="12"/>
    <x v="6"/>
    <n v="20"/>
    <n v="-0.87799999999999989"/>
    <x v="0"/>
    <x v="0"/>
    <x v="0"/>
    <n v="0.87799999999999989"/>
  </r>
  <r>
    <n v="3927"/>
    <x v="12"/>
    <x v="6"/>
    <n v="20"/>
    <n v="-4.9320000000000004"/>
    <x v="0"/>
    <x v="0"/>
    <x v="0"/>
    <n v="4.9320000000000004"/>
  </r>
  <r>
    <n v="3928"/>
    <x v="12"/>
    <x v="6"/>
    <n v="21"/>
    <n v="-21.562000000000001"/>
    <x v="0"/>
    <x v="0"/>
    <x v="0"/>
    <n v="21.562000000000001"/>
  </r>
  <r>
    <n v="3929"/>
    <x v="12"/>
    <x v="6"/>
    <n v="22"/>
    <n v="-0.44000000000000006"/>
    <x v="0"/>
    <x v="0"/>
    <x v="0"/>
    <n v="0.44000000000000006"/>
  </r>
  <r>
    <n v="3930"/>
    <x v="12"/>
    <x v="6"/>
    <n v="23"/>
    <n v="-19.196000000000002"/>
    <x v="7"/>
    <x v="5"/>
    <x v="0"/>
    <n v="19.196000000000002"/>
  </r>
  <r>
    <n v="3931"/>
    <x v="12"/>
    <x v="6"/>
    <n v="23"/>
    <n v="-24.48"/>
    <x v="14"/>
    <x v="1"/>
    <x v="0"/>
    <n v="24.48"/>
  </r>
  <r>
    <n v="3932"/>
    <x v="12"/>
    <x v="6"/>
    <n v="24"/>
    <n v="-55.8"/>
    <x v="7"/>
    <x v="5"/>
    <x v="0"/>
    <n v="55.8"/>
  </r>
  <r>
    <n v="3933"/>
    <x v="12"/>
    <x v="6"/>
    <n v="26"/>
    <n v="833.07"/>
    <x v="4"/>
    <x v="3"/>
    <x v="1"/>
    <n v="833.07"/>
  </r>
  <r>
    <n v="3934"/>
    <x v="12"/>
    <x v="6"/>
    <n v="26"/>
    <n v="-2.9980000000000002"/>
    <x v="0"/>
    <x v="0"/>
    <x v="0"/>
    <n v="2.9980000000000002"/>
  </r>
  <r>
    <n v="3935"/>
    <x v="12"/>
    <x v="6"/>
    <n v="26"/>
    <n v="-20"/>
    <x v="7"/>
    <x v="5"/>
    <x v="0"/>
    <n v="20"/>
  </r>
  <r>
    <n v="3936"/>
    <x v="12"/>
    <x v="6"/>
    <n v="27"/>
    <n v="-13.238"/>
    <x v="0"/>
    <x v="0"/>
    <x v="0"/>
    <n v="13.238"/>
  </r>
  <r>
    <n v="3937"/>
    <x v="12"/>
    <x v="6"/>
    <n v="28"/>
    <n v="-1.476"/>
    <x v="0"/>
    <x v="0"/>
    <x v="0"/>
    <n v="1.476"/>
  </r>
  <r>
    <n v="3938"/>
    <x v="12"/>
    <x v="6"/>
    <n v="28"/>
    <n v="-13.669999999999998"/>
    <x v="0"/>
    <x v="0"/>
    <x v="0"/>
    <n v="13.669999999999998"/>
  </r>
  <r>
    <n v="3939"/>
    <x v="12"/>
    <x v="6"/>
    <n v="29"/>
    <n v="-0.87799999999999989"/>
    <x v="0"/>
    <x v="0"/>
    <x v="0"/>
    <n v="0.87799999999999989"/>
  </r>
  <r>
    <n v="3940"/>
    <x v="12"/>
    <x v="6"/>
    <n v="30"/>
    <n v="-1.4"/>
    <x v="2"/>
    <x v="1"/>
    <x v="0"/>
    <n v="1.4"/>
  </r>
  <r>
    <n v="3941"/>
    <x v="12"/>
    <x v="6"/>
    <n v="30"/>
    <n v="6.0000000000000001E-3"/>
    <x v="3"/>
    <x v="2"/>
    <x v="1"/>
    <n v="6.0000000000000001E-3"/>
  </r>
  <r>
    <n v="3942"/>
    <x v="12"/>
    <x v="6"/>
    <n v="30"/>
    <n v="-2E-3"/>
    <x v="2"/>
    <x v="1"/>
    <x v="0"/>
    <n v="2E-3"/>
  </r>
  <r>
    <n v="3943"/>
    <x v="12"/>
    <x v="7"/>
    <n v="1"/>
    <n v="-9.9980000000000011"/>
    <x v="7"/>
    <x v="5"/>
    <x v="0"/>
    <n v="9.9980000000000011"/>
  </r>
  <r>
    <n v="3944"/>
    <x v="12"/>
    <x v="7"/>
    <n v="1"/>
    <n v="-5.8"/>
    <x v="1"/>
    <x v="1"/>
    <x v="0"/>
    <n v="5.8"/>
  </r>
  <r>
    <n v="3945"/>
    <x v="12"/>
    <x v="7"/>
    <n v="1"/>
    <n v="-7.38"/>
    <x v="19"/>
    <x v="1"/>
    <x v="0"/>
    <n v="7.38"/>
  </r>
  <r>
    <n v="3946"/>
    <x v="12"/>
    <x v="7"/>
    <n v="1"/>
    <n v="-84.224000000000004"/>
    <x v="13"/>
    <x v="1"/>
    <x v="0"/>
    <n v="84.224000000000004"/>
  </r>
  <r>
    <n v="3947"/>
    <x v="12"/>
    <x v="7"/>
    <n v="1"/>
    <n v="-189.59"/>
    <x v="15"/>
    <x v="4"/>
    <x v="0"/>
    <n v="189.59"/>
  </r>
  <r>
    <n v="3948"/>
    <x v="12"/>
    <x v="7"/>
    <n v="2"/>
    <n v="272.69600000000003"/>
    <x v="8"/>
    <x v="3"/>
    <x v="1"/>
    <n v="272.69600000000003"/>
  </r>
  <r>
    <n v="3949"/>
    <x v="12"/>
    <x v="7"/>
    <n v="3"/>
    <n v="-0.87799999999999989"/>
    <x v="0"/>
    <x v="0"/>
    <x v="0"/>
    <n v="0.87799999999999989"/>
  </r>
  <r>
    <n v="3950"/>
    <x v="12"/>
    <x v="7"/>
    <n v="3"/>
    <n v="-9.5920000000000005"/>
    <x v="0"/>
    <x v="0"/>
    <x v="0"/>
    <n v="9.5920000000000005"/>
  </r>
  <r>
    <n v="3951"/>
    <x v="12"/>
    <x v="7"/>
    <n v="3"/>
    <n v="-12.382"/>
    <x v="0"/>
    <x v="0"/>
    <x v="0"/>
    <n v="12.382"/>
  </r>
  <r>
    <n v="3952"/>
    <x v="12"/>
    <x v="7"/>
    <n v="4"/>
    <n v="-54.387999999999998"/>
    <x v="15"/>
    <x v="4"/>
    <x v="0"/>
    <n v="54.387999999999998"/>
  </r>
  <r>
    <n v="3953"/>
    <x v="12"/>
    <x v="7"/>
    <n v="5"/>
    <n v="156"/>
    <x v="9"/>
    <x v="3"/>
    <x v="1"/>
    <n v="156"/>
  </r>
  <r>
    <n v="3954"/>
    <x v="12"/>
    <x v="7"/>
    <n v="9"/>
    <n v="-0.87799999999999989"/>
    <x v="0"/>
    <x v="0"/>
    <x v="0"/>
    <n v="0.87799999999999989"/>
  </r>
  <r>
    <n v="3955"/>
    <x v="12"/>
    <x v="7"/>
    <n v="9"/>
    <n v="-1.89"/>
    <x v="0"/>
    <x v="0"/>
    <x v="0"/>
    <n v="1.89"/>
  </r>
  <r>
    <n v="3956"/>
    <x v="12"/>
    <x v="7"/>
    <n v="9"/>
    <n v="-31.032"/>
    <x v="7"/>
    <x v="5"/>
    <x v="0"/>
    <n v="31.032"/>
  </r>
  <r>
    <n v="3957"/>
    <x v="12"/>
    <x v="7"/>
    <n v="9"/>
    <n v="-0.2"/>
    <x v="2"/>
    <x v="1"/>
    <x v="0"/>
    <n v="0.2"/>
  </r>
  <r>
    <n v="3958"/>
    <x v="12"/>
    <x v="7"/>
    <n v="10"/>
    <n v="-0.87799999999999989"/>
    <x v="0"/>
    <x v="0"/>
    <x v="0"/>
    <n v="0.87799999999999989"/>
  </r>
  <r>
    <n v="3959"/>
    <x v="12"/>
    <x v="7"/>
    <n v="10"/>
    <n v="-20.468"/>
    <x v="0"/>
    <x v="0"/>
    <x v="0"/>
    <n v="20.468"/>
  </r>
  <r>
    <n v="3960"/>
    <x v="12"/>
    <x v="7"/>
    <n v="15"/>
    <n v="-65.8"/>
    <x v="7"/>
    <x v="5"/>
    <x v="0"/>
    <n v="65.8"/>
  </r>
  <r>
    <n v="3961"/>
    <x v="12"/>
    <x v="7"/>
    <n v="17"/>
    <n v="-0.96"/>
    <x v="0"/>
    <x v="0"/>
    <x v="0"/>
    <n v="0.96"/>
  </r>
  <r>
    <n v="3962"/>
    <x v="12"/>
    <x v="7"/>
    <n v="18"/>
    <n v="-18.208000000000002"/>
    <x v="0"/>
    <x v="0"/>
    <x v="0"/>
    <n v="18.208000000000002"/>
  </r>
  <r>
    <n v="3963"/>
    <x v="12"/>
    <x v="7"/>
    <n v="20"/>
    <n v="-17.253999999999998"/>
    <x v="16"/>
    <x v="1"/>
    <x v="0"/>
    <n v="17.253999999999998"/>
  </r>
  <r>
    <n v="3964"/>
    <x v="12"/>
    <x v="7"/>
    <n v="20"/>
    <n v="-23.8"/>
    <x v="14"/>
    <x v="1"/>
    <x v="0"/>
    <n v="23.8"/>
  </r>
  <r>
    <n v="3965"/>
    <x v="12"/>
    <x v="7"/>
    <n v="24"/>
    <n v="-7.3340000000000005"/>
    <x v="0"/>
    <x v="0"/>
    <x v="0"/>
    <n v="7.3340000000000005"/>
  </r>
  <r>
    <n v="3966"/>
    <x v="12"/>
    <x v="7"/>
    <n v="24"/>
    <n v="-12.87"/>
    <x v="0"/>
    <x v="0"/>
    <x v="0"/>
    <n v="12.87"/>
  </r>
  <r>
    <n v="3967"/>
    <x v="12"/>
    <x v="7"/>
    <n v="25"/>
    <n v="-1.9"/>
    <x v="0"/>
    <x v="0"/>
    <x v="0"/>
    <n v="1.9"/>
  </r>
  <r>
    <n v="3968"/>
    <x v="12"/>
    <x v="7"/>
    <n v="25"/>
    <n v="-15.462"/>
    <x v="0"/>
    <x v="0"/>
    <x v="0"/>
    <n v="15.462"/>
  </r>
  <r>
    <n v="3969"/>
    <x v="12"/>
    <x v="7"/>
    <n v="26"/>
    <n v="-0.96"/>
    <x v="0"/>
    <x v="0"/>
    <x v="0"/>
    <n v="0.96"/>
  </r>
  <r>
    <n v="3970"/>
    <x v="12"/>
    <x v="7"/>
    <n v="26"/>
    <n v="833.07"/>
    <x v="4"/>
    <x v="3"/>
    <x v="1"/>
    <n v="833.07"/>
  </r>
  <r>
    <n v="3971"/>
    <x v="12"/>
    <x v="7"/>
    <n v="27"/>
    <n v="-59.998000000000005"/>
    <x v="7"/>
    <x v="5"/>
    <x v="0"/>
    <n v="59.998000000000005"/>
  </r>
  <r>
    <n v="3972"/>
    <x v="12"/>
    <x v="7"/>
    <n v="31"/>
    <n v="-1.4"/>
    <x v="2"/>
    <x v="1"/>
    <x v="0"/>
    <n v="1.4"/>
  </r>
  <r>
    <n v="3973"/>
    <x v="12"/>
    <x v="7"/>
    <n v="31"/>
    <n v="-2E-3"/>
    <x v="2"/>
    <x v="1"/>
    <x v="0"/>
    <n v="2E-3"/>
  </r>
  <r>
    <n v="3974"/>
    <x v="12"/>
    <x v="7"/>
    <n v="31"/>
    <n v="0.01"/>
    <x v="3"/>
    <x v="2"/>
    <x v="1"/>
    <n v="0.01"/>
  </r>
  <r>
    <n v="3975"/>
    <x v="12"/>
    <x v="7"/>
    <n v="31"/>
    <n v="-12.862"/>
    <x v="0"/>
    <x v="0"/>
    <x v="0"/>
    <n v="12.862"/>
  </r>
  <r>
    <n v="3976"/>
    <x v="12"/>
    <x v="8"/>
    <n v="1"/>
    <n v="-1.7559999999999998"/>
    <x v="0"/>
    <x v="0"/>
    <x v="0"/>
    <n v="1.7559999999999998"/>
  </r>
  <r>
    <n v="3977"/>
    <x v="12"/>
    <x v="8"/>
    <n v="3"/>
    <n v="-4"/>
    <x v="0"/>
    <x v="0"/>
    <x v="0"/>
    <n v="4"/>
  </r>
  <r>
    <n v="3978"/>
    <x v="12"/>
    <x v="8"/>
    <n v="3"/>
    <n v="-9.9980000000000011"/>
    <x v="7"/>
    <x v="5"/>
    <x v="0"/>
    <n v="9.9980000000000011"/>
  </r>
  <r>
    <n v="3979"/>
    <x v="12"/>
    <x v="8"/>
    <n v="3"/>
    <n v="-7.4580000000000002"/>
    <x v="18"/>
    <x v="1"/>
    <x v="0"/>
    <n v="7.4580000000000002"/>
  </r>
  <r>
    <n v="3980"/>
    <x v="12"/>
    <x v="8"/>
    <n v="3"/>
    <n v="-46.4"/>
    <x v="12"/>
    <x v="1"/>
    <x v="0"/>
    <n v="46.4"/>
  </r>
  <r>
    <n v="3981"/>
    <x v="12"/>
    <x v="8"/>
    <n v="3"/>
    <n v="-6.04"/>
    <x v="1"/>
    <x v="1"/>
    <x v="0"/>
    <n v="6.04"/>
  </r>
  <r>
    <n v="3982"/>
    <x v="12"/>
    <x v="8"/>
    <n v="3"/>
    <n v="-7.38"/>
    <x v="19"/>
    <x v="1"/>
    <x v="0"/>
    <n v="7.38"/>
  </r>
  <r>
    <n v="3983"/>
    <x v="12"/>
    <x v="8"/>
    <n v="3"/>
    <n v="-84.224000000000004"/>
    <x v="6"/>
    <x v="4"/>
    <x v="0"/>
    <n v="84.224000000000004"/>
  </r>
  <r>
    <n v="3984"/>
    <x v="12"/>
    <x v="8"/>
    <n v="10"/>
    <n v="-2.57"/>
    <x v="0"/>
    <x v="0"/>
    <x v="0"/>
    <n v="2.57"/>
  </r>
  <r>
    <n v="3985"/>
    <x v="12"/>
    <x v="8"/>
    <n v="10"/>
    <n v="-49.986000000000004"/>
    <x v="7"/>
    <x v="5"/>
    <x v="0"/>
    <n v="49.986000000000004"/>
  </r>
  <r>
    <n v="3986"/>
    <x v="12"/>
    <x v="8"/>
    <n v="12"/>
    <n v="-115.8"/>
    <x v="0"/>
    <x v="0"/>
    <x v="0"/>
    <n v="115.8"/>
  </r>
  <r>
    <n v="3987"/>
    <x v="12"/>
    <x v="8"/>
    <n v="12"/>
    <n v="-6.4"/>
    <x v="0"/>
    <x v="0"/>
    <x v="0"/>
    <n v="6.4"/>
  </r>
  <r>
    <n v="3988"/>
    <x v="12"/>
    <x v="8"/>
    <n v="12"/>
    <n v="-51.632000000000005"/>
    <x v="7"/>
    <x v="5"/>
    <x v="0"/>
    <n v="51.632000000000005"/>
  </r>
  <r>
    <n v="3989"/>
    <x v="12"/>
    <x v="8"/>
    <n v="13"/>
    <n v="-28.336000000000002"/>
    <x v="7"/>
    <x v="5"/>
    <x v="0"/>
    <n v="28.336000000000002"/>
  </r>
  <r>
    <n v="3990"/>
    <x v="12"/>
    <x v="8"/>
    <n v="13"/>
    <n v="-0.2"/>
    <x v="2"/>
    <x v="1"/>
    <x v="0"/>
    <n v="0.2"/>
  </r>
  <r>
    <n v="3991"/>
    <x v="12"/>
    <x v="8"/>
    <n v="14"/>
    <n v="-52.982000000000006"/>
    <x v="7"/>
    <x v="5"/>
    <x v="0"/>
    <n v="52.982000000000006"/>
  </r>
  <r>
    <n v="3992"/>
    <x v="12"/>
    <x v="8"/>
    <n v="15"/>
    <n v="-5"/>
    <x v="0"/>
    <x v="0"/>
    <x v="0"/>
    <n v="5"/>
  </r>
  <r>
    <n v="3993"/>
    <x v="12"/>
    <x v="8"/>
    <n v="15"/>
    <n v="-5.54"/>
    <x v="0"/>
    <x v="0"/>
    <x v="0"/>
    <n v="5.54"/>
  </r>
  <r>
    <n v="3994"/>
    <x v="12"/>
    <x v="8"/>
    <n v="15"/>
    <n v="-46.966000000000001"/>
    <x v="7"/>
    <x v="5"/>
    <x v="0"/>
    <n v="46.966000000000001"/>
  </r>
  <r>
    <n v="3995"/>
    <x v="12"/>
    <x v="8"/>
    <n v="16"/>
    <n v="-8"/>
    <x v="0"/>
    <x v="0"/>
    <x v="0"/>
    <n v="8"/>
  </r>
  <r>
    <n v="3996"/>
    <x v="12"/>
    <x v="8"/>
    <n v="17"/>
    <n v="-2.6559999999999997"/>
    <x v="0"/>
    <x v="0"/>
    <x v="0"/>
    <n v="2.6559999999999997"/>
  </r>
  <r>
    <n v="3997"/>
    <x v="12"/>
    <x v="8"/>
    <n v="20"/>
    <n v="-0.87799999999999989"/>
    <x v="0"/>
    <x v="0"/>
    <x v="0"/>
    <n v="0.87799999999999989"/>
  </r>
  <r>
    <n v="3998"/>
    <x v="12"/>
    <x v="8"/>
    <n v="20"/>
    <n v="-19.716000000000001"/>
    <x v="7"/>
    <x v="5"/>
    <x v="0"/>
    <n v="19.716000000000001"/>
  </r>
  <r>
    <n v="3999"/>
    <x v="12"/>
    <x v="8"/>
    <n v="21"/>
    <n v="-24.48"/>
    <x v="14"/>
    <x v="1"/>
    <x v="0"/>
    <n v="24.48"/>
  </r>
  <r>
    <n v="4000"/>
    <x v="12"/>
    <x v="8"/>
    <n v="24"/>
    <n v="-2.6339999999999999"/>
    <x v="7"/>
    <x v="5"/>
    <x v="0"/>
    <n v="2.6339999999999999"/>
  </r>
  <r>
    <n v="4001"/>
    <x v="12"/>
    <x v="8"/>
    <n v="24"/>
    <n v="-2.734"/>
    <x v="0"/>
    <x v="0"/>
    <x v="0"/>
    <n v="2.734"/>
  </r>
  <r>
    <n v="4002"/>
    <x v="12"/>
    <x v="8"/>
    <n v="26"/>
    <n v="833.07"/>
    <x v="4"/>
    <x v="3"/>
    <x v="1"/>
    <n v="833.07"/>
  </r>
  <r>
    <n v="4003"/>
    <x v="12"/>
    <x v="8"/>
    <n v="26"/>
    <n v="-24.48"/>
    <x v="7"/>
    <x v="5"/>
    <x v="0"/>
    <n v="24.48"/>
  </r>
  <r>
    <n v="4004"/>
    <x v="12"/>
    <x v="8"/>
    <n v="29"/>
    <n v="-0.87799999999999989"/>
    <x v="0"/>
    <x v="0"/>
    <x v="0"/>
    <n v="0.87799999999999989"/>
  </r>
  <r>
    <n v="4005"/>
    <x v="12"/>
    <x v="8"/>
    <n v="30"/>
    <n v="-1.4"/>
    <x v="2"/>
    <x v="1"/>
    <x v="0"/>
    <n v="1.4"/>
  </r>
  <r>
    <n v="4006"/>
    <x v="12"/>
    <x v="8"/>
    <n v="30"/>
    <n v="6.0000000000000001E-3"/>
    <x v="3"/>
    <x v="2"/>
    <x v="1"/>
    <n v="6.0000000000000001E-3"/>
  </r>
  <r>
    <n v="4007"/>
    <x v="12"/>
    <x v="8"/>
    <n v="30"/>
    <n v="-2E-3"/>
    <x v="2"/>
    <x v="1"/>
    <x v="0"/>
    <n v="2E-3"/>
  </r>
  <r>
    <n v="4008"/>
    <x v="12"/>
    <x v="9"/>
    <n v="1"/>
    <n v="-5.798"/>
    <x v="7"/>
    <x v="5"/>
    <x v="0"/>
    <n v="5.798"/>
  </r>
  <r>
    <n v="4009"/>
    <x v="12"/>
    <x v="9"/>
    <n v="1"/>
    <n v="-5.8"/>
    <x v="1"/>
    <x v="1"/>
    <x v="0"/>
    <n v="5.8"/>
  </r>
  <r>
    <n v="4010"/>
    <x v="12"/>
    <x v="9"/>
    <n v="1"/>
    <n v="-7.38"/>
    <x v="19"/>
    <x v="1"/>
    <x v="0"/>
    <n v="7.38"/>
  </r>
  <r>
    <n v="4011"/>
    <x v="12"/>
    <x v="9"/>
    <n v="1"/>
    <n v="-84.224000000000004"/>
    <x v="13"/>
    <x v="1"/>
    <x v="0"/>
    <n v="84.224000000000004"/>
  </r>
  <r>
    <n v="4012"/>
    <x v="12"/>
    <x v="9"/>
    <n v="1"/>
    <n v="-9.9980000000000011"/>
    <x v="7"/>
    <x v="5"/>
    <x v="0"/>
    <n v="9.9980000000000011"/>
  </r>
  <r>
    <n v="4013"/>
    <x v="12"/>
    <x v="9"/>
    <n v="3"/>
    <n v="-0.08"/>
    <x v="0"/>
    <x v="0"/>
    <x v="0"/>
    <n v="0.08"/>
  </r>
  <r>
    <n v="4014"/>
    <x v="12"/>
    <x v="9"/>
    <n v="4"/>
    <n v="-0.92200000000000004"/>
    <x v="0"/>
    <x v="0"/>
    <x v="0"/>
    <n v="0.92200000000000004"/>
  </r>
  <r>
    <n v="4015"/>
    <x v="12"/>
    <x v="9"/>
    <n v="4"/>
    <n v="-0.87799999999999989"/>
    <x v="0"/>
    <x v="0"/>
    <x v="0"/>
    <n v="0.87799999999999989"/>
  </r>
  <r>
    <n v="4016"/>
    <x v="12"/>
    <x v="9"/>
    <n v="4"/>
    <n v="-15.468"/>
    <x v="0"/>
    <x v="0"/>
    <x v="0"/>
    <n v="15.468"/>
  </r>
  <r>
    <n v="4017"/>
    <x v="12"/>
    <x v="9"/>
    <n v="11"/>
    <n v="-0.98199999999999998"/>
    <x v="0"/>
    <x v="0"/>
    <x v="0"/>
    <n v="0.98199999999999998"/>
  </r>
  <r>
    <n v="4018"/>
    <x v="12"/>
    <x v="9"/>
    <n v="11"/>
    <n v="-0.87799999999999989"/>
    <x v="0"/>
    <x v="0"/>
    <x v="0"/>
    <n v="0.87799999999999989"/>
  </r>
  <r>
    <n v="4019"/>
    <x v="12"/>
    <x v="9"/>
    <n v="11"/>
    <n v="-16.584"/>
    <x v="0"/>
    <x v="0"/>
    <x v="0"/>
    <n v="16.584"/>
  </r>
  <r>
    <n v="4020"/>
    <x v="12"/>
    <x v="9"/>
    <n v="13"/>
    <n v="-0.87799999999999989"/>
    <x v="0"/>
    <x v="0"/>
    <x v="0"/>
    <n v="0.87799999999999989"/>
  </r>
  <r>
    <n v="4021"/>
    <x v="12"/>
    <x v="9"/>
    <n v="18"/>
    <n v="-0.2"/>
    <x v="2"/>
    <x v="1"/>
    <x v="0"/>
    <n v="0.2"/>
  </r>
  <r>
    <n v="4022"/>
    <x v="12"/>
    <x v="9"/>
    <n v="19"/>
    <n v="-0.87799999999999989"/>
    <x v="0"/>
    <x v="0"/>
    <x v="0"/>
    <n v="0.87799999999999989"/>
  </r>
  <r>
    <n v="4023"/>
    <x v="12"/>
    <x v="9"/>
    <n v="19"/>
    <n v="-12.571999999999999"/>
    <x v="0"/>
    <x v="0"/>
    <x v="0"/>
    <n v="12.571999999999999"/>
  </r>
  <r>
    <n v="4024"/>
    <x v="12"/>
    <x v="9"/>
    <n v="22"/>
    <n v="-23.8"/>
    <x v="14"/>
    <x v="1"/>
    <x v="0"/>
    <n v="23.8"/>
  </r>
  <r>
    <n v="4025"/>
    <x v="12"/>
    <x v="9"/>
    <n v="22"/>
    <n v="-21.274000000000001"/>
    <x v="16"/>
    <x v="1"/>
    <x v="0"/>
    <n v="21.274000000000001"/>
  </r>
  <r>
    <n v="4026"/>
    <x v="12"/>
    <x v="9"/>
    <n v="25"/>
    <n v="-0.87799999999999989"/>
    <x v="0"/>
    <x v="0"/>
    <x v="0"/>
    <n v="0.87799999999999989"/>
  </r>
  <r>
    <n v="4027"/>
    <x v="12"/>
    <x v="9"/>
    <n v="25"/>
    <n v="-4.0200000000000005"/>
    <x v="0"/>
    <x v="0"/>
    <x v="0"/>
    <n v="4.0200000000000005"/>
  </r>
  <r>
    <n v="4028"/>
    <x v="12"/>
    <x v="9"/>
    <n v="25"/>
    <n v="-16.303999999999998"/>
    <x v="0"/>
    <x v="0"/>
    <x v="0"/>
    <n v="16.303999999999998"/>
  </r>
  <r>
    <n v="4029"/>
    <x v="12"/>
    <x v="9"/>
    <n v="26"/>
    <n v="873.95799999999997"/>
    <x v="4"/>
    <x v="3"/>
    <x v="1"/>
    <n v="873.95799999999997"/>
  </r>
  <r>
    <n v="4030"/>
    <x v="12"/>
    <x v="9"/>
    <n v="26"/>
    <n v="-5.4939999999999998"/>
    <x v="0"/>
    <x v="0"/>
    <x v="0"/>
    <n v="5.4939999999999998"/>
  </r>
  <r>
    <n v="4031"/>
    <x v="12"/>
    <x v="9"/>
    <n v="26"/>
    <n v="-1.1000000000000001"/>
    <x v="0"/>
    <x v="0"/>
    <x v="0"/>
    <n v="1.1000000000000001"/>
  </r>
  <r>
    <n v="4032"/>
    <x v="12"/>
    <x v="9"/>
    <n v="31"/>
    <n v="2E-3"/>
    <x v="3"/>
    <x v="2"/>
    <x v="1"/>
    <n v="2E-3"/>
  </r>
  <r>
    <n v="4033"/>
    <x v="12"/>
    <x v="9"/>
    <n v="31"/>
    <n v="-1.4"/>
    <x v="2"/>
    <x v="1"/>
    <x v="0"/>
    <n v="1.4"/>
  </r>
  <r>
    <n v="4034"/>
    <x v="12"/>
    <x v="9"/>
    <n v="31"/>
    <n v="782.39"/>
    <x v="9"/>
    <x v="3"/>
    <x v="1"/>
    <n v="782.39"/>
  </r>
  <r>
    <n v="4035"/>
    <x v="12"/>
    <x v="9"/>
    <n v="31"/>
    <n v="-2E-3"/>
    <x v="2"/>
    <x v="1"/>
    <x v="0"/>
    <n v="2E-3"/>
  </r>
  <r>
    <n v="4036"/>
    <x v="12"/>
    <x v="10"/>
    <n v="1"/>
    <n v="-8.2919999999999998"/>
    <x v="18"/>
    <x v="1"/>
    <x v="0"/>
    <n v="8.2919999999999998"/>
  </r>
  <r>
    <n v="4037"/>
    <x v="12"/>
    <x v="10"/>
    <n v="1"/>
    <n v="-15.796000000000001"/>
    <x v="7"/>
    <x v="5"/>
    <x v="0"/>
    <n v="15.796000000000001"/>
  </r>
  <r>
    <n v="4038"/>
    <x v="12"/>
    <x v="10"/>
    <n v="1"/>
    <n v="-5.8"/>
    <x v="1"/>
    <x v="1"/>
    <x v="0"/>
    <n v="5.8"/>
  </r>
  <r>
    <n v="4039"/>
    <x v="12"/>
    <x v="10"/>
    <n v="1"/>
    <n v="-9.9980000000000011"/>
    <x v="7"/>
    <x v="5"/>
    <x v="0"/>
    <n v="9.9980000000000011"/>
  </r>
  <r>
    <n v="4040"/>
    <x v="12"/>
    <x v="10"/>
    <n v="1"/>
    <n v="-84.224000000000004"/>
    <x v="13"/>
    <x v="1"/>
    <x v="0"/>
    <n v="84.224000000000004"/>
  </r>
  <r>
    <n v="4041"/>
    <x v="12"/>
    <x v="10"/>
    <n v="1"/>
    <n v="-7.38"/>
    <x v="19"/>
    <x v="1"/>
    <x v="0"/>
    <n v="7.38"/>
  </r>
  <r>
    <n v="4042"/>
    <x v="12"/>
    <x v="10"/>
    <n v="3"/>
    <n v="-0.97"/>
    <x v="0"/>
    <x v="0"/>
    <x v="0"/>
    <n v="0.97"/>
  </r>
  <r>
    <n v="4043"/>
    <x v="12"/>
    <x v="10"/>
    <n v="3"/>
    <n v="-11.093999999999999"/>
    <x v="0"/>
    <x v="0"/>
    <x v="0"/>
    <n v="11.093999999999999"/>
  </r>
  <r>
    <n v="4044"/>
    <x v="12"/>
    <x v="10"/>
    <n v="7"/>
    <n v="-1.94"/>
    <x v="0"/>
    <x v="0"/>
    <x v="0"/>
    <n v="1.94"/>
  </r>
  <r>
    <n v="4045"/>
    <x v="12"/>
    <x v="10"/>
    <n v="7"/>
    <n v="-25.992000000000001"/>
    <x v="0"/>
    <x v="0"/>
    <x v="0"/>
    <n v="25.992000000000001"/>
  </r>
  <r>
    <n v="4046"/>
    <x v="12"/>
    <x v="10"/>
    <n v="9"/>
    <n v="226.298"/>
    <x v="8"/>
    <x v="3"/>
    <x v="1"/>
    <n v="226.298"/>
  </r>
  <r>
    <n v="4047"/>
    <x v="12"/>
    <x v="10"/>
    <n v="10"/>
    <n v="-8.39"/>
    <x v="7"/>
    <x v="5"/>
    <x v="0"/>
    <n v="8.39"/>
  </r>
  <r>
    <n v="4048"/>
    <x v="12"/>
    <x v="10"/>
    <n v="15"/>
    <n v="-0.2"/>
    <x v="2"/>
    <x v="1"/>
    <x v="0"/>
    <n v="0.2"/>
  </r>
  <r>
    <n v="4049"/>
    <x v="12"/>
    <x v="10"/>
    <n v="17"/>
    <n v="-1.65"/>
    <x v="0"/>
    <x v="0"/>
    <x v="0"/>
    <n v="1.65"/>
  </r>
  <r>
    <n v="4050"/>
    <x v="12"/>
    <x v="10"/>
    <n v="17"/>
    <n v="-16.652000000000001"/>
    <x v="0"/>
    <x v="0"/>
    <x v="0"/>
    <n v="16.652000000000001"/>
  </r>
  <r>
    <n v="4051"/>
    <x v="12"/>
    <x v="10"/>
    <n v="19"/>
    <n v="-47.981999999999999"/>
    <x v="7"/>
    <x v="5"/>
    <x v="0"/>
    <n v="47.981999999999999"/>
  </r>
  <r>
    <n v="4052"/>
    <x v="12"/>
    <x v="10"/>
    <n v="19"/>
    <n v="-57.363999999999997"/>
    <x v="7"/>
    <x v="5"/>
    <x v="0"/>
    <n v="57.363999999999997"/>
  </r>
  <r>
    <n v="4053"/>
    <x v="12"/>
    <x v="10"/>
    <n v="22"/>
    <n v="-4.952"/>
    <x v="0"/>
    <x v="0"/>
    <x v="0"/>
    <n v="4.952"/>
  </r>
  <r>
    <n v="4054"/>
    <x v="12"/>
    <x v="10"/>
    <n v="24"/>
    <n v="-0.52600000000000002"/>
    <x v="0"/>
    <x v="0"/>
    <x v="0"/>
    <n v="0.52600000000000002"/>
  </r>
  <r>
    <n v="4055"/>
    <x v="12"/>
    <x v="10"/>
    <n v="24"/>
    <n v="-13.813999999999998"/>
    <x v="0"/>
    <x v="0"/>
    <x v="0"/>
    <n v="13.813999999999998"/>
  </r>
  <r>
    <n v="4056"/>
    <x v="12"/>
    <x v="10"/>
    <n v="25"/>
    <n v="880.78199999999993"/>
    <x v="4"/>
    <x v="3"/>
    <x v="1"/>
    <n v="880.78199999999993"/>
  </r>
  <r>
    <n v="4057"/>
    <x v="12"/>
    <x v="10"/>
    <n v="26"/>
    <n v="-12.196"/>
    <x v="7"/>
    <x v="5"/>
    <x v="0"/>
    <n v="12.196"/>
  </r>
  <r>
    <n v="4058"/>
    <x v="12"/>
    <x v="10"/>
    <n v="26"/>
    <n v="-24.48"/>
    <x v="7"/>
    <x v="5"/>
    <x v="0"/>
    <n v="24.48"/>
  </r>
  <r>
    <n v="4059"/>
    <x v="12"/>
    <x v="10"/>
    <n v="30"/>
    <n v="4.0000000000000001E-3"/>
    <x v="3"/>
    <x v="2"/>
    <x v="1"/>
    <n v="4.0000000000000001E-3"/>
  </r>
  <r>
    <n v="4060"/>
    <x v="12"/>
    <x v="10"/>
    <n v="30"/>
    <n v="-1.4"/>
    <x v="2"/>
    <x v="1"/>
    <x v="0"/>
    <n v="1.4"/>
  </r>
  <r>
    <n v="4061"/>
    <x v="12"/>
    <x v="10"/>
    <n v="30"/>
    <n v="-2E-3"/>
    <x v="2"/>
    <x v="1"/>
    <x v="0"/>
    <n v="2E-3"/>
  </r>
  <r>
    <n v="4062"/>
    <x v="12"/>
    <x v="10"/>
    <n v="30"/>
    <n v="-27.9"/>
    <x v="0"/>
    <x v="0"/>
    <x v="0"/>
    <n v="27.9"/>
  </r>
  <r>
    <n v="4063"/>
    <x v="12"/>
    <x v="10"/>
    <n v="30"/>
    <n v="-1.968"/>
    <x v="0"/>
    <x v="0"/>
    <x v="0"/>
    <n v="1.968"/>
  </r>
  <r>
    <n v="4064"/>
    <x v="12"/>
    <x v="11"/>
    <n v="1"/>
    <n v="-16.474"/>
    <x v="0"/>
    <x v="0"/>
    <x v="0"/>
    <n v="16.474"/>
  </r>
  <r>
    <n v="4065"/>
    <x v="12"/>
    <x v="11"/>
    <n v="3"/>
    <n v="-5.8"/>
    <x v="1"/>
    <x v="1"/>
    <x v="0"/>
    <n v="5.8"/>
  </r>
  <r>
    <n v="4066"/>
    <x v="12"/>
    <x v="11"/>
    <n v="3"/>
    <n v="-225.054"/>
    <x v="7"/>
    <x v="5"/>
    <x v="0"/>
    <n v="225.054"/>
  </r>
  <r>
    <n v="4067"/>
    <x v="12"/>
    <x v="11"/>
    <n v="3"/>
    <n v="-7.38"/>
    <x v="19"/>
    <x v="1"/>
    <x v="0"/>
    <n v="7.38"/>
  </r>
  <r>
    <n v="4068"/>
    <x v="12"/>
    <x v="11"/>
    <n v="3"/>
    <n v="-9.9980000000000011"/>
    <x v="7"/>
    <x v="5"/>
    <x v="0"/>
    <n v="9.9980000000000011"/>
  </r>
  <r>
    <n v="4069"/>
    <x v="12"/>
    <x v="11"/>
    <n v="3"/>
    <n v="-84.224000000000004"/>
    <x v="13"/>
    <x v="1"/>
    <x v="0"/>
    <n v="84.224000000000004"/>
  </r>
  <r>
    <n v="4070"/>
    <x v="12"/>
    <x v="11"/>
    <n v="9"/>
    <n v="-18.98"/>
    <x v="0"/>
    <x v="0"/>
    <x v="0"/>
    <n v="18.98"/>
  </r>
  <r>
    <n v="4071"/>
    <x v="12"/>
    <x v="11"/>
    <n v="9"/>
    <n v="-1.31"/>
    <x v="0"/>
    <x v="0"/>
    <x v="0"/>
    <n v="1.31"/>
  </r>
  <r>
    <n v="4072"/>
    <x v="12"/>
    <x v="11"/>
    <n v="12"/>
    <n v="-1.08"/>
    <x v="0"/>
    <x v="0"/>
    <x v="0"/>
    <n v="1.08"/>
  </r>
  <r>
    <n v="4073"/>
    <x v="12"/>
    <x v="11"/>
    <n v="12"/>
    <n v="-28.6"/>
    <x v="0"/>
    <x v="0"/>
    <x v="0"/>
    <n v="28.6"/>
  </r>
  <r>
    <n v="4074"/>
    <x v="12"/>
    <x v="11"/>
    <n v="12"/>
    <n v="422.64799999999997"/>
    <x v="8"/>
    <x v="3"/>
    <x v="1"/>
    <n v="422.64799999999997"/>
  </r>
  <r>
    <n v="4075"/>
    <x v="12"/>
    <x v="11"/>
    <n v="13"/>
    <n v="-26.877999999999997"/>
    <x v="7"/>
    <x v="5"/>
    <x v="0"/>
    <n v="26.877999999999997"/>
  </r>
  <r>
    <n v="4076"/>
    <x v="12"/>
    <x v="11"/>
    <n v="14"/>
    <n v="-0.97"/>
    <x v="0"/>
    <x v="0"/>
    <x v="0"/>
    <n v="0.97"/>
  </r>
  <r>
    <n v="4077"/>
    <x v="12"/>
    <x v="11"/>
    <n v="14"/>
    <n v="-37.423999999999999"/>
    <x v="0"/>
    <x v="0"/>
    <x v="0"/>
    <n v="37.423999999999999"/>
  </r>
  <r>
    <n v="4078"/>
    <x v="12"/>
    <x v="11"/>
    <n v="14"/>
    <n v="-0.2"/>
    <x v="2"/>
    <x v="1"/>
    <x v="0"/>
    <n v="0.2"/>
  </r>
  <r>
    <n v="4079"/>
    <x v="12"/>
    <x v="11"/>
    <n v="16"/>
    <n v="-1.1199999999999999"/>
    <x v="0"/>
    <x v="0"/>
    <x v="0"/>
    <n v="1.1199999999999999"/>
  </r>
  <r>
    <n v="4080"/>
    <x v="12"/>
    <x v="11"/>
    <n v="16"/>
    <n v="-3.2960000000000003"/>
    <x v="0"/>
    <x v="0"/>
    <x v="0"/>
    <n v="3.2960000000000003"/>
  </r>
  <r>
    <n v="4081"/>
    <x v="12"/>
    <x v="11"/>
    <n v="16"/>
    <n v="880.78"/>
    <x v="4"/>
    <x v="3"/>
    <x v="1"/>
    <n v="880.78"/>
  </r>
  <r>
    <n v="4082"/>
    <x v="12"/>
    <x v="11"/>
    <n v="19"/>
    <n v="-16.858000000000001"/>
    <x v="0"/>
    <x v="0"/>
    <x v="0"/>
    <n v="16.858000000000001"/>
  </r>
  <r>
    <n v="4083"/>
    <x v="12"/>
    <x v="11"/>
    <n v="21"/>
    <n v="118"/>
    <x v="9"/>
    <x v="3"/>
    <x v="1"/>
    <n v="118"/>
  </r>
  <r>
    <n v="4084"/>
    <x v="12"/>
    <x v="11"/>
    <n v="27"/>
    <n v="-24.48"/>
    <x v="14"/>
    <x v="1"/>
    <x v="0"/>
    <n v="24.48"/>
  </r>
  <r>
    <n v="4085"/>
    <x v="13"/>
    <x v="0"/>
    <n v="1"/>
    <n v="-17.503999999999998"/>
    <x v="16"/>
    <x v="1"/>
    <x v="0"/>
    <n v="17.503999999999998"/>
  </r>
  <r>
    <n v="4086"/>
    <x v="12"/>
    <x v="11"/>
    <n v="29"/>
    <n v="78.774000000000001"/>
    <x v="8"/>
    <x v="3"/>
    <x v="1"/>
    <n v="78.774000000000001"/>
  </r>
  <r>
    <n v="4087"/>
    <x v="12"/>
    <x v="11"/>
    <n v="30"/>
    <n v="-5.7619999999999996"/>
    <x v="0"/>
    <x v="0"/>
    <x v="0"/>
    <n v="5.7619999999999996"/>
  </r>
  <r>
    <n v="4088"/>
    <x v="12"/>
    <x v="11"/>
    <n v="31"/>
    <n v="-1.4"/>
    <x v="2"/>
    <x v="1"/>
    <x v="0"/>
    <n v="1.4"/>
  </r>
  <r>
    <n v="4089"/>
    <x v="12"/>
    <x v="11"/>
    <n v="31"/>
    <n v="8.0000000000000002E-3"/>
    <x v="3"/>
    <x v="2"/>
    <x v="1"/>
    <n v="8.0000000000000002E-3"/>
  </r>
  <r>
    <n v="4090"/>
    <x v="12"/>
    <x v="11"/>
    <n v="31"/>
    <n v="-2E-3"/>
    <x v="2"/>
    <x v="1"/>
    <x v="0"/>
    <n v="2E-3"/>
  </r>
  <r>
    <n v="4091"/>
    <x v="13"/>
    <x v="0"/>
    <n v="2"/>
    <n v="-35.963999999999999"/>
    <x v="0"/>
    <x v="0"/>
    <x v="0"/>
    <n v="35.963999999999999"/>
  </r>
  <r>
    <n v="4092"/>
    <x v="13"/>
    <x v="0"/>
    <n v="3"/>
    <n v="-5.8"/>
    <x v="1"/>
    <x v="1"/>
    <x v="0"/>
    <n v="5.8"/>
  </r>
  <r>
    <n v="4093"/>
    <x v="13"/>
    <x v="0"/>
    <n v="3"/>
    <n v="-7.38"/>
    <x v="19"/>
    <x v="1"/>
    <x v="0"/>
    <n v="7.38"/>
  </r>
  <r>
    <n v="4094"/>
    <x v="13"/>
    <x v="0"/>
    <n v="3"/>
    <n v="-58.98"/>
    <x v="21"/>
    <x v="1"/>
    <x v="0"/>
    <n v="58.98"/>
  </r>
  <r>
    <n v="4095"/>
    <x v="13"/>
    <x v="0"/>
    <n v="3"/>
    <n v="-9.9980000000000011"/>
    <x v="0"/>
    <x v="0"/>
    <x v="0"/>
    <n v="9.9980000000000011"/>
  </r>
  <r>
    <n v="4096"/>
    <x v="13"/>
    <x v="0"/>
    <n v="6"/>
    <n v="-104.06800000000001"/>
    <x v="13"/>
    <x v="1"/>
    <x v="0"/>
    <n v="104.06800000000001"/>
  </r>
  <r>
    <n v="4097"/>
    <x v="13"/>
    <x v="0"/>
    <n v="12"/>
    <n v="-0.97"/>
    <x v="0"/>
    <x v="0"/>
    <x v="0"/>
    <n v="0.97"/>
  </r>
  <r>
    <n v="4098"/>
    <x v="13"/>
    <x v="0"/>
    <n v="13"/>
    <n v="-105.55999999999999"/>
    <x v="7"/>
    <x v="5"/>
    <x v="0"/>
    <n v="105.55999999999999"/>
  </r>
  <r>
    <n v="4099"/>
    <x v="13"/>
    <x v="0"/>
    <n v="17"/>
    <n v="-0.2"/>
    <x v="2"/>
    <x v="1"/>
    <x v="0"/>
    <n v="0.2"/>
  </r>
  <r>
    <n v="4100"/>
    <x v="13"/>
    <x v="0"/>
    <n v="19"/>
    <n v="-2.3079999999999998"/>
    <x v="0"/>
    <x v="0"/>
    <x v="0"/>
    <n v="2.3079999999999998"/>
  </r>
  <r>
    <n v="4101"/>
    <x v="13"/>
    <x v="0"/>
    <n v="26"/>
    <n v="-2.5979999999999999"/>
    <x v="0"/>
    <x v="0"/>
    <x v="0"/>
    <n v="2.5979999999999999"/>
  </r>
  <r>
    <n v="4102"/>
    <x v="13"/>
    <x v="0"/>
    <n v="27"/>
    <n v="880.78"/>
    <x v="4"/>
    <x v="3"/>
    <x v="1"/>
    <n v="880.78"/>
  </r>
  <r>
    <n v="4103"/>
    <x v="13"/>
    <x v="0"/>
    <n v="28"/>
    <n v="-23.8"/>
    <x v="14"/>
    <x v="1"/>
    <x v="0"/>
    <n v="23.8"/>
  </r>
  <r>
    <n v="4104"/>
    <x v="13"/>
    <x v="0"/>
    <n v="31"/>
    <n v="-2E-3"/>
    <x v="2"/>
    <x v="1"/>
    <x v="0"/>
    <n v="2E-3"/>
  </r>
  <r>
    <n v="4105"/>
    <x v="13"/>
    <x v="0"/>
    <n v="31"/>
    <n v="-1.4"/>
    <x v="2"/>
    <x v="1"/>
    <x v="0"/>
    <n v="1.4"/>
  </r>
  <r>
    <n v="4106"/>
    <x v="13"/>
    <x v="0"/>
    <n v="31"/>
    <n v="2E-3"/>
    <x v="3"/>
    <x v="2"/>
    <x v="1"/>
    <n v="2E-3"/>
  </r>
  <r>
    <n v="4107"/>
    <x v="13"/>
    <x v="1"/>
    <n v="1"/>
    <n v="-1.6280000000000001"/>
    <x v="0"/>
    <x v="0"/>
    <x v="0"/>
    <n v="1.6280000000000001"/>
  </r>
  <r>
    <n v="4108"/>
    <x v="13"/>
    <x v="1"/>
    <n v="3"/>
    <n v="-10.8"/>
    <x v="20"/>
    <x v="1"/>
    <x v="0"/>
    <n v="10.8"/>
  </r>
  <r>
    <n v="4109"/>
    <x v="13"/>
    <x v="1"/>
    <n v="3"/>
    <n v="-5.798"/>
    <x v="0"/>
    <x v="0"/>
    <x v="0"/>
    <n v="5.798"/>
  </r>
  <r>
    <n v="4110"/>
    <x v="13"/>
    <x v="1"/>
    <n v="3"/>
    <n v="-5.8"/>
    <x v="1"/>
    <x v="1"/>
    <x v="0"/>
    <n v="5.8"/>
  </r>
  <r>
    <n v="4111"/>
    <x v="13"/>
    <x v="1"/>
    <n v="3"/>
    <n v="-49.998000000000005"/>
    <x v="0"/>
    <x v="0"/>
    <x v="0"/>
    <n v="49.998000000000005"/>
  </r>
  <r>
    <n v="4112"/>
    <x v="13"/>
    <x v="1"/>
    <n v="3"/>
    <n v="-104.06800000000001"/>
    <x v="13"/>
    <x v="1"/>
    <x v="0"/>
    <n v="104.06800000000001"/>
  </r>
  <r>
    <n v="4113"/>
    <x v="13"/>
    <x v="1"/>
    <n v="3"/>
    <n v="-7.38"/>
    <x v="19"/>
    <x v="1"/>
    <x v="0"/>
    <n v="7.38"/>
  </r>
  <r>
    <n v="4114"/>
    <x v="13"/>
    <x v="1"/>
    <n v="8"/>
    <n v="-1.456"/>
    <x v="0"/>
    <x v="0"/>
    <x v="0"/>
    <n v="1.456"/>
  </r>
  <r>
    <n v="4115"/>
    <x v="13"/>
    <x v="1"/>
    <n v="11"/>
    <n v="-81.984000000000009"/>
    <x v="7"/>
    <x v="5"/>
    <x v="0"/>
    <n v="81.984000000000009"/>
  </r>
  <r>
    <n v="4116"/>
    <x v="13"/>
    <x v="1"/>
    <n v="14"/>
    <n v="-0.8"/>
    <x v="2"/>
    <x v="1"/>
    <x v="0"/>
    <n v="0.8"/>
  </r>
  <r>
    <n v="4117"/>
    <x v="13"/>
    <x v="1"/>
    <n v="15"/>
    <n v="-35.75"/>
    <x v="0"/>
    <x v="0"/>
    <x v="0"/>
    <n v="35.75"/>
  </r>
  <r>
    <n v="4118"/>
    <x v="13"/>
    <x v="1"/>
    <n v="16"/>
    <n v="794.08199999999999"/>
    <x v="5"/>
    <x v="3"/>
    <x v="1"/>
    <n v="794.08199999999999"/>
  </r>
  <r>
    <n v="4119"/>
    <x v="13"/>
    <x v="1"/>
    <n v="20"/>
    <n v="63.605999999999995"/>
    <x v="4"/>
    <x v="3"/>
    <x v="1"/>
    <n v="63.605999999999995"/>
  </r>
  <r>
    <n v="4120"/>
    <x v="13"/>
    <x v="1"/>
    <n v="22"/>
    <n v="-1.6280000000000001"/>
    <x v="0"/>
    <x v="0"/>
    <x v="0"/>
    <n v="1.6280000000000001"/>
  </r>
  <r>
    <n v="4121"/>
    <x v="13"/>
    <x v="1"/>
    <n v="22"/>
    <n v="-3.9140000000000001"/>
    <x v="0"/>
    <x v="0"/>
    <x v="0"/>
    <n v="3.9140000000000001"/>
  </r>
  <r>
    <n v="4122"/>
    <x v="13"/>
    <x v="1"/>
    <n v="24"/>
    <n v="-2.63"/>
    <x v="0"/>
    <x v="0"/>
    <x v="0"/>
    <n v="2.63"/>
  </r>
  <r>
    <n v="4123"/>
    <x v="13"/>
    <x v="1"/>
    <n v="24"/>
    <n v="944.39"/>
    <x v="4"/>
    <x v="3"/>
    <x v="1"/>
    <n v="944.39"/>
  </r>
  <r>
    <n v="4124"/>
    <x v="13"/>
    <x v="1"/>
    <n v="25"/>
    <n v="-23.8"/>
    <x v="14"/>
    <x v="1"/>
    <x v="0"/>
    <n v="23.8"/>
  </r>
  <r>
    <n v="4125"/>
    <x v="13"/>
    <x v="1"/>
    <n v="27"/>
    <n v="80.2"/>
    <x v="9"/>
    <x v="3"/>
    <x v="1"/>
    <n v="80.2"/>
  </r>
  <r>
    <n v="4126"/>
    <x v="13"/>
    <x v="1"/>
    <n v="28"/>
    <n v="-1.4"/>
    <x v="2"/>
    <x v="1"/>
    <x v="0"/>
    <n v="1.4"/>
  </r>
  <r>
    <n v="4127"/>
    <x v="13"/>
    <x v="1"/>
    <n v="28"/>
    <n v="6.0000000000000001E-3"/>
    <x v="3"/>
    <x v="2"/>
    <x v="1"/>
    <n v="6.0000000000000001E-3"/>
  </r>
  <r>
    <n v="4128"/>
    <x v="13"/>
    <x v="1"/>
    <n v="28"/>
    <n v="-2E-3"/>
    <x v="2"/>
    <x v="1"/>
    <x v="0"/>
    <n v="2E-3"/>
  </r>
  <r>
    <n v="4129"/>
    <x v="13"/>
    <x v="2"/>
    <n v="1"/>
    <n v="-0.97"/>
    <x v="0"/>
    <x v="0"/>
    <x v="0"/>
    <n v="0.97"/>
  </r>
  <r>
    <n v="4130"/>
    <x v="13"/>
    <x v="2"/>
    <n v="1"/>
    <n v="-4.1139999999999999"/>
    <x v="0"/>
    <x v="0"/>
    <x v="0"/>
    <n v="4.1139999999999999"/>
  </r>
  <r>
    <n v="4131"/>
    <x v="13"/>
    <x v="2"/>
    <n v="1"/>
    <n v="-30.986000000000001"/>
    <x v="7"/>
    <x v="5"/>
    <x v="0"/>
    <n v="30.986000000000001"/>
  </r>
  <r>
    <n v="4132"/>
    <x v="13"/>
    <x v="2"/>
    <n v="4"/>
    <n v="-7.38"/>
    <x v="19"/>
    <x v="1"/>
    <x v="0"/>
    <n v="7.38"/>
  </r>
  <r>
    <n v="4133"/>
    <x v="13"/>
    <x v="2"/>
    <n v="4"/>
    <n v="-5.8"/>
    <x v="1"/>
    <x v="1"/>
    <x v="0"/>
    <n v="5.8"/>
  </r>
  <r>
    <n v="4134"/>
    <x v="13"/>
    <x v="2"/>
    <n v="4"/>
    <n v="-104.06800000000001"/>
    <x v="13"/>
    <x v="1"/>
    <x v="0"/>
    <n v="104.06800000000001"/>
  </r>
  <r>
    <n v="4135"/>
    <x v="13"/>
    <x v="2"/>
    <n v="4"/>
    <n v="-4.9979999999999993"/>
    <x v="0"/>
    <x v="0"/>
    <x v="0"/>
    <n v="4.9979999999999993"/>
  </r>
  <r>
    <n v="4136"/>
    <x v="13"/>
    <x v="2"/>
    <n v="4"/>
    <n v="-8.39"/>
    <x v="18"/>
    <x v="1"/>
    <x v="0"/>
    <n v="8.39"/>
  </r>
  <r>
    <n v="4137"/>
    <x v="13"/>
    <x v="2"/>
    <n v="4"/>
    <n v="-9.9980000000000011"/>
    <x v="0"/>
    <x v="0"/>
    <x v="0"/>
    <n v="9.9980000000000011"/>
  </r>
  <r>
    <n v="4138"/>
    <x v="13"/>
    <x v="2"/>
    <n v="4"/>
    <n v="-24.866"/>
    <x v="16"/>
    <x v="1"/>
    <x v="0"/>
    <n v="24.866"/>
  </r>
  <r>
    <n v="4139"/>
    <x v="13"/>
    <x v="2"/>
    <n v="7"/>
    <n v="-3.5840000000000005"/>
    <x v="0"/>
    <x v="0"/>
    <x v="0"/>
    <n v="3.5840000000000005"/>
  </r>
  <r>
    <n v="4140"/>
    <x v="13"/>
    <x v="2"/>
    <n v="14"/>
    <n v="-0.2"/>
    <x v="2"/>
    <x v="1"/>
    <x v="0"/>
    <n v="0.2"/>
  </r>
  <r>
    <n v="4141"/>
    <x v="13"/>
    <x v="2"/>
    <n v="15"/>
    <n v="-4.5920000000000005"/>
    <x v="0"/>
    <x v="0"/>
    <x v="0"/>
    <n v="4.5920000000000005"/>
  </r>
  <r>
    <n v="4142"/>
    <x v="13"/>
    <x v="2"/>
    <n v="15"/>
    <n v="-3.5640000000000001"/>
    <x v="0"/>
    <x v="0"/>
    <x v="0"/>
    <n v="3.5640000000000001"/>
  </r>
  <r>
    <n v="4143"/>
    <x v="13"/>
    <x v="2"/>
    <n v="17"/>
    <n v="-50.504000000000005"/>
    <x v="7"/>
    <x v="5"/>
    <x v="0"/>
    <n v="50.504000000000005"/>
  </r>
  <r>
    <n v="4144"/>
    <x v="13"/>
    <x v="2"/>
    <n v="22"/>
    <n v="-2.9"/>
    <x v="0"/>
    <x v="0"/>
    <x v="0"/>
    <n v="2.9"/>
  </r>
  <r>
    <n v="4145"/>
    <x v="13"/>
    <x v="2"/>
    <n v="22"/>
    <n v="-1.94"/>
    <x v="0"/>
    <x v="0"/>
    <x v="0"/>
    <n v="1.94"/>
  </r>
  <r>
    <n v="4146"/>
    <x v="13"/>
    <x v="2"/>
    <n v="22"/>
    <n v="-4.2700000000000005"/>
    <x v="0"/>
    <x v="0"/>
    <x v="0"/>
    <n v="4.2700000000000005"/>
  </r>
  <r>
    <n v="4147"/>
    <x v="13"/>
    <x v="2"/>
    <n v="22"/>
    <n v="-14.648"/>
    <x v="0"/>
    <x v="0"/>
    <x v="0"/>
    <n v="14.648"/>
  </r>
  <r>
    <n v="4148"/>
    <x v="13"/>
    <x v="2"/>
    <n v="25"/>
    <n v="-47.998000000000005"/>
    <x v="7"/>
    <x v="5"/>
    <x v="0"/>
    <n v="47.998000000000005"/>
  </r>
  <r>
    <n v="4149"/>
    <x v="13"/>
    <x v="2"/>
    <n v="28"/>
    <n v="-23.8"/>
    <x v="14"/>
    <x v="1"/>
    <x v="0"/>
    <n v="23.8"/>
  </r>
  <r>
    <n v="4150"/>
    <x v="13"/>
    <x v="2"/>
    <n v="28"/>
    <n v="944.38799999999992"/>
    <x v="4"/>
    <x v="3"/>
    <x v="1"/>
    <n v="944.38799999999992"/>
  </r>
  <r>
    <n v="4151"/>
    <x v="13"/>
    <x v="2"/>
    <n v="29"/>
    <n v="-19.771999999999998"/>
    <x v="0"/>
    <x v="0"/>
    <x v="0"/>
    <n v="19.771999999999998"/>
  </r>
  <r>
    <n v="4152"/>
    <x v="13"/>
    <x v="2"/>
    <n v="29"/>
    <n v="-1.94"/>
    <x v="0"/>
    <x v="0"/>
    <x v="0"/>
    <n v="1.94"/>
  </r>
  <r>
    <n v="4153"/>
    <x v="13"/>
    <x v="2"/>
    <n v="31"/>
    <n v="-1.4"/>
    <x v="2"/>
    <x v="1"/>
    <x v="0"/>
    <n v="1.4"/>
  </r>
  <r>
    <n v="4154"/>
    <x v="13"/>
    <x v="2"/>
    <n v="31"/>
    <n v="4.0000000000000001E-3"/>
    <x v="3"/>
    <x v="2"/>
    <x v="1"/>
    <n v="4.0000000000000001E-3"/>
  </r>
  <r>
    <n v="4155"/>
    <x v="13"/>
    <x v="2"/>
    <n v="31"/>
    <n v="-2E-3"/>
    <x v="2"/>
    <x v="1"/>
    <x v="0"/>
    <n v="2E-3"/>
  </r>
  <r>
    <n v="4156"/>
    <x v="13"/>
    <x v="2"/>
    <n v="31"/>
    <n v="-24.369999999999997"/>
    <x v="0"/>
    <x v="0"/>
    <x v="0"/>
    <n v="24.369999999999997"/>
  </r>
  <r>
    <n v="4157"/>
    <x v="13"/>
    <x v="3"/>
    <n v="1"/>
    <n v="-5.8"/>
    <x v="1"/>
    <x v="1"/>
    <x v="0"/>
    <n v="5.8"/>
  </r>
  <r>
    <n v="4158"/>
    <x v="13"/>
    <x v="3"/>
    <n v="1"/>
    <n v="-7.38"/>
    <x v="19"/>
    <x v="1"/>
    <x v="0"/>
    <n v="7.38"/>
  </r>
  <r>
    <n v="4159"/>
    <x v="13"/>
    <x v="3"/>
    <n v="1"/>
    <n v="-104.06800000000001"/>
    <x v="13"/>
    <x v="1"/>
    <x v="0"/>
    <n v="104.06800000000001"/>
  </r>
  <r>
    <n v="4160"/>
    <x v="13"/>
    <x v="3"/>
    <n v="1"/>
    <n v="-9.9980000000000011"/>
    <x v="0"/>
    <x v="0"/>
    <x v="0"/>
    <n v="9.9980000000000011"/>
  </r>
  <r>
    <n v="4161"/>
    <x v="13"/>
    <x v="3"/>
    <n v="1"/>
    <n v="-5.798"/>
    <x v="0"/>
    <x v="0"/>
    <x v="0"/>
    <n v="5.798"/>
  </r>
  <r>
    <n v="4162"/>
    <x v="13"/>
    <x v="3"/>
    <n v="4"/>
    <n v="113.248"/>
    <x v="4"/>
    <x v="3"/>
    <x v="1"/>
    <n v="113.248"/>
  </r>
  <r>
    <n v="4163"/>
    <x v="13"/>
    <x v="3"/>
    <n v="4"/>
    <n v="113.248"/>
    <x v="4"/>
    <x v="3"/>
    <x v="1"/>
    <n v="113.248"/>
  </r>
  <r>
    <n v="4164"/>
    <x v="13"/>
    <x v="3"/>
    <n v="4"/>
    <n v="113.25"/>
    <x v="4"/>
    <x v="3"/>
    <x v="1"/>
    <n v="113.25"/>
  </r>
  <r>
    <n v="4165"/>
    <x v="13"/>
    <x v="3"/>
    <n v="4"/>
    <n v="-11.586"/>
    <x v="0"/>
    <x v="0"/>
    <x v="0"/>
    <n v="11.586"/>
  </r>
  <r>
    <n v="4166"/>
    <x v="13"/>
    <x v="3"/>
    <n v="15"/>
    <n v="-37.833999999999996"/>
    <x v="0"/>
    <x v="0"/>
    <x v="0"/>
    <n v="37.833999999999996"/>
  </r>
  <r>
    <n v="4167"/>
    <x v="13"/>
    <x v="3"/>
    <n v="15"/>
    <n v="-41.8"/>
    <x v="7"/>
    <x v="5"/>
    <x v="0"/>
    <n v="41.8"/>
  </r>
  <r>
    <n v="4168"/>
    <x v="13"/>
    <x v="3"/>
    <n v="18"/>
    <n v="-0.2"/>
    <x v="2"/>
    <x v="1"/>
    <x v="0"/>
    <n v="0.2"/>
  </r>
  <r>
    <n v="4169"/>
    <x v="13"/>
    <x v="3"/>
    <n v="21"/>
    <n v="84.253999999999991"/>
    <x v="8"/>
    <x v="3"/>
    <x v="1"/>
    <n v="84.253999999999991"/>
  </r>
  <r>
    <n v="4170"/>
    <x v="13"/>
    <x v="3"/>
    <n v="21"/>
    <n v="-35.396000000000001"/>
    <x v="0"/>
    <x v="0"/>
    <x v="0"/>
    <n v="35.396000000000001"/>
  </r>
  <r>
    <n v="4171"/>
    <x v="13"/>
    <x v="3"/>
    <n v="21"/>
    <n v="-27.616000000000003"/>
    <x v="7"/>
    <x v="5"/>
    <x v="0"/>
    <n v="27.616000000000003"/>
  </r>
  <r>
    <n v="4172"/>
    <x v="13"/>
    <x v="3"/>
    <n v="22"/>
    <n v="-1.64"/>
    <x v="0"/>
    <x v="0"/>
    <x v="0"/>
    <n v="1.64"/>
  </r>
  <r>
    <n v="4173"/>
    <x v="13"/>
    <x v="3"/>
    <n v="22"/>
    <n v="-4.6079999999999997"/>
    <x v="0"/>
    <x v="0"/>
    <x v="0"/>
    <n v="4.6079999999999997"/>
  </r>
  <r>
    <n v="4174"/>
    <x v="13"/>
    <x v="3"/>
    <n v="24"/>
    <n v="-4.92"/>
    <x v="0"/>
    <x v="0"/>
    <x v="0"/>
    <n v="4.92"/>
  </r>
  <r>
    <n v="4175"/>
    <x v="13"/>
    <x v="3"/>
    <n v="24"/>
    <n v="-2"/>
    <x v="0"/>
    <x v="0"/>
    <x v="0"/>
    <n v="2"/>
  </r>
  <r>
    <n v="4176"/>
    <x v="13"/>
    <x v="3"/>
    <n v="24"/>
    <n v="-105.992"/>
    <x v="7"/>
    <x v="5"/>
    <x v="0"/>
    <n v="105.992"/>
  </r>
  <r>
    <n v="4177"/>
    <x v="13"/>
    <x v="3"/>
    <n v="24"/>
    <n v="-29.302"/>
    <x v="0"/>
    <x v="0"/>
    <x v="0"/>
    <n v="29.302"/>
  </r>
  <r>
    <n v="4178"/>
    <x v="13"/>
    <x v="3"/>
    <n v="26"/>
    <n v="1057.636"/>
    <x v="4"/>
    <x v="3"/>
    <x v="1"/>
    <n v="1057.636"/>
  </r>
  <r>
    <n v="4179"/>
    <x v="13"/>
    <x v="3"/>
    <n v="26"/>
    <n v="-23.8"/>
    <x v="14"/>
    <x v="1"/>
    <x v="0"/>
    <n v="23.8"/>
  </r>
  <r>
    <n v="4180"/>
    <x v="13"/>
    <x v="3"/>
    <n v="26"/>
    <n v="-0.97"/>
    <x v="0"/>
    <x v="0"/>
    <x v="0"/>
    <n v="0.97"/>
  </r>
  <r>
    <n v="4181"/>
    <x v="13"/>
    <x v="3"/>
    <n v="29"/>
    <n v="-1.4"/>
    <x v="2"/>
    <x v="1"/>
    <x v="0"/>
    <n v="1.4"/>
  </r>
  <r>
    <n v="4182"/>
    <x v="13"/>
    <x v="3"/>
    <n v="29"/>
    <n v="6.0000000000000001E-3"/>
    <x v="3"/>
    <x v="2"/>
    <x v="1"/>
    <n v="6.0000000000000001E-3"/>
  </r>
  <r>
    <n v="4183"/>
    <x v="13"/>
    <x v="3"/>
    <n v="29"/>
    <n v="-2E-3"/>
    <x v="2"/>
    <x v="1"/>
    <x v="0"/>
    <n v="2E-3"/>
  </r>
  <r>
    <n v="4184"/>
    <x v="13"/>
    <x v="4"/>
    <n v="1"/>
    <n v="-104.06800000000001"/>
    <x v="13"/>
    <x v="1"/>
    <x v="0"/>
    <n v="104.06800000000001"/>
  </r>
  <r>
    <n v="4185"/>
    <x v="13"/>
    <x v="4"/>
    <n v="1"/>
    <n v="-7.38"/>
    <x v="19"/>
    <x v="1"/>
    <x v="0"/>
    <n v="7.38"/>
  </r>
  <r>
    <n v="4186"/>
    <x v="13"/>
    <x v="4"/>
    <n v="1"/>
    <n v="-5.8"/>
    <x v="1"/>
    <x v="1"/>
    <x v="0"/>
    <n v="5.8"/>
  </r>
  <r>
    <n v="4187"/>
    <x v="13"/>
    <x v="4"/>
    <n v="1"/>
    <n v="-20.791999999999998"/>
    <x v="16"/>
    <x v="1"/>
    <x v="0"/>
    <n v="20.791999999999998"/>
  </r>
  <r>
    <n v="4188"/>
    <x v="13"/>
    <x v="4"/>
    <n v="1"/>
    <n v="-9.9980000000000011"/>
    <x v="0"/>
    <x v="0"/>
    <x v="0"/>
    <n v="9.9980000000000011"/>
  </r>
  <r>
    <n v="4189"/>
    <x v="13"/>
    <x v="4"/>
    <n v="1"/>
    <n v="-46.4"/>
    <x v="12"/>
    <x v="1"/>
    <x v="0"/>
    <n v="46.4"/>
  </r>
  <r>
    <n v="4190"/>
    <x v="13"/>
    <x v="4"/>
    <n v="1"/>
    <n v="-43.4"/>
    <x v="11"/>
    <x v="1"/>
    <x v="0"/>
    <n v="43.4"/>
  </r>
  <r>
    <n v="4191"/>
    <x v="13"/>
    <x v="4"/>
    <n v="1"/>
    <n v="-8.39"/>
    <x v="18"/>
    <x v="1"/>
    <x v="0"/>
    <n v="8.39"/>
  </r>
  <r>
    <n v="4192"/>
    <x v="13"/>
    <x v="4"/>
    <n v="4"/>
    <n v="-79.599999999999994"/>
    <x v="7"/>
    <x v="5"/>
    <x v="0"/>
    <n v="79.599999999999994"/>
  </r>
  <r>
    <n v="4193"/>
    <x v="13"/>
    <x v="4"/>
    <n v="4"/>
    <n v="-46.37"/>
    <x v="0"/>
    <x v="0"/>
    <x v="0"/>
    <n v="46.37"/>
  </r>
  <r>
    <n v="4194"/>
    <x v="13"/>
    <x v="4"/>
    <n v="5"/>
    <n v="-5.2200000000000006"/>
    <x v="0"/>
    <x v="0"/>
    <x v="0"/>
    <n v="5.2200000000000006"/>
  </r>
  <r>
    <n v="4195"/>
    <x v="13"/>
    <x v="4"/>
    <n v="10"/>
    <n v="-2.8980000000000001"/>
    <x v="0"/>
    <x v="0"/>
    <x v="0"/>
    <n v="2.8980000000000001"/>
  </r>
  <r>
    <n v="4196"/>
    <x v="13"/>
    <x v="4"/>
    <n v="16"/>
    <n v="-22.154"/>
    <x v="0"/>
    <x v="0"/>
    <x v="0"/>
    <n v="22.154"/>
  </r>
  <r>
    <n v="4197"/>
    <x v="13"/>
    <x v="4"/>
    <n v="16"/>
    <n v="-0.2"/>
    <x v="2"/>
    <x v="1"/>
    <x v="0"/>
    <n v="0.2"/>
  </r>
  <r>
    <n v="4198"/>
    <x v="13"/>
    <x v="4"/>
    <n v="18"/>
    <n v="-13.644"/>
    <x v="0"/>
    <x v="0"/>
    <x v="0"/>
    <n v="13.644"/>
  </r>
  <r>
    <n v="4199"/>
    <x v="13"/>
    <x v="4"/>
    <n v="25"/>
    <n v="1057.6379999999999"/>
    <x v="4"/>
    <x v="3"/>
    <x v="1"/>
    <n v="1057.6379999999999"/>
  </r>
  <r>
    <n v="4200"/>
    <x v="13"/>
    <x v="4"/>
    <n v="25"/>
    <n v="-4.016"/>
    <x v="0"/>
    <x v="0"/>
    <x v="0"/>
    <n v="4.016"/>
  </r>
  <r>
    <n v="4201"/>
    <x v="13"/>
    <x v="4"/>
    <n v="27"/>
    <n v="-23.8"/>
    <x v="14"/>
    <x v="1"/>
    <x v="0"/>
    <n v="23.8"/>
  </r>
  <r>
    <n v="4202"/>
    <x v="13"/>
    <x v="4"/>
    <n v="31"/>
    <n v="-1.4"/>
    <x v="2"/>
    <x v="1"/>
    <x v="0"/>
    <n v="1.4"/>
  </r>
  <r>
    <n v="4203"/>
    <x v="13"/>
    <x v="4"/>
    <n v="31"/>
    <n v="-2E-3"/>
    <x v="2"/>
    <x v="1"/>
    <x v="0"/>
    <n v="2E-3"/>
  </r>
  <r>
    <n v="4204"/>
    <x v="13"/>
    <x v="4"/>
    <n v="31"/>
    <n v="2E-3"/>
    <x v="3"/>
    <x v="2"/>
    <x v="1"/>
    <n v="2E-3"/>
  </r>
  <r>
    <n v="4205"/>
    <x v="13"/>
    <x v="4"/>
    <n v="31"/>
    <n v="-30"/>
    <x v="0"/>
    <x v="0"/>
    <x v="0"/>
    <n v="30"/>
  </r>
  <r>
    <n v="4206"/>
    <x v="13"/>
    <x v="5"/>
    <n v="1"/>
    <n v="-3.1059999999999999"/>
    <x v="0"/>
    <x v="0"/>
    <x v="0"/>
    <n v="3.1059999999999999"/>
  </r>
  <r>
    <n v="4207"/>
    <x v="13"/>
    <x v="5"/>
    <n v="1"/>
    <n v="-0.97"/>
    <x v="0"/>
    <x v="0"/>
    <x v="0"/>
    <n v="0.97"/>
  </r>
  <r>
    <n v="4208"/>
    <x v="13"/>
    <x v="5"/>
    <n v="2"/>
    <n v="-3.9060000000000001"/>
    <x v="0"/>
    <x v="0"/>
    <x v="0"/>
    <n v="3.9060000000000001"/>
  </r>
  <r>
    <n v="4209"/>
    <x v="13"/>
    <x v="5"/>
    <n v="2"/>
    <n v="-12.884"/>
    <x v="0"/>
    <x v="0"/>
    <x v="0"/>
    <n v="12.884"/>
  </r>
  <r>
    <n v="4210"/>
    <x v="13"/>
    <x v="5"/>
    <n v="2"/>
    <n v="-13.9"/>
    <x v="0"/>
    <x v="0"/>
    <x v="0"/>
    <n v="13.9"/>
  </r>
  <r>
    <n v="4211"/>
    <x v="13"/>
    <x v="5"/>
    <n v="3"/>
    <n v="-4"/>
    <x v="0"/>
    <x v="0"/>
    <x v="0"/>
    <n v="4"/>
  </r>
  <r>
    <n v="4212"/>
    <x v="13"/>
    <x v="5"/>
    <n v="3"/>
    <n v="-5.8"/>
    <x v="1"/>
    <x v="1"/>
    <x v="0"/>
    <n v="5.8"/>
  </r>
  <r>
    <n v="4213"/>
    <x v="13"/>
    <x v="5"/>
    <n v="3"/>
    <n v="-7.38"/>
    <x v="19"/>
    <x v="1"/>
    <x v="0"/>
    <n v="7.38"/>
  </r>
  <r>
    <n v="4214"/>
    <x v="13"/>
    <x v="5"/>
    <n v="3"/>
    <n v="-104.06800000000001"/>
    <x v="13"/>
    <x v="1"/>
    <x v="0"/>
    <n v="104.06800000000001"/>
  </r>
  <r>
    <n v="4215"/>
    <x v="13"/>
    <x v="5"/>
    <n v="3"/>
    <n v="-9.9980000000000011"/>
    <x v="0"/>
    <x v="0"/>
    <x v="0"/>
    <n v="9.9980000000000011"/>
  </r>
  <r>
    <n v="4216"/>
    <x v="13"/>
    <x v="5"/>
    <n v="5"/>
    <n v="-1.94"/>
    <x v="0"/>
    <x v="0"/>
    <x v="0"/>
    <n v="1.94"/>
  </r>
  <r>
    <n v="4217"/>
    <x v="13"/>
    <x v="5"/>
    <n v="5"/>
    <n v="-11.290000000000001"/>
    <x v="0"/>
    <x v="0"/>
    <x v="0"/>
    <n v="11.290000000000001"/>
  </r>
  <r>
    <n v="4218"/>
    <x v="13"/>
    <x v="5"/>
    <n v="7"/>
    <n v="-14.996"/>
    <x v="7"/>
    <x v="5"/>
    <x v="0"/>
    <n v="14.996"/>
  </r>
  <r>
    <n v="4219"/>
    <x v="13"/>
    <x v="5"/>
    <n v="12"/>
    <n v="-2.8"/>
    <x v="0"/>
    <x v="0"/>
    <x v="0"/>
    <n v="2.8"/>
  </r>
  <r>
    <n v="4220"/>
    <x v="13"/>
    <x v="5"/>
    <n v="13"/>
    <n v="-18.481999999999999"/>
    <x v="7"/>
    <x v="5"/>
    <x v="0"/>
    <n v="18.481999999999999"/>
  </r>
  <r>
    <n v="4221"/>
    <x v="13"/>
    <x v="5"/>
    <n v="15"/>
    <n v="-0.97"/>
    <x v="0"/>
    <x v="0"/>
    <x v="0"/>
    <n v="0.97"/>
  </r>
  <r>
    <n v="4222"/>
    <x v="13"/>
    <x v="5"/>
    <n v="15"/>
    <n v="-11.98"/>
    <x v="0"/>
    <x v="0"/>
    <x v="0"/>
    <n v="11.98"/>
  </r>
  <r>
    <n v="4223"/>
    <x v="13"/>
    <x v="5"/>
    <n v="16"/>
    <n v="-4.4000000000000004"/>
    <x v="0"/>
    <x v="0"/>
    <x v="0"/>
    <n v="4.4000000000000004"/>
  </r>
  <r>
    <n v="4224"/>
    <x v="13"/>
    <x v="5"/>
    <n v="19"/>
    <n v="-5.306"/>
    <x v="0"/>
    <x v="0"/>
    <x v="0"/>
    <n v="5.306"/>
  </r>
  <r>
    <n v="4225"/>
    <x v="13"/>
    <x v="5"/>
    <n v="19"/>
    <n v="-0.97"/>
    <x v="0"/>
    <x v="0"/>
    <x v="0"/>
    <n v="0.97"/>
  </r>
  <r>
    <n v="4226"/>
    <x v="13"/>
    <x v="5"/>
    <n v="20"/>
    <n v="-3.8"/>
    <x v="0"/>
    <x v="0"/>
    <x v="0"/>
    <n v="3.8"/>
  </r>
  <r>
    <n v="4227"/>
    <x v="13"/>
    <x v="5"/>
    <n v="20"/>
    <n v="-2.2999999999999998"/>
    <x v="0"/>
    <x v="0"/>
    <x v="0"/>
    <n v="2.2999999999999998"/>
  </r>
  <r>
    <n v="4228"/>
    <x v="13"/>
    <x v="5"/>
    <n v="20"/>
    <n v="-0.2"/>
    <x v="2"/>
    <x v="1"/>
    <x v="0"/>
    <n v="0.2"/>
  </r>
  <r>
    <n v="4229"/>
    <x v="13"/>
    <x v="5"/>
    <n v="21"/>
    <n v="-0.97"/>
    <x v="0"/>
    <x v="0"/>
    <x v="0"/>
    <n v="0.97"/>
  </r>
  <r>
    <n v="4230"/>
    <x v="13"/>
    <x v="5"/>
    <n v="21"/>
    <n v="-16.25"/>
    <x v="0"/>
    <x v="0"/>
    <x v="0"/>
    <n v="16.25"/>
  </r>
  <r>
    <n v="4231"/>
    <x v="13"/>
    <x v="5"/>
    <n v="23"/>
    <n v="-0.52600000000000002"/>
    <x v="0"/>
    <x v="0"/>
    <x v="0"/>
    <n v="0.52600000000000002"/>
  </r>
  <r>
    <n v="4232"/>
    <x v="13"/>
    <x v="5"/>
    <n v="26"/>
    <n v="-24.48"/>
    <x v="14"/>
    <x v="1"/>
    <x v="0"/>
    <n v="24.48"/>
  </r>
  <r>
    <n v="4233"/>
    <x v="13"/>
    <x v="5"/>
    <n v="27"/>
    <n v="-10.91"/>
    <x v="0"/>
    <x v="0"/>
    <x v="0"/>
    <n v="10.91"/>
  </r>
  <r>
    <n v="4234"/>
    <x v="13"/>
    <x v="5"/>
    <n v="27"/>
    <n v="1057.6379999999999"/>
    <x v="4"/>
    <x v="3"/>
    <x v="1"/>
    <n v="1057.6379999999999"/>
  </r>
  <r>
    <n v="4235"/>
    <x v="13"/>
    <x v="5"/>
    <n v="29"/>
    <n v="-1.05"/>
    <x v="0"/>
    <x v="0"/>
    <x v="0"/>
    <n v="1.05"/>
  </r>
  <r>
    <n v="4236"/>
    <x v="13"/>
    <x v="5"/>
    <n v="29"/>
    <n v="-4.5460000000000003"/>
    <x v="0"/>
    <x v="0"/>
    <x v="0"/>
    <n v="4.5460000000000003"/>
  </r>
  <r>
    <n v="4237"/>
    <x v="13"/>
    <x v="5"/>
    <n v="30"/>
    <n v="-1.4"/>
    <x v="2"/>
    <x v="1"/>
    <x v="0"/>
    <n v="1.4"/>
  </r>
  <r>
    <n v="4238"/>
    <x v="13"/>
    <x v="5"/>
    <n v="30"/>
    <n v="4.0000000000000001E-3"/>
    <x v="3"/>
    <x v="2"/>
    <x v="1"/>
    <n v="4.0000000000000001E-3"/>
  </r>
  <r>
    <n v="4239"/>
    <x v="13"/>
    <x v="5"/>
    <n v="30"/>
    <n v="-2E-3"/>
    <x v="2"/>
    <x v="1"/>
    <x v="0"/>
    <n v="2E-3"/>
  </r>
  <r>
    <n v="4240"/>
    <x v="13"/>
    <x v="5"/>
    <n v="30"/>
    <n v="-9.8000000000000007"/>
    <x v="0"/>
    <x v="0"/>
    <x v="0"/>
    <n v="9.8000000000000007"/>
  </r>
  <r>
    <n v="4241"/>
    <x v="13"/>
    <x v="5"/>
    <n v="30"/>
    <n v="-22.263999999999999"/>
    <x v="0"/>
    <x v="0"/>
    <x v="0"/>
    <n v="22.263999999999999"/>
  </r>
  <r>
    <n v="4242"/>
    <x v="13"/>
    <x v="6"/>
    <n v="1"/>
    <n v="-7.4"/>
    <x v="0"/>
    <x v="0"/>
    <x v="0"/>
    <n v="7.4"/>
  </r>
  <r>
    <n v="4243"/>
    <x v="13"/>
    <x v="6"/>
    <n v="1"/>
    <n v="-15.597999999999999"/>
    <x v="0"/>
    <x v="0"/>
    <x v="0"/>
    <n v="15.597999999999999"/>
  </r>
  <r>
    <n v="4244"/>
    <x v="13"/>
    <x v="6"/>
    <n v="1"/>
    <n v="-23.462"/>
    <x v="16"/>
    <x v="1"/>
    <x v="0"/>
    <n v="23.462"/>
  </r>
  <r>
    <n v="4245"/>
    <x v="13"/>
    <x v="6"/>
    <n v="1"/>
    <n v="-5.8"/>
    <x v="1"/>
    <x v="1"/>
    <x v="0"/>
    <n v="5.8"/>
  </r>
  <r>
    <n v="4246"/>
    <x v="13"/>
    <x v="6"/>
    <n v="1"/>
    <n v="-7.38"/>
    <x v="19"/>
    <x v="1"/>
    <x v="0"/>
    <n v="7.38"/>
  </r>
  <r>
    <n v="4247"/>
    <x v="13"/>
    <x v="6"/>
    <n v="1"/>
    <n v="-104.06800000000001"/>
    <x v="13"/>
    <x v="1"/>
    <x v="0"/>
    <n v="104.06800000000001"/>
  </r>
  <r>
    <n v="4248"/>
    <x v="13"/>
    <x v="6"/>
    <n v="1"/>
    <n v="-9.9980000000000011"/>
    <x v="0"/>
    <x v="0"/>
    <x v="0"/>
    <n v="9.9980000000000011"/>
  </r>
  <r>
    <n v="4249"/>
    <x v="13"/>
    <x v="6"/>
    <n v="1"/>
    <n v="-5.6840000000000002"/>
    <x v="18"/>
    <x v="1"/>
    <x v="0"/>
    <n v="5.6840000000000002"/>
  </r>
  <r>
    <n v="4250"/>
    <x v="13"/>
    <x v="6"/>
    <n v="4"/>
    <n v="-1.58"/>
    <x v="0"/>
    <x v="0"/>
    <x v="0"/>
    <n v="1.58"/>
  </r>
  <r>
    <n v="4251"/>
    <x v="13"/>
    <x v="6"/>
    <n v="6"/>
    <n v="-4.8079999999999998"/>
    <x v="0"/>
    <x v="0"/>
    <x v="0"/>
    <n v="4.8079999999999998"/>
  </r>
  <r>
    <n v="4252"/>
    <x v="13"/>
    <x v="6"/>
    <n v="6"/>
    <n v="-14.662000000000001"/>
    <x v="0"/>
    <x v="0"/>
    <x v="0"/>
    <n v="14.662000000000001"/>
  </r>
  <r>
    <n v="4253"/>
    <x v="13"/>
    <x v="6"/>
    <n v="7"/>
    <n v="-1.4"/>
    <x v="0"/>
    <x v="0"/>
    <x v="0"/>
    <n v="1.4"/>
  </r>
  <r>
    <n v="4254"/>
    <x v="13"/>
    <x v="6"/>
    <n v="10"/>
    <n v="-0.48600000000000004"/>
    <x v="0"/>
    <x v="0"/>
    <x v="0"/>
    <n v="0.48600000000000004"/>
  </r>
  <r>
    <n v="4255"/>
    <x v="13"/>
    <x v="6"/>
    <n v="11"/>
    <n v="-6"/>
    <x v="0"/>
    <x v="0"/>
    <x v="0"/>
    <n v="6"/>
  </r>
  <r>
    <n v="4256"/>
    <x v="13"/>
    <x v="6"/>
    <n v="13"/>
    <n v="-1.94"/>
    <x v="0"/>
    <x v="0"/>
    <x v="0"/>
    <n v="1.94"/>
  </r>
  <r>
    <n v="4257"/>
    <x v="13"/>
    <x v="6"/>
    <n v="13"/>
    <n v="-11.248000000000001"/>
    <x v="0"/>
    <x v="0"/>
    <x v="0"/>
    <n v="11.248000000000001"/>
  </r>
  <r>
    <n v="4258"/>
    <x v="13"/>
    <x v="6"/>
    <n v="14"/>
    <n v="-5.9359999999999999"/>
    <x v="0"/>
    <x v="0"/>
    <x v="0"/>
    <n v="5.9359999999999999"/>
  </r>
  <r>
    <n v="4259"/>
    <x v="13"/>
    <x v="6"/>
    <n v="14"/>
    <n v="-7.9"/>
    <x v="0"/>
    <x v="0"/>
    <x v="0"/>
    <n v="7.9"/>
  </r>
  <r>
    <n v="4260"/>
    <x v="13"/>
    <x v="6"/>
    <n v="14"/>
    <n v="248.96799999999999"/>
    <x v="8"/>
    <x v="3"/>
    <x v="1"/>
    <n v="248.96799999999999"/>
  </r>
  <r>
    <n v="4261"/>
    <x v="13"/>
    <x v="6"/>
    <n v="18"/>
    <n v="-0.97"/>
    <x v="0"/>
    <x v="0"/>
    <x v="0"/>
    <n v="0.97"/>
  </r>
  <r>
    <n v="4262"/>
    <x v="13"/>
    <x v="6"/>
    <n v="18"/>
    <n v="-0.2"/>
    <x v="2"/>
    <x v="1"/>
    <x v="0"/>
    <n v="0.2"/>
  </r>
  <r>
    <n v="4263"/>
    <x v="13"/>
    <x v="6"/>
    <n v="19"/>
    <n v="-23.869999999999997"/>
    <x v="0"/>
    <x v="0"/>
    <x v="0"/>
    <n v="23.869999999999997"/>
  </r>
  <r>
    <n v="4264"/>
    <x v="13"/>
    <x v="6"/>
    <n v="19"/>
    <n v="-3.55"/>
    <x v="0"/>
    <x v="0"/>
    <x v="0"/>
    <n v="3.55"/>
  </r>
  <r>
    <n v="4265"/>
    <x v="13"/>
    <x v="6"/>
    <n v="20"/>
    <n v="-10.168000000000001"/>
    <x v="0"/>
    <x v="0"/>
    <x v="0"/>
    <n v="10.168000000000001"/>
  </r>
  <r>
    <n v="4266"/>
    <x v="13"/>
    <x v="6"/>
    <n v="21"/>
    <n v="-9.5"/>
    <x v="0"/>
    <x v="0"/>
    <x v="0"/>
    <n v="9.5"/>
  </r>
  <r>
    <n v="4267"/>
    <x v="13"/>
    <x v="6"/>
    <n v="21"/>
    <n v="-7.4599999999999991"/>
    <x v="0"/>
    <x v="0"/>
    <x v="0"/>
    <n v="7.4599999999999991"/>
  </r>
  <r>
    <n v="4268"/>
    <x v="13"/>
    <x v="6"/>
    <n v="23"/>
    <n v="-24.48"/>
    <x v="14"/>
    <x v="1"/>
    <x v="0"/>
    <n v="24.48"/>
  </r>
  <r>
    <n v="4269"/>
    <x v="13"/>
    <x v="6"/>
    <n v="24"/>
    <n v="-0.97"/>
    <x v="0"/>
    <x v="0"/>
    <x v="0"/>
    <n v="0.97"/>
  </r>
  <r>
    <n v="4270"/>
    <x v="13"/>
    <x v="6"/>
    <n v="26"/>
    <n v="1057.6379999999999"/>
    <x v="4"/>
    <x v="3"/>
    <x v="1"/>
    <n v="1057.6379999999999"/>
  </r>
  <r>
    <n v="4271"/>
    <x v="13"/>
    <x v="6"/>
    <n v="27"/>
    <n v="-6.3259999999999996"/>
    <x v="0"/>
    <x v="0"/>
    <x v="0"/>
    <n v="6.3259999999999996"/>
  </r>
  <r>
    <n v="4272"/>
    <x v="13"/>
    <x v="6"/>
    <n v="27"/>
    <n v="-0.97"/>
    <x v="0"/>
    <x v="0"/>
    <x v="0"/>
    <n v="0.97"/>
  </r>
  <r>
    <n v="4273"/>
    <x v="13"/>
    <x v="6"/>
    <n v="27"/>
    <n v="-18.802"/>
    <x v="0"/>
    <x v="0"/>
    <x v="0"/>
    <n v="18.802"/>
  </r>
  <r>
    <n v="4274"/>
    <x v="13"/>
    <x v="6"/>
    <n v="28"/>
    <n v="-2.62"/>
    <x v="0"/>
    <x v="0"/>
    <x v="0"/>
    <n v="2.62"/>
  </r>
  <r>
    <n v="4275"/>
    <x v="13"/>
    <x v="7"/>
    <n v="1"/>
    <n v="-7.38"/>
    <x v="19"/>
    <x v="1"/>
    <x v="0"/>
    <n v="7.38"/>
  </r>
  <r>
    <n v="4276"/>
    <x v="13"/>
    <x v="7"/>
    <n v="1"/>
    <n v="-5.8"/>
    <x v="1"/>
    <x v="1"/>
    <x v="0"/>
    <n v="5.8"/>
  </r>
  <r>
    <n v="4277"/>
    <x v="13"/>
    <x v="7"/>
    <n v="1"/>
    <n v="-5.798"/>
    <x v="7"/>
    <x v="5"/>
    <x v="0"/>
    <n v="5.798"/>
  </r>
  <r>
    <n v="4278"/>
    <x v="13"/>
    <x v="7"/>
    <n v="1"/>
    <n v="-9.9980000000000011"/>
    <x v="7"/>
    <x v="5"/>
    <x v="0"/>
    <n v="9.9980000000000011"/>
  </r>
  <r>
    <n v="4279"/>
    <x v="13"/>
    <x v="7"/>
    <n v="1"/>
    <n v="-104.06800000000001"/>
    <x v="13"/>
    <x v="1"/>
    <x v="0"/>
    <n v="104.06800000000001"/>
  </r>
  <r>
    <n v="4280"/>
    <x v="13"/>
    <x v="6"/>
    <n v="31"/>
    <n v="-1.4"/>
    <x v="2"/>
    <x v="1"/>
    <x v="0"/>
    <n v="1.4"/>
  </r>
  <r>
    <n v="4281"/>
    <x v="13"/>
    <x v="6"/>
    <n v="31"/>
    <n v="4.0000000000000001E-3"/>
    <x v="3"/>
    <x v="2"/>
    <x v="1"/>
    <n v="4.0000000000000001E-3"/>
  </r>
  <r>
    <n v="4282"/>
    <x v="13"/>
    <x v="6"/>
    <n v="31"/>
    <n v="-2E-3"/>
    <x v="2"/>
    <x v="1"/>
    <x v="0"/>
    <n v="2E-3"/>
  </r>
  <r>
    <n v="4283"/>
    <x v="13"/>
    <x v="7"/>
    <n v="1"/>
    <n v="-4.38"/>
    <x v="0"/>
    <x v="0"/>
    <x v="0"/>
    <n v="4.38"/>
  </r>
  <r>
    <n v="4284"/>
    <x v="13"/>
    <x v="7"/>
    <n v="1"/>
    <n v="-2.4140000000000001"/>
    <x v="0"/>
    <x v="0"/>
    <x v="0"/>
    <n v="2.4140000000000001"/>
  </r>
  <r>
    <n v="4285"/>
    <x v="13"/>
    <x v="7"/>
    <n v="2"/>
    <n v="-23.192"/>
    <x v="0"/>
    <x v="0"/>
    <x v="0"/>
    <n v="23.192"/>
  </r>
  <r>
    <n v="4286"/>
    <x v="13"/>
    <x v="7"/>
    <n v="3"/>
    <n v="-0.97"/>
    <x v="0"/>
    <x v="0"/>
    <x v="0"/>
    <n v="0.97"/>
  </r>
  <r>
    <n v="4287"/>
    <x v="13"/>
    <x v="7"/>
    <n v="4"/>
    <n v="-11.687999999999999"/>
    <x v="0"/>
    <x v="0"/>
    <x v="0"/>
    <n v="11.687999999999999"/>
  </r>
  <r>
    <n v="4288"/>
    <x v="13"/>
    <x v="7"/>
    <n v="8"/>
    <n v="-0.97"/>
    <x v="0"/>
    <x v="0"/>
    <x v="0"/>
    <n v="0.97"/>
  </r>
  <r>
    <n v="4289"/>
    <x v="13"/>
    <x v="7"/>
    <n v="8"/>
    <n v="-18.295999999999999"/>
    <x v="0"/>
    <x v="0"/>
    <x v="0"/>
    <n v="18.295999999999999"/>
  </r>
  <r>
    <n v="4290"/>
    <x v="13"/>
    <x v="7"/>
    <n v="9"/>
    <n v="-4.766"/>
    <x v="0"/>
    <x v="0"/>
    <x v="0"/>
    <n v="4.766"/>
  </r>
  <r>
    <n v="4291"/>
    <x v="13"/>
    <x v="7"/>
    <n v="9"/>
    <n v="-0.97"/>
    <x v="0"/>
    <x v="0"/>
    <x v="0"/>
    <n v="0.97"/>
  </r>
  <r>
    <n v="4292"/>
    <x v="13"/>
    <x v="7"/>
    <n v="9"/>
    <n v="-26.207999999999998"/>
    <x v="7"/>
    <x v="5"/>
    <x v="0"/>
    <n v="26.207999999999998"/>
  </r>
  <r>
    <n v="4293"/>
    <x v="13"/>
    <x v="7"/>
    <n v="16"/>
    <n v="-10.215999999999999"/>
    <x v="0"/>
    <x v="0"/>
    <x v="0"/>
    <n v="10.215999999999999"/>
  </r>
  <r>
    <n v="4294"/>
    <x v="13"/>
    <x v="7"/>
    <n v="16"/>
    <n v="-0.97"/>
    <x v="0"/>
    <x v="0"/>
    <x v="0"/>
    <n v="0.97"/>
  </r>
  <r>
    <n v="4295"/>
    <x v="13"/>
    <x v="7"/>
    <n v="17"/>
    <n v="-11.872"/>
    <x v="0"/>
    <x v="0"/>
    <x v="0"/>
    <n v="11.872"/>
  </r>
  <r>
    <n v="4296"/>
    <x v="13"/>
    <x v="7"/>
    <n v="21"/>
    <n v="-0.2"/>
    <x v="2"/>
    <x v="1"/>
    <x v="0"/>
    <n v="0.2"/>
  </r>
  <r>
    <n v="4297"/>
    <x v="13"/>
    <x v="7"/>
    <n v="22"/>
    <n v="-11.526"/>
    <x v="0"/>
    <x v="0"/>
    <x v="0"/>
    <n v="11.526"/>
  </r>
  <r>
    <n v="4298"/>
    <x v="13"/>
    <x v="7"/>
    <n v="22"/>
    <n v="-1.58"/>
    <x v="0"/>
    <x v="0"/>
    <x v="0"/>
    <n v="1.58"/>
  </r>
  <r>
    <n v="4299"/>
    <x v="13"/>
    <x v="7"/>
    <n v="23"/>
    <n v="-5.556"/>
    <x v="0"/>
    <x v="0"/>
    <x v="0"/>
    <n v="5.556"/>
  </r>
  <r>
    <n v="4300"/>
    <x v="13"/>
    <x v="7"/>
    <n v="23"/>
    <n v="-0.97"/>
    <x v="0"/>
    <x v="0"/>
    <x v="0"/>
    <n v="0.97"/>
  </r>
  <r>
    <n v="4301"/>
    <x v="13"/>
    <x v="7"/>
    <n v="23"/>
    <n v="-14.687999999999999"/>
    <x v="0"/>
    <x v="0"/>
    <x v="0"/>
    <n v="14.687999999999999"/>
  </r>
  <r>
    <n v="4302"/>
    <x v="13"/>
    <x v="7"/>
    <n v="24"/>
    <n v="-22.896000000000001"/>
    <x v="7"/>
    <x v="5"/>
    <x v="0"/>
    <n v="22.896000000000001"/>
  </r>
  <r>
    <n v="4303"/>
    <x v="13"/>
    <x v="7"/>
    <n v="25"/>
    <n v="-0.97"/>
    <x v="0"/>
    <x v="0"/>
    <x v="0"/>
    <n v="0.97"/>
  </r>
  <r>
    <n v="4304"/>
    <x v="13"/>
    <x v="7"/>
    <n v="25"/>
    <n v="1057.6379999999999"/>
    <x v="4"/>
    <x v="3"/>
    <x v="1"/>
    <n v="1057.6379999999999"/>
  </r>
  <r>
    <n v="4305"/>
    <x v="13"/>
    <x v="7"/>
    <n v="26"/>
    <n v="-23.8"/>
    <x v="14"/>
    <x v="1"/>
    <x v="0"/>
    <n v="23.8"/>
  </r>
  <r>
    <n v="4306"/>
    <x v="13"/>
    <x v="7"/>
    <n v="31"/>
    <n v="4.0000000000000001E-3"/>
    <x v="3"/>
    <x v="2"/>
    <x v="1"/>
    <n v="4.0000000000000001E-3"/>
  </r>
  <r>
    <n v="4307"/>
    <x v="13"/>
    <x v="7"/>
    <n v="31"/>
    <n v="-1.4"/>
    <x v="2"/>
    <x v="1"/>
    <x v="0"/>
    <n v="1.4"/>
  </r>
  <r>
    <n v="4308"/>
    <x v="13"/>
    <x v="7"/>
    <n v="31"/>
    <n v="-44.85"/>
    <x v="0"/>
    <x v="0"/>
    <x v="0"/>
    <n v="44.85"/>
  </r>
  <r>
    <n v="4309"/>
    <x v="13"/>
    <x v="7"/>
    <n v="31"/>
    <n v="-2E-3"/>
    <x v="2"/>
    <x v="1"/>
    <x v="0"/>
    <n v="2E-3"/>
  </r>
  <r>
    <n v="4310"/>
    <x v="13"/>
    <x v="8"/>
    <n v="1"/>
    <n v="-10.632"/>
    <x v="0"/>
    <x v="0"/>
    <x v="0"/>
    <n v="10.632"/>
  </r>
  <r>
    <n v="4311"/>
    <x v="13"/>
    <x v="8"/>
    <n v="1"/>
    <n v="-9.34"/>
    <x v="0"/>
    <x v="0"/>
    <x v="0"/>
    <n v="9.34"/>
  </r>
  <r>
    <n v="4312"/>
    <x v="13"/>
    <x v="8"/>
    <n v="1"/>
    <n v="-10.373999999999999"/>
    <x v="0"/>
    <x v="0"/>
    <x v="0"/>
    <n v="10.373999999999999"/>
  </r>
  <r>
    <n v="4313"/>
    <x v="13"/>
    <x v="8"/>
    <n v="2"/>
    <n v="-104.06800000000001"/>
    <x v="13"/>
    <x v="1"/>
    <x v="0"/>
    <n v="104.06800000000001"/>
  </r>
  <r>
    <n v="4314"/>
    <x v="13"/>
    <x v="8"/>
    <n v="2"/>
    <n v="-46.4"/>
    <x v="12"/>
    <x v="1"/>
    <x v="0"/>
    <n v="46.4"/>
  </r>
  <r>
    <n v="4315"/>
    <x v="13"/>
    <x v="8"/>
    <n v="2"/>
    <n v="-5.8"/>
    <x v="1"/>
    <x v="1"/>
    <x v="0"/>
    <n v="5.8"/>
  </r>
  <r>
    <n v="4316"/>
    <x v="13"/>
    <x v="8"/>
    <n v="2"/>
    <n v="-7.38"/>
    <x v="19"/>
    <x v="1"/>
    <x v="0"/>
    <n v="7.38"/>
  </r>
  <r>
    <n v="4317"/>
    <x v="13"/>
    <x v="8"/>
    <n v="2"/>
    <n v="-63.998000000000005"/>
    <x v="7"/>
    <x v="5"/>
    <x v="0"/>
    <n v="63.998000000000005"/>
  </r>
  <r>
    <n v="4318"/>
    <x v="13"/>
    <x v="8"/>
    <n v="2"/>
    <n v="-8.4640000000000004"/>
    <x v="18"/>
    <x v="1"/>
    <x v="0"/>
    <n v="8.4640000000000004"/>
  </r>
  <r>
    <n v="4319"/>
    <x v="13"/>
    <x v="8"/>
    <n v="2"/>
    <n v="-9.9980000000000011"/>
    <x v="7"/>
    <x v="5"/>
    <x v="0"/>
    <n v="9.9980000000000011"/>
  </r>
  <r>
    <n v="4320"/>
    <x v="13"/>
    <x v="8"/>
    <n v="2"/>
    <n v="-20.045999999999999"/>
    <x v="16"/>
    <x v="1"/>
    <x v="0"/>
    <n v="20.045999999999999"/>
  </r>
  <r>
    <n v="4321"/>
    <x v="13"/>
    <x v="8"/>
    <n v="4"/>
    <n v="-45.495999999999995"/>
    <x v="0"/>
    <x v="0"/>
    <x v="0"/>
    <n v="45.495999999999995"/>
  </r>
  <r>
    <n v="4322"/>
    <x v="13"/>
    <x v="8"/>
    <n v="5"/>
    <n v="-15.084"/>
    <x v="0"/>
    <x v="0"/>
    <x v="0"/>
    <n v="15.084"/>
  </r>
  <r>
    <n v="4323"/>
    <x v="13"/>
    <x v="8"/>
    <n v="6"/>
    <n v="-32.195999999999998"/>
    <x v="7"/>
    <x v="5"/>
    <x v="0"/>
    <n v="32.195999999999998"/>
  </r>
  <r>
    <n v="4324"/>
    <x v="13"/>
    <x v="8"/>
    <n v="8"/>
    <n v="-33.832000000000001"/>
    <x v="0"/>
    <x v="0"/>
    <x v="0"/>
    <n v="33.832000000000001"/>
  </r>
  <r>
    <n v="4325"/>
    <x v="13"/>
    <x v="8"/>
    <n v="11"/>
    <n v="-6.0020000000000007"/>
    <x v="0"/>
    <x v="0"/>
    <x v="0"/>
    <n v="6.0020000000000007"/>
  </r>
  <r>
    <n v="4326"/>
    <x v="13"/>
    <x v="8"/>
    <n v="11"/>
    <n v="-0.2"/>
    <x v="2"/>
    <x v="1"/>
    <x v="0"/>
    <n v="0.2"/>
  </r>
  <r>
    <n v="4327"/>
    <x v="13"/>
    <x v="8"/>
    <n v="13"/>
    <n v="-27.8"/>
    <x v="7"/>
    <x v="5"/>
    <x v="0"/>
    <n v="27.8"/>
  </r>
  <r>
    <n v="4328"/>
    <x v="13"/>
    <x v="8"/>
    <n v="14"/>
    <n v="-26.827999999999996"/>
    <x v="0"/>
    <x v="0"/>
    <x v="0"/>
    <n v="26.827999999999996"/>
  </r>
  <r>
    <n v="4329"/>
    <x v="13"/>
    <x v="8"/>
    <n v="20"/>
    <n v="-3.4240000000000004"/>
    <x v="0"/>
    <x v="0"/>
    <x v="0"/>
    <n v="3.4240000000000004"/>
  </r>
  <r>
    <n v="4330"/>
    <x v="13"/>
    <x v="8"/>
    <n v="20"/>
    <n v="-16.059999999999999"/>
    <x v="0"/>
    <x v="0"/>
    <x v="0"/>
    <n v="16.059999999999999"/>
  </r>
  <r>
    <n v="4331"/>
    <x v="13"/>
    <x v="8"/>
    <n v="26"/>
    <n v="1057.6379999999999"/>
    <x v="4"/>
    <x v="3"/>
    <x v="1"/>
    <n v="1057.6379999999999"/>
  </r>
  <r>
    <n v="4332"/>
    <x v="13"/>
    <x v="8"/>
    <n v="26"/>
    <n v="-24.48"/>
    <x v="14"/>
    <x v="1"/>
    <x v="0"/>
    <n v="24.48"/>
  </r>
  <r>
    <n v="4333"/>
    <x v="13"/>
    <x v="8"/>
    <n v="26"/>
    <n v="-6.1959999999999997"/>
    <x v="0"/>
    <x v="0"/>
    <x v="0"/>
    <n v="6.1959999999999997"/>
  </r>
  <r>
    <n v="4334"/>
    <x v="13"/>
    <x v="8"/>
    <n v="26"/>
    <n v="-0.97"/>
    <x v="0"/>
    <x v="0"/>
    <x v="0"/>
    <n v="0.97"/>
  </r>
  <r>
    <n v="4335"/>
    <x v="13"/>
    <x v="8"/>
    <n v="28"/>
    <n v="186.41800000000001"/>
    <x v="8"/>
    <x v="3"/>
    <x v="1"/>
    <n v="186.41800000000001"/>
  </r>
  <r>
    <n v="4336"/>
    <x v="13"/>
    <x v="8"/>
    <n v="29"/>
    <n v="168"/>
    <x v="9"/>
    <x v="3"/>
    <x v="1"/>
    <n v="168"/>
  </r>
  <r>
    <n v="4337"/>
    <x v="13"/>
    <x v="8"/>
    <n v="30"/>
    <n v="-1.4"/>
    <x v="2"/>
    <x v="1"/>
    <x v="0"/>
    <n v="1.4"/>
  </r>
  <r>
    <n v="4338"/>
    <x v="13"/>
    <x v="8"/>
    <n v="30"/>
    <n v="4.0000000000000001E-3"/>
    <x v="3"/>
    <x v="2"/>
    <x v="1"/>
    <n v="4.0000000000000001E-3"/>
  </r>
  <r>
    <n v="4339"/>
    <x v="13"/>
    <x v="8"/>
    <n v="30"/>
    <n v="-2E-3"/>
    <x v="2"/>
    <x v="1"/>
    <x v="0"/>
    <n v="2E-3"/>
  </r>
  <r>
    <n v="4340"/>
    <x v="13"/>
    <x v="9"/>
    <n v="2"/>
    <n v="-5.8"/>
    <x v="1"/>
    <x v="1"/>
    <x v="0"/>
    <n v="5.8"/>
  </r>
  <r>
    <n v="4341"/>
    <x v="13"/>
    <x v="9"/>
    <n v="2"/>
    <n v="-7.38"/>
    <x v="19"/>
    <x v="1"/>
    <x v="0"/>
    <n v="7.38"/>
  </r>
  <r>
    <n v="4342"/>
    <x v="13"/>
    <x v="9"/>
    <n v="2"/>
    <n v="-104.06800000000001"/>
    <x v="13"/>
    <x v="1"/>
    <x v="0"/>
    <n v="104.06800000000001"/>
  </r>
  <r>
    <n v="4343"/>
    <x v="13"/>
    <x v="9"/>
    <n v="2"/>
    <n v="-9.9980000000000011"/>
    <x v="7"/>
    <x v="5"/>
    <x v="0"/>
    <n v="9.9980000000000011"/>
  </r>
  <r>
    <n v="4344"/>
    <x v="13"/>
    <x v="9"/>
    <n v="2"/>
    <n v="-4"/>
    <x v="7"/>
    <x v="5"/>
    <x v="0"/>
    <n v="4"/>
  </r>
  <r>
    <n v="4345"/>
    <x v="13"/>
    <x v="9"/>
    <n v="10"/>
    <n v="-5.8100000000000005"/>
    <x v="0"/>
    <x v="0"/>
    <x v="0"/>
    <n v="5.8100000000000005"/>
  </r>
  <r>
    <n v="4346"/>
    <x v="13"/>
    <x v="9"/>
    <n v="11"/>
    <n v="-13.209999999999999"/>
    <x v="0"/>
    <x v="0"/>
    <x v="0"/>
    <n v="13.209999999999999"/>
  </r>
  <r>
    <n v="4347"/>
    <x v="13"/>
    <x v="9"/>
    <n v="12"/>
    <n v="44.083999999999996"/>
    <x v="8"/>
    <x v="3"/>
    <x v="1"/>
    <n v="44.083999999999996"/>
  </r>
  <r>
    <n v="4348"/>
    <x v="13"/>
    <x v="9"/>
    <n v="12"/>
    <n v="331.38"/>
    <x v="8"/>
    <x v="3"/>
    <x v="1"/>
    <n v="331.38"/>
  </r>
  <r>
    <n v="4349"/>
    <x v="13"/>
    <x v="9"/>
    <n v="12"/>
    <n v="-1.496"/>
    <x v="0"/>
    <x v="0"/>
    <x v="0"/>
    <n v="1.496"/>
  </r>
  <r>
    <n v="4350"/>
    <x v="13"/>
    <x v="9"/>
    <n v="18"/>
    <n v="-3.4200000000000004"/>
    <x v="0"/>
    <x v="0"/>
    <x v="0"/>
    <n v="3.4200000000000004"/>
  </r>
  <r>
    <n v="4351"/>
    <x v="13"/>
    <x v="9"/>
    <n v="18"/>
    <n v="-1.94"/>
    <x v="0"/>
    <x v="0"/>
    <x v="0"/>
    <n v="1.94"/>
  </r>
  <r>
    <n v="4352"/>
    <x v="13"/>
    <x v="9"/>
    <n v="18"/>
    <n v="-12.448"/>
    <x v="0"/>
    <x v="0"/>
    <x v="0"/>
    <n v="12.448"/>
  </r>
  <r>
    <n v="4353"/>
    <x v="13"/>
    <x v="9"/>
    <n v="19"/>
    <n v="-2.8760000000000003"/>
    <x v="0"/>
    <x v="0"/>
    <x v="0"/>
    <n v="2.8760000000000003"/>
  </r>
  <r>
    <n v="4354"/>
    <x v="13"/>
    <x v="9"/>
    <n v="20"/>
    <n v="-0.2"/>
    <x v="2"/>
    <x v="1"/>
    <x v="0"/>
    <n v="0.2"/>
  </r>
  <r>
    <n v="4355"/>
    <x v="13"/>
    <x v="9"/>
    <n v="24"/>
    <n v="-0.48600000000000004"/>
    <x v="0"/>
    <x v="0"/>
    <x v="0"/>
    <n v="0.48600000000000004"/>
  </r>
  <r>
    <n v="4356"/>
    <x v="13"/>
    <x v="9"/>
    <n v="24"/>
    <n v="-7.694"/>
    <x v="0"/>
    <x v="0"/>
    <x v="0"/>
    <n v="7.694"/>
  </r>
  <r>
    <n v="4357"/>
    <x v="13"/>
    <x v="9"/>
    <n v="24"/>
    <n v="-10.673999999999999"/>
    <x v="0"/>
    <x v="0"/>
    <x v="0"/>
    <n v="10.673999999999999"/>
  </r>
  <r>
    <n v="4358"/>
    <x v="13"/>
    <x v="9"/>
    <n v="25"/>
    <n v="-0.97"/>
    <x v="0"/>
    <x v="0"/>
    <x v="0"/>
    <n v="0.97"/>
  </r>
  <r>
    <n v="4359"/>
    <x v="13"/>
    <x v="9"/>
    <n v="26"/>
    <n v="1057.6399999999999"/>
    <x v="4"/>
    <x v="3"/>
    <x v="1"/>
    <n v="1057.6399999999999"/>
  </r>
  <r>
    <n v="4360"/>
    <x v="13"/>
    <x v="9"/>
    <n v="26"/>
    <n v="-24.547999999999998"/>
    <x v="0"/>
    <x v="0"/>
    <x v="0"/>
    <n v="24.547999999999998"/>
  </r>
  <r>
    <n v="4361"/>
    <x v="13"/>
    <x v="9"/>
    <n v="27"/>
    <n v="-0.48600000000000004"/>
    <x v="0"/>
    <x v="0"/>
    <x v="0"/>
    <n v="0.48600000000000004"/>
  </r>
  <r>
    <n v="4362"/>
    <x v="13"/>
    <x v="9"/>
    <n v="28"/>
    <n v="-62.398000000000003"/>
    <x v="7"/>
    <x v="5"/>
    <x v="0"/>
    <n v="62.398000000000003"/>
  </r>
  <r>
    <n v="4363"/>
    <x v="13"/>
    <x v="9"/>
    <n v="28"/>
    <n v="-23.8"/>
    <x v="14"/>
    <x v="1"/>
    <x v="0"/>
    <n v="23.8"/>
  </r>
  <r>
    <n v="4364"/>
    <x v="13"/>
    <x v="9"/>
    <n v="31"/>
    <n v="-1.4"/>
    <x v="2"/>
    <x v="1"/>
    <x v="0"/>
    <n v="1.4"/>
  </r>
  <r>
    <n v="4365"/>
    <x v="13"/>
    <x v="9"/>
    <n v="31"/>
    <n v="4.0000000000000001E-3"/>
    <x v="3"/>
    <x v="2"/>
    <x v="1"/>
    <n v="4.0000000000000001E-3"/>
  </r>
  <r>
    <n v="4366"/>
    <x v="13"/>
    <x v="9"/>
    <n v="31"/>
    <n v="-2E-3"/>
    <x v="2"/>
    <x v="1"/>
    <x v="0"/>
    <n v="2E-3"/>
  </r>
  <r>
    <n v="4367"/>
    <x v="13"/>
    <x v="10"/>
    <n v="1"/>
    <n v="-8.6"/>
    <x v="0"/>
    <x v="0"/>
    <x v="0"/>
    <n v="8.6"/>
  </r>
  <r>
    <n v="4368"/>
    <x v="13"/>
    <x v="10"/>
    <n v="1"/>
    <n v="-5.8"/>
    <x v="1"/>
    <x v="1"/>
    <x v="0"/>
    <n v="5.8"/>
  </r>
  <r>
    <n v="4369"/>
    <x v="13"/>
    <x v="10"/>
    <n v="1"/>
    <n v="-7.38"/>
    <x v="19"/>
    <x v="1"/>
    <x v="0"/>
    <n v="7.38"/>
  </r>
  <r>
    <n v="4370"/>
    <x v="13"/>
    <x v="10"/>
    <n v="1"/>
    <n v="-104.06800000000001"/>
    <x v="13"/>
    <x v="1"/>
    <x v="0"/>
    <n v="104.06800000000001"/>
  </r>
  <r>
    <n v="4371"/>
    <x v="13"/>
    <x v="10"/>
    <n v="1"/>
    <n v="-9.9980000000000011"/>
    <x v="0"/>
    <x v="0"/>
    <x v="0"/>
    <n v="9.9980000000000011"/>
  </r>
  <r>
    <n v="4372"/>
    <x v="13"/>
    <x v="10"/>
    <n v="1"/>
    <n v="-6.452"/>
    <x v="0"/>
    <x v="0"/>
    <x v="0"/>
    <n v="6.452"/>
  </r>
  <r>
    <n v="4373"/>
    <x v="13"/>
    <x v="10"/>
    <n v="2"/>
    <n v="-2.8460000000000001"/>
    <x v="16"/>
    <x v="1"/>
    <x v="0"/>
    <n v="2.8460000000000001"/>
  </r>
  <r>
    <n v="4374"/>
    <x v="13"/>
    <x v="10"/>
    <n v="3"/>
    <n v="-0.97"/>
    <x v="0"/>
    <x v="0"/>
    <x v="0"/>
    <n v="0.97"/>
  </r>
  <r>
    <n v="4375"/>
    <x v="13"/>
    <x v="10"/>
    <n v="3"/>
    <n v="-15.144"/>
    <x v="0"/>
    <x v="0"/>
    <x v="0"/>
    <n v="15.144"/>
  </r>
  <r>
    <n v="4376"/>
    <x v="13"/>
    <x v="10"/>
    <n v="7"/>
    <n v="-1.488"/>
    <x v="0"/>
    <x v="0"/>
    <x v="0"/>
    <n v="1.488"/>
  </r>
  <r>
    <n v="4377"/>
    <x v="13"/>
    <x v="10"/>
    <n v="7"/>
    <n v="-14.776"/>
    <x v="0"/>
    <x v="0"/>
    <x v="0"/>
    <n v="14.776"/>
  </r>
  <r>
    <n v="4378"/>
    <x v="13"/>
    <x v="10"/>
    <n v="7"/>
    <n v="-3.3200000000000003"/>
    <x v="0"/>
    <x v="0"/>
    <x v="0"/>
    <n v="3.3200000000000003"/>
  </r>
  <r>
    <n v="4379"/>
    <x v="13"/>
    <x v="10"/>
    <n v="9"/>
    <n v="-0.48600000000000004"/>
    <x v="0"/>
    <x v="0"/>
    <x v="0"/>
    <n v="0.48600000000000004"/>
  </r>
  <r>
    <n v="4380"/>
    <x v="13"/>
    <x v="10"/>
    <n v="9"/>
    <n v="-2.1"/>
    <x v="0"/>
    <x v="0"/>
    <x v="0"/>
    <n v="2.1"/>
  </r>
  <r>
    <n v="4381"/>
    <x v="13"/>
    <x v="10"/>
    <n v="13"/>
    <n v="-0.2"/>
    <x v="2"/>
    <x v="1"/>
    <x v="0"/>
    <n v="0.2"/>
  </r>
  <r>
    <n v="4382"/>
    <x v="13"/>
    <x v="10"/>
    <n v="15"/>
    <n v="-1.65"/>
    <x v="0"/>
    <x v="0"/>
    <x v="0"/>
    <n v="1.65"/>
  </r>
  <r>
    <n v="4383"/>
    <x v="13"/>
    <x v="10"/>
    <n v="15"/>
    <n v="-14.628"/>
    <x v="0"/>
    <x v="0"/>
    <x v="0"/>
    <n v="14.628"/>
  </r>
  <r>
    <n v="4384"/>
    <x v="13"/>
    <x v="10"/>
    <n v="22"/>
    <n v="-0.97"/>
    <x v="0"/>
    <x v="0"/>
    <x v="0"/>
    <n v="0.97"/>
  </r>
  <r>
    <n v="4385"/>
    <x v="13"/>
    <x v="10"/>
    <n v="22"/>
    <n v="-3.242"/>
    <x v="0"/>
    <x v="0"/>
    <x v="0"/>
    <n v="3.242"/>
  </r>
  <r>
    <n v="4386"/>
    <x v="13"/>
    <x v="10"/>
    <n v="22"/>
    <n v="-11.715999999999999"/>
    <x v="0"/>
    <x v="0"/>
    <x v="0"/>
    <n v="11.715999999999999"/>
  </r>
  <r>
    <n v="4387"/>
    <x v="13"/>
    <x v="10"/>
    <n v="23"/>
    <n v="1057.6379999999999"/>
    <x v="4"/>
    <x v="3"/>
    <x v="1"/>
    <n v="1057.6379999999999"/>
  </r>
  <r>
    <n v="4388"/>
    <x v="13"/>
    <x v="10"/>
    <n v="25"/>
    <n v="-24.48"/>
    <x v="14"/>
    <x v="1"/>
    <x v="0"/>
    <n v="24.48"/>
  </r>
  <r>
    <n v="4389"/>
    <x v="13"/>
    <x v="10"/>
    <n v="28"/>
    <n v="-29.655999999999999"/>
    <x v="0"/>
    <x v="0"/>
    <x v="0"/>
    <n v="29.655999999999999"/>
  </r>
  <r>
    <n v="4390"/>
    <x v="13"/>
    <x v="10"/>
    <n v="29"/>
    <n v="-3.6259999999999999"/>
    <x v="0"/>
    <x v="0"/>
    <x v="0"/>
    <n v="3.6259999999999999"/>
  </r>
  <r>
    <n v="4391"/>
    <x v="13"/>
    <x v="10"/>
    <n v="29"/>
    <n v="-0.97"/>
    <x v="0"/>
    <x v="0"/>
    <x v="0"/>
    <n v="0.97"/>
  </r>
  <r>
    <n v="4392"/>
    <x v="13"/>
    <x v="10"/>
    <n v="29"/>
    <n v="-21.648"/>
    <x v="0"/>
    <x v="0"/>
    <x v="0"/>
    <n v="21.648"/>
  </r>
  <r>
    <n v="4393"/>
    <x v="13"/>
    <x v="10"/>
    <n v="30"/>
    <n v="4.0000000000000001E-3"/>
    <x v="3"/>
    <x v="2"/>
    <x v="1"/>
    <n v="4.0000000000000001E-3"/>
  </r>
  <r>
    <n v="4394"/>
    <x v="13"/>
    <x v="10"/>
    <n v="30"/>
    <n v="-2E-3"/>
    <x v="2"/>
    <x v="1"/>
    <x v="0"/>
    <n v="2E-3"/>
  </r>
  <r>
    <n v="4395"/>
    <x v="13"/>
    <x v="10"/>
    <n v="30"/>
    <n v="-1.4"/>
    <x v="2"/>
    <x v="1"/>
    <x v="0"/>
    <n v="1.4"/>
  </r>
  <r>
    <n v="4396"/>
    <x v="13"/>
    <x v="10"/>
    <n v="30"/>
    <n v="-1.02"/>
    <x v="0"/>
    <x v="0"/>
    <x v="0"/>
    <n v="1.02"/>
  </r>
  <r>
    <n v="4397"/>
    <x v="13"/>
    <x v="11"/>
    <n v="1"/>
    <n v="90"/>
    <x v="9"/>
    <x v="3"/>
    <x v="1"/>
    <n v="90"/>
  </r>
  <r>
    <n v="4398"/>
    <x v="13"/>
    <x v="11"/>
    <n v="2"/>
    <n v="-40.725999999999999"/>
    <x v="7"/>
    <x v="5"/>
    <x v="0"/>
    <n v="40.725999999999999"/>
  </r>
  <r>
    <n v="4399"/>
    <x v="13"/>
    <x v="11"/>
    <n v="2"/>
    <n v="-20.154"/>
    <x v="7"/>
    <x v="5"/>
    <x v="0"/>
    <n v="20.154"/>
  </r>
  <r>
    <n v="4400"/>
    <x v="13"/>
    <x v="11"/>
    <n v="2"/>
    <n v="-5.8"/>
    <x v="1"/>
    <x v="1"/>
    <x v="0"/>
    <n v="5.8"/>
  </r>
  <r>
    <n v="4401"/>
    <x v="13"/>
    <x v="11"/>
    <n v="2"/>
    <n v="-7.38"/>
    <x v="19"/>
    <x v="1"/>
    <x v="0"/>
    <n v="7.38"/>
  </r>
  <r>
    <n v="4402"/>
    <x v="13"/>
    <x v="11"/>
    <n v="2"/>
    <n v="-104.06800000000001"/>
    <x v="13"/>
    <x v="1"/>
    <x v="0"/>
    <n v="104.06800000000001"/>
  </r>
  <r>
    <n v="4403"/>
    <x v="13"/>
    <x v="11"/>
    <n v="2"/>
    <n v="-9.9980000000000011"/>
    <x v="0"/>
    <x v="0"/>
    <x v="0"/>
    <n v="9.9980000000000011"/>
  </r>
  <r>
    <n v="4404"/>
    <x v="13"/>
    <x v="11"/>
    <n v="2"/>
    <n v="-8.7780000000000005"/>
    <x v="0"/>
    <x v="0"/>
    <x v="0"/>
    <n v="8.7780000000000005"/>
  </r>
  <r>
    <n v="4405"/>
    <x v="13"/>
    <x v="11"/>
    <n v="4"/>
    <n v="-1.9899999999999998"/>
    <x v="0"/>
    <x v="0"/>
    <x v="0"/>
    <n v="1.9899999999999998"/>
  </r>
  <r>
    <n v="4406"/>
    <x v="13"/>
    <x v="11"/>
    <n v="4"/>
    <n v="-19.187999999999999"/>
    <x v="0"/>
    <x v="0"/>
    <x v="0"/>
    <n v="19.187999999999999"/>
  </r>
  <r>
    <n v="4407"/>
    <x v="13"/>
    <x v="11"/>
    <n v="5"/>
    <n v="-0.97"/>
    <x v="0"/>
    <x v="0"/>
    <x v="0"/>
    <n v="0.97"/>
  </r>
  <r>
    <n v="4408"/>
    <x v="13"/>
    <x v="11"/>
    <n v="5"/>
    <n v="-5.0979999999999999"/>
    <x v="0"/>
    <x v="0"/>
    <x v="0"/>
    <n v="5.0979999999999999"/>
  </r>
  <r>
    <n v="4409"/>
    <x v="13"/>
    <x v="11"/>
    <n v="5"/>
    <n v="631.61800000000005"/>
    <x v="8"/>
    <x v="3"/>
    <x v="1"/>
    <n v="631.61800000000005"/>
  </r>
  <r>
    <n v="4410"/>
    <x v="13"/>
    <x v="11"/>
    <n v="8"/>
    <n v="-0.48600000000000004"/>
    <x v="0"/>
    <x v="0"/>
    <x v="0"/>
    <n v="0.48600000000000004"/>
  </r>
  <r>
    <n v="4411"/>
    <x v="13"/>
    <x v="11"/>
    <n v="8"/>
    <n v="-8.7480000000000011"/>
    <x v="0"/>
    <x v="0"/>
    <x v="0"/>
    <n v="8.7480000000000011"/>
  </r>
  <r>
    <n v="4412"/>
    <x v="13"/>
    <x v="11"/>
    <n v="11"/>
    <n v="-3.5939999999999999"/>
    <x v="0"/>
    <x v="0"/>
    <x v="0"/>
    <n v="3.5939999999999999"/>
  </r>
  <r>
    <n v="4413"/>
    <x v="13"/>
    <x v="11"/>
    <n v="11"/>
    <n v="-0.97"/>
    <x v="0"/>
    <x v="0"/>
    <x v="0"/>
    <n v="0.97"/>
  </r>
  <r>
    <n v="4414"/>
    <x v="13"/>
    <x v="11"/>
    <n v="13"/>
    <n v="-0.97"/>
    <x v="0"/>
    <x v="0"/>
    <x v="0"/>
    <n v="0.97"/>
  </r>
  <r>
    <n v="4415"/>
    <x v="13"/>
    <x v="11"/>
    <n v="13"/>
    <n v="-14.603999999999999"/>
    <x v="0"/>
    <x v="0"/>
    <x v="0"/>
    <n v="14.603999999999999"/>
  </r>
  <r>
    <n v="4416"/>
    <x v="13"/>
    <x v="11"/>
    <n v="13"/>
    <n v="-12.106"/>
    <x v="0"/>
    <x v="0"/>
    <x v="0"/>
    <n v="12.106"/>
  </r>
  <r>
    <n v="4417"/>
    <x v="13"/>
    <x v="11"/>
    <n v="14"/>
    <n v="1057.6399999999999"/>
    <x v="4"/>
    <x v="3"/>
    <x v="1"/>
    <n v="1057.6399999999999"/>
  </r>
  <r>
    <n v="4418"/>
    <x v="13"/>
    <x v="11"/>
    <n v="14"/>
    <n v="-5.758"/>
    <x v="0"/>
    <x v="0"/>
    <x v="0"/>
    <n v="5.758"/>
  </r>
  <r>
    <n v="4419"/>
    <x v="13"/>
    <x v="11"/>
    <n v="15"/>
    <n v="-0.2"/>
    <x v="2"/>
    <x v="1"/>
    <x v="0"/>
    <n v="0.2"/>
  </r>
  <r>
    <n v="4420"/>
    <x v="13"/>
    <x v="11"/>
    <n v="20"/>
    <n v="-1.9280000000000002"/>
    <x v="0"/>
    <x v="0"/>
    <x v="0"/>
    <n v="1.9280000000000002"/>
  </r>
  <r>
    <n v="4421"/>
    <x v="13"/>
    <x v="11"/>
    <n v="21"/>
    <n v="-5.2200000000000006"/>
    <x v="0"/>
    <x v="0"/>
    <x v="0"/>
    <n v="5.2200000000000006"/>
  </r>
  <r>
    <n v="4422"/>
    <x v="13"/>
    <x v="11"/>
    <n v="21"/>
    <n v="-1.94"/>
    <x v="0"/>
    <x v="0"/>
    <x v="0"/>
    <n v="1.94"/>
  </r>
  <r>
    <n v="4423"/>
    <x v="13"/>
    <x v="11"/>
    <n v="21"/>
    <n v="-8.02"/>
    <x v="0"/>
    <x v="0"/>
    <x v="0"/>
    <n v="8.02"/>
  </r>
  <r>
    <n v="4424"/>
    <x v="13"/>
    <x v="11"/>
    <n v="22"/>
    <n v="-1.9100000000000001"/>
    <x v="0"/>
    <x v="0"/>
    <x v="0"/>
    <n v="1.9100000000000001"/>
  </r>
  <r>
    <n v="4425"/>
    <x v="13"/>
    <x v="11"/>
    <n v="23"/>
    <n v="-10.952"/>
    <x v="0"/>
    <x v="0"/>
    <x v="0"/>
    <n v="10.952"/>
  </r>
  <r>
    <n v="4426"/>
    <x v="13"/>
    <x v="11"/>
    <n v="27"/>
    <n v="-24.48"/>
    <x v="14"/>
    <x v="1"/>
    <x v="0"/>
    <n v="24.48"/>
  </r>
  <r>
    <n v="4427"/>
    <x v="13"/>
    <x v="11"/>
    <n v="28"/>
    <n v="102.864"/>
    <x v="8"/>
    <x v="3"/>
    <x v="1"/>
    <n v="102.864"/>
  </r>
  <r>
    <n v="4428"/>
    <x v="13"/>
    <x v="11"/>
    <n v="29"/>
    <n v="-3.04"/>
    <x v="0"/>
    <x v="0"/>
    <x v="0"/>
    <n v="3.04"/>
  </r>
  <r>
    <n v="4429"/>
    <x v="13"/>
    <x v="11"/>
    <n v="30"/>
    <n v="-1.4"/>
    <x v="2"/>
    <x v="1"/>
    <x v="0"/>
    <n v="1.4"/>
  </r>
  <r>
    <n v="4430"/>
    <x v="13"/>
    <x v="11"/>
    <n v="30"/>
    <n v="4.0000000000000001E-3"/>
    <x v="3"/>
    <x v="2"/>
    <x v="1"/>
    <n v="4.0000000000000001E-3"/>
  </r>
  <r>
    <n v="4431"/>
    <x v="13"/>
    <x v="11"/>
    <n v="30"/>
    <n v="-2E-3"/>
    <x v="2"/>
    <x v="1"/>
    <x v="0"/>
    <n v="2E-3"/>
  </r>
  <r>
    <n v="4432"/>
    <x v="14"/>
    <x v="0"/>
    <n v="1"/>
    <n v="-8.452"/>
    <x v="18"/>
    <x v="1"/>
    <x v="0"/>
    <n v="8.452"/>
  </r>
  <r>
    <n v="4433"/>
    <x v="14"/>
    <x v="0"/>
    <n v="1"/>
    <n v="-20.494"/>
    <x v="16"/>
    <x v="1"/>
    <x v="0"/>
    <n v="20.494"/>
  </r>
  <r>
    <n v="4434"/>
    <x v="14"/>
    <x v="0"/>
    <n v="1"/>
    <n v="-8.6"/>
    <x v="19"/>
    <x v="1"/>
    <x v="0"/>
    <n v="8.6"/>
  </r>
  <r>
    <n v="4435"/>
    <x v="14"/>
    <x v="0"/>
    <n v="1"/>
    <n v="-5.8"/>
    <x v="1"/>
    <x v="1"/>
    <x v="0"/>
    <n v="5.8"/>
  </r>
  <r>
    <n v="4436"/>
    <x v="14"/>
    <x v="0"/>
    <n v="1"/>
    <n v="-9.9980000000000011"/>
    <x v="7"/>
    <x v="5"/>
    <x v="0"/>
    <n v="9.9980000000000011"/>
  </r>
  <r>
    <n v="4437"/>
    <x v="14"/>
    <x v="0"/>
    <n v="1"/>
    <n v="-20.100000000000001"/>
    <x v="7"/>
    <x v="5"/>
    <x v="0"/>
    <n v="20.100000000000001"/>
  </r>
  <r>
    <n v="4438"/>
    <x v="14"/>
    <x v="0"/>
    <n v="5"/>
    <n v="-3.71"/>
    <x v="0"/>
    <x v="0"/>
    <x v="0"/>
    <n v="3.71"/>
  </r>
  <r>
    <n v="4439"/>
    <x v="14"/>
    <x v="0"/>
    <n v="5"/>
    <n v="-14.413999999999998"/>
    <x v="0"/>
    <x v="0"/>
    <x v="0"/>
    <n v="14.413999999999998"/>
  </r>
  <r>
    <n v="4440"/>
    <x v="14"/>
    <x v="0"/>
    <n v="8"/>
    <n v="-42.082000000000001"/>
    <x v="13"/>
    <x v="1"/>
    <x v="0"/>
    <n v="42.082000000000001"/>
  </r>
  <r>
    <n v="4441"/>
    <x v="14"/>
    <x v="0"/>
    <n v="8"/>
    <n v="-58.98"/>
    <x v="21"/>
    <x v="1"/>
    <x v="0"/>
    <n v="58.98"/>
  </r>
  <r>
    <n v="4442"/>
    <x v="14"/>
    <x v="0"/>
    <n v="12"/>
    <n v="-0.2"/>
    <x v="2"/>
    <x v="1"/>
    <x v="0"/>
    <n v="0.2"/>
  </r>
  <r>
    <n v="4443"/>
    <x v="14"/>
    <x v="0"/>
    <n v="17"/>
    <n v="-8.7360000000000007"/>
    <x v="0"/>
    <x v="0"/>
    <x v="0"/>
    <n v="8.7360000000000007"/>
  </r>
  <r>
    <n v="4444"/>
    <x v="14"/>
    <x v="0"/>
    <n v="17"/>
    <n v="-20.268000000000001"/>
    <x v="7"/>
    <x v="5"/>
    <x v="0"/>
    <n v="20.268000000000001"/>
  </r>
  <r>
    <n v="4445"/>
    <x v="14"/>
    <x v="0"/>
    <n v="18"/>
    <n v="-2.6879999999999997"/>
    <x v="0"/>
    <x v="0"/>
    <x v="0"/>
    <n v="2.6879999999999997"/>
  </r>
  <r>
    <n v="4446"/>
    <x v="14"/>
    <x v="0"/>
    <n v="24"/>
    <n v="-2.0940000000000003"/>
    <x v="0"/>
    <x v="0"/>
    <x v="0"/>
    <n v="2.0940000000000003"/>
  </r>
  <r>
    <n v="4447"/>
    <x v="14"/>
    <x v="0"/>
    <n v="24"/>
    <n v="-0.97"/>
    <x v="0"/>
    <x v="0"/>
    <x v="0"/>
    <n v="0.97"/>
  </r>
  <r>
    <n v="4448"/>
    <x v="14"/>
    <x v="0"/>
    <n v="24"/>
    <n v="-12.666"/>
    <x v="0"/>
    <x v="0"/>
    <x v="0"/>
    <n v="12.666"/>
  </r>
  <r>
    <n v="4449"/>
    <x v="14"/>
    <x v="0"/>
    <n v="26"/>
    <n v="1255.884"/>
    <x v="4"/>
    <x v="3"/>
    <x v="1"/>
    <n v="1255.884"/>
  </r>
  <r>
    <n v="4450"/>
    <x v="14"/>
    <x v="0"/>
    <n v="27"/>
    <n v="-23.8"/>
    <x v="14"/>
    <x v="1"/>
    <x v="0"/>
    <n v="23.8"/>
  </r>
  <r>
    <n v="4451"/>
    <x v="14"/>
    <x v="0"/>
    <n v="31"/>
    <n v="-2E-3"/>
    <x v="2"/>
    <x v="1"/>
    <x v="0"/>
    <n v="2E-3"/>
  </r>
  <r>
    <n v="4452"/>
    <x v="14"/>
    <x v="0"/>
    <n v="31"/>
    <n v="-1.4"/>
    <x v="2"/>
    <x v="1"/>
    <x v="0"/>
    <n v="1.4"/>
  </r>
  <r>
    <n v="4453"/>
    <x v="14"/>
    <x v="0"/>
    <n v="31"/>
    <n v="-2.0019999999999998"/>
    <x v="0"/>
    <x v="0"/>
    <x v="0"/>
    <n v="2.0019999999999998"/>
  </r>
  <r>
    <n v="4454"/>
    <x v="14"/>
    <x v="0"/>
    <n v="31"/>
    <n v="2E-3"/>
    <x v="3"/>
    <x v="2"/>
    <x v="1"/>
    <n v="2E-3"/>
  </r>
  <r>
    <n v="4455"/>
    <x v="14"/>
    <x v="1"/>
    <n v="1"/>
    <n v="-1.5"/>
    <x v="0"/>
    <x v="0"/>
    <x v="0"/>
    <n v="1.5"/>
  </r>
  <r>
    <n v="4456"/>
    <x v="14"/>
    <x v="1"/>
    <n v="1"/>
    <n v="-1.05"/>
    <x v="0"/>
    <x v="0"/>
    <x v="0"/>
    <n v="1.05"/>
  </r>
  <r>
    <n v="4457"/>
    <x v="14"/>
    <x v="1"/>
    <n v="1"/>
    <n v="-5.8659999999999997"/>
    <x v="0"/>
    <x v="0"/>
    <x v="0"/>
    <n v="5.8659999999999997"/>
  </r>
  <r>
    <n v="4458"/>
    <x v="14"/>
    <x v="1"/>
    <n v="2"/>
    <n v="1011.4799999999999"/>
    <x v="5"/>
    <x v="3"/>
    <x v="1"/>
    <n v="1011.4799999999999"/>
  </r>
  <r>
    <n v="4459"/>
    <x v="14"/>
    <x v="1"/>
    <n v="3"/>
    <n v="20.268000000000001"/>
    <x v="7"/>
    <x v="5"/>
    <x v="0"/>
    <n v="20.268000000000001"/>
  </r>
  <r>
    <n v="4460"/>
    <x v="14"/>
    <x v="1"/>
    <n v="3"/>
    <n v="-5.8"/>
    <x v="1"/>
    <x v="1"/>
    <x v="0"/>
    <n v="5.8"/>
  </r>
  <r>
    <n v="4461"/>
    <x v="14"/>
    <x v="1"/>
    <n v="3"/>
    <n v="-8.6"/>
    <x v="19"/>
    <x v="1"/>
    <x v="0"/>
    <n v="8.6"/>
  </r>
  <r>
    <n v="4462"/>
    <x v="14"/>
    <x v="1"/>
    <n v="3"/>
    <n v="-119.91600000000001"/>
    <x v="13"/>
    <x v="1"/>
    <x v="0"/>
    <n v="119.91600000000001"/>
  </r>
  <r>
    <n v="4463"/>
    <x v="14"/>
    <x v="1"/>
    <n v="3"/>
    <n v="-9.9980000000000011"/>
    <x v="7"/>
    <x v="5"/>
    <x v="0"/>
    <n v="9.9980000000000011"/>
  </r>
  <r>
    <n v="4464"/>
    <x v="14"/>
    <x v="1"/>
    <n v="3"/>
    <n v="-20.268000000000001"/>
    <x v="7"/>
    <x v="5"/>
    <x v="0"/>
    <n v="20.268000000000001"/>
  </r>
  <r>
    <n v="4465"/>
    <x v="14"/>
    <x v="1"/>
    <n v="7"/>
    <n v="-5.6139999999999999"/>
    <x v="0"/>
    <x v="0"/>
    <x v="0"/>
    <n v="5.6139999999999999"/>
  </r>
  <r>
    <n v="4466"/>
    <x v="14"/>
    <x v="1"/>
    <n v="7"/>
    <n v="-0.97"/>
    <x v="0"/>
    <x v="0"/>
    <x v="0"/>
    <n v="0.97"/>
  </r>
  <r>
    <n v="4467"/>
    <x v="14"/>
    <x v="1"/>
    <n v="7"/>
    <n v="-12.623999999999999"/>
    <x v="0"/>
    <x v="0"/>
    <x v="0"/>
    <n v="12.623999999999999"/>
  </r>
  <r>
    <n v="4468"/>
    <x v="14"/>
    <x v="1"/>
    <n v="8"/>
    <n v="-0.48600000000000004"/>
    <x v="0"/>
    <x v="0"/>
    <x v="0"/>
    <n v="0.48600000000000004"/>
  </r>
  <r>
    <n v="4469"/>
    <x v="14"/>
    <x v="1"/>
    <n v="12"/>
    <n v="-1.224"/>
    <x v="0"/>
    <x v="0"/>
    <x v="0"/>
    <n v="1.224"/>
  </r>
  <r>
    <n v="4470"/>
    <x v="14"/>
    <x v="1"/>
    <n v="12"/>
    <n v="-0.2"/>
    <x v="2"/>
    <x v="1"/>
    <x v="0"/>
    <n v="0.2"/>
  </r>
  <r>
    <n v="4471"/>
    <x v="14"/>
    <x v="1"/>
    <n v="14"/>
    <n v="-5.26"/>
    <x v="0"/>
    <x v="0"/>
    <x v="0"/>
    <n v="5.26"/>
  </r>
  <r>
    <n v="4472"/>
    <x v="14"/>
    <x v="1"/>
    <n v="14"/>
    <n v="-0.97"/>
    <x v="0"/>
    <x v="0"/>
    <x v="0"/>
    <n v="0.97"/>
  </r>
  <r>
    <n v="4473"/>
    <x v="14"/>
    <x v="1"/>
    <n v="14"/>
    <n v="-12.404"/>
    <x v="0"/>
    <x v="0"/>
    <x v="0"/>
    <n v="12.404"/>
  </r>
  <r>
    <n v="4474"/>
    <x v="14"/>
    <x v="1"/>
    <n v="17"/>
    <n v="-12.4"/>
    <x v="20"/>
    <x v="1"/>
    <x v="0"/>
    <n v="12.4"/>
  </r>
  <r>
    <n v="4475"/>
    <x v="14"/>
    <x v="1"/>
    <n v="19"/>
    <n v="-1.05"/>
    <x v="0"/>
    <x v="0"/>
    <x v="0"/>
    <n v="1.05"/>
  </r>
  <r>
    <n v="4476"/>
    <x v="14"/>
    <x v="1"/>
    <n v="20"/>
    <n v="-6.4560000000000004"/>
    <x v="0"/>
    <x v="0"/>
    <x v="0"/>
    <n v="6.4560000000000004"/>
  </r>
  <r>
    <n v="4477"/>
    <x v="14"/>
    <x v="1"/>
    <n v="20"/>
    <n v="-13.538"/>
    <x v="0"/>
    <x v="0"/>
    <x v="0"/>
    <n v="13.538"/>
  </r>
  <r>
    <n v="4478"/>
    <x v="14"/>
    <x v="1"/>
    <n v="21"/>
    <n v="-1.05"/>
    <x v="0"/>
    <x v="0"/>
    <x v="0"/>
    <n v="1.05"/>
  </r>
  <r>
    <n v="4479"/>
    <x v="14"/>
    <x v="1"/>
    <n v="22"/>
    <n v="-2.8319999999999999"/>
    <x v="0"/>
    <x v="0"/>
    <x v="0"/>
    <n v="2.8319999999999999"/>
  </r>
  <r>
    <n v="4480"/>
    <x v="14"/>
    <x v="1"/>
    <n v="26"/>
    <n v="1255.8799999999999"/>
    <x v="4"/>
    <x v="3"/>
    <x v="1"/>
    <n v="1255.8799999999999"/>
  </r>
  <r>
    <n v="4481"/>
    <x v="14"/>
    <x v="1"/>
    <n v="26"/>
    <n v="-166.59399999999999"/>
    <x v="7"/>
    <x v="5"/>
    <x v="0"/>
    <n v="166.59399999999999"/>
  </r>
  <r>
    <n v="4482"/>
    <x v="14"/>
    <x v="1"/>
    <n v="26"/>
    <n v="-23.8"/>
    <x v="14"/>
    <x v="1"/>
    <x v="0"/>
    <n v="23.8"/>
  </r>
  <r>
    <n v="4483"/>
    <x v="14"/>
    <x v="1"/>
    <n v="27"/>
    <n v="-0.48600000000000004"/>
    <x v="0"/>
    <x v="0"/>
    <x v="0"/>
    <n v="0.48600000000000004"/>
  </r>
  <r>
    <n v="4484"/>
    <x v="14"/>
    <x v="1"/>
    <n v="28"/>
    <n v="-3.1059999999999999"/>
    <x v="0"/>
    <x v="0"/>
    <x v="0"/>
    <n v="3.1059999999999999"/>
  </r>
  <r>
    <n v="4485"/>
    <x v="14"/>
    <x v="1"/>
    <n v="28"/>
    <n v="-0.97"/>
    <x v="0"/>
    <x v="0"/>
    <x v="0"/>
    <n v="0.97"/>
  </r>
  <r>
    <n v="4486"/>
    <x v="14"/>
    <x v="1"/>
    <n v="28"/>
    <n v="-19.265999999999998"/>
    <x v="0"/>
    <x v="0"/>
    <x v="0"/>
    <n v="19.265999999999998"/>
  </r>
  <r>
    <n v="4487"/>
    <x v="14"/>
    <x v="1"/>
    <n v="29"/>
    <n v="-2E-3"/>
    <x v="2"/>
    <x v="1"/>
    <x v="0"/>
    <n v="2E-3"/>
  </r>
  <r>
    <n v="4488"/>
    <x v="14"/>
    <x v="1"/>
    <n v="29"/>
    <n v="-1.4"/>
    <x v="2"/>
    <x v="1"/>
    <x v="0"/>
    <n v="1.4"/>
  </r>
  <r>
    <n v="4489"/>
    <x v="14"/>
    <x v="1"/>
    <n v="29"/>
    <n v="4.0000000000000001E-3"/>
    <x v="3"/>
    <x v="2"/>
    <x v="1"/>
    <n v="4.0000000000000001E-3"/>
  </r>
  <r>
    <n v="4490"/>
    <x v="14"/>
    <x v="2"/>
    <n v="1"/>
    <n v="-3.0739999999999998"/>
    <x v="0"/>
    <x v="0"/>
    <x v="0"/>
    <n v="3.0739999999999998"/>
  </r>
  <r>
    <n v="4491"/>
    <x v="14"/>
    <x v="2"/>
    <n v="1"/>
    <n v="-0.48600000000000004"/>
    <x v="0"/>
    <x v="0"/>
    <x v="0"/>
    <n v="0.48600000000000004"/>
  </r>
  <r>
    <n v="4492"/>
    <x v="14"/>
    <x v="2"/>
    <n v="2"/>
    <n v="-25.606000000000002"/>
    <x v="16"/>
    <x v="1"/>
    <x v="0"/>
    <n v="25.606000000000002"/>
  </r>
  <r>
    <n v="4493"/>
    <x v="14"/>
    <x v="2"/>
    <n v="2"/>
    <n v="-5.1680000000000001"/>
    <x v="0"/>
    <x v="0"/>
    <x v="0"/>
    <n v="5.1680000000000001"/>
  </r>
  <r>
    <n v="4494"/>
    <x v="14"/>
    <x v="2"/>
    <n v="2"/>
    <n v="-5.8"/>
    <x v="1"/>
    <x v="1"/>
    <x v="0"/>
    <n v="5.8"/>
  </r>
  <r>
    <n v="4495"/>
    <x v="14"/>
    <x v="2"/>
    <n v="2"/>
    <n v="-116.60999999999999"/>
    <x v="13"/>
    <x v="1"/>
    <x v="0"/>
    <n v="116.60999999999999"/>
  </r>
  <r>
    <n v="4496"/>
    <x v="14"/>
    <x v="2"/>
    <n v="2"/>
    <n v="-8.6"/>
    <x v="19"/>
    <x v="1"/>
    <x v="0"/>
    <n v="8.6"/>
  </r>
  <r>
    <n v="4497"/>
    <x v="14"/>
    <x v="2"/>
    <n v="2"/>
    <n v="-9.9980000000000011"/>
    <x v="7"/>
    <x v="5"/>
    <x v="0"/>
    <n v="9.9980000000000011"/>
  </r>
  <r>
    <n v="4498"/>
    <x v="14"/>
    <x v="2"/>
    <n v="2"/>
    <n v="-9.0579999999999998"/>
    <x v="18"/>
    <x v="1"/>
    <x v="0"/>
    <n v="9.0579999999999998"/>
  </r>
  <r>
    <n v="4499"/>
    <x v="14"/>
    <x v="2"/>
    <n v="4"/>
    <n v="-0.52600000000000002"/>
    <x v="0"/>
    <x v="0"/>
    <x v="0"/>
    <n v="0.52600000000000002"/>
  </r>
  <r>
    <n v="4500"/>
    <x v="14"/>
    <x v="2"/>
    <n v="5"/>
    <n v="-12.969999999999999"/>
    <x v="0"/>
    <x v="0"/>
    <x v="0"/>
    <n v="12.969999999999999"/>
  </r>
  <r>
    <n v="4501"/>
    <x v="14"/>
    <x v="2"/>
    <n v="6"/>
    <n v="-0.97"/>
    <x v="0"/>
    <x v="0"/>
    <x v="0"/>
    <n v="0.97"/>
  </r>
  <r>
    <n v="4502"/>
    <x v="14"/>
    <x v="2"/>
    <n v="7"/>
    <n v="-2.996"/>
    <x v="0"/>
    <x v="0"/>
    <x v="0"/>
    <n v="2.996"/>
  </r>
  <r>
    <n v="4503"/>
    <x v="14"/>
    <x v="2"/>
    <n v="9"/>
    <n v="-57.597999999999999"/>
    <x v="7"/>
    <x v="5"/>
    <x v="0"/>
    <n v="57.597999999999999"/>
  </r>
  <r>
    <n v="4504"/>
    <x v="14"/>
    <x v="2"/>
    <n v="12"/>
    <n v="-3.0960000000000001"/>
    <x v="0"/>
    <x v="0"/>
    <x v="0"/>
    <n v="3.0960000000000001"/>
  </r>
  <r>
    <n v="4505"/>
    <x v="14"/>
    <x v="2"/>
    <n v="12"/>
    <n v="-0.97"/>
    <x v="0"/>
    <x v="0"/>
    <x v="0"/>
    <n v="0.97"/>
  </r>
  <r>
    <n v="4506"/>
    <x v="14"/>
    <x v="2"/>
    <n v="12"/>
    <n v="-44.186"/>
    <x v="0"/>
    <x v="0"/>
    <x v="0"/>
    <n v="44.186"/>
  </r>
  <r>
    <n v="4507"/>
    <x v="14"/>
    <x v="2"/>
    <n v="13"/>
    <n v="-2.024"/>
    <x v="0"/>
    <x v="0"/>
    <x v="0"/>
    <n v="2.024"/>
  </r>
  <r>
    <n v="4508"/>
    <x v="14"/>
    <x v="2"/>
    <n v="15"/>
    <n v="-0.2"/>
    <x v="2"/>
    <x v="1"/>
    <x v="0"/>
    <n v="0.2"/>
  </r>
  <r>
    <n v="4509"/>
    <x v="14"/>
    <x v="2"/>
    <n v="19"/>
    <n v="-5.5759999999999996"/>
    <x v="0"/>
    <x v="0"/>
    <x v="0"/>
    <n v="5.5759999999999996"/>
  </r>
  <r>
    <n v="4510"/>
    <x v="14"/>
    <x v="2"/>
    <n v="19"/>
    <n v="-0.97"/>
    <x v="0"/>
    <x v="0"/>
    <x v="0"/>
    <n v="0.97"/>
  </r>
  <r>
    <n v="4511"/>
    <x v="14"/>
    <x v="2"/>
    <n v="19"/>
    <n v="-24.736000000000001"/>
    <x v="0"/>
    <x v="0"/>
    <x v="0"/>
    <n v="24.736000000000001"/>
  </r>
  <r>
    <n v="4512"/>
    <x v="14"/>
    <x v="2"/>
    <n v="20"/>
    <n v="-0.52600000000000002"/>
    <x v="0"/>
    <x v="0"/>
    <x v="0"/>
    <n v="0.52600000000000002"/>
  </r>
  <r>
    <n v="4513"/>
    <x v="14"/>
    <x v="2"/>
    <n v="20"/>
    <n v="-25.722000000000001"/>
    <x v="0"/>
    <x v="0"/>
    <x v="0"/>
    <n v="25.722000000000001"/>
  </r>
  <r>
    <n v="4514"/>
    <x v="14"/>
    <x v="2"/>
    <n v="22"/>
    <n v="-1.3599999999999999"/>
    <x v="0"/>
    <x v="0"/>
    <x v="0"/>
    <n v="1.3599999999999999"/>
  </r>
  <r>
    <n v="4515"/>
    <x v="14"/>
    <x v="2"/>
    <n v="22"/>
    <n v="-0.48600000000000004"/>
    <x v="0"/>
    <x v="0"/>
    <x v="0"/>
    <n v="0.48600000000000004"/>
  </r>
  <r>
    <n v="4516"/>
    <x v="14"/>
    <x v="2"/>
    <n v="23"/>
    <n v="-23.8"/>
    <x v="14"/>
    <x v="1"/>
    <x v="0"/>
    <n v="23.8"/>
  </r>
  <r>
    <n v="4517"/>
    <x v="14"/>
    <x v="2"/>
    <n v="25"/>
    <n v="1255.8820000000001"/>
    <x v="4"/>
    <x v="3"/>
    <x v="1"/>
    <n v="1255.8820000000001"/>
  </r>
  <r>
    <n v="4518"/>
    <x v="14"/>
    <x v="2"/>
    <n v="27"/>
    <n v="-1.456"/>
    <x v="0"/>
    <x v="0"/>
    <x v="0"/>
    <n v="1.456"/>
  </r>
  <r>
    <n v="4519"/>
    <x v="14"/>
    <x v="2"/>
    <n v="30"/>
    <n v="-1.4"/>
    <x v="2"/>
    <x v="1"/>
    <x v="0"/>
    <n v="1.4"/>
  </r>
  <r>
    <n v="4520"/>
    <x v="14"/>
    <x v="2"/>
    <n v="30"/>
    <n v="4.0000000000000001E-3"/>
    <x v="3"/>
    <x v="2"/>
    <x v="1"/>
    <n v="4.0000000000000001E-3"/>
  </r>
  <r>
    <n v="4521"/>
    <x v="14"/>
    <x v="2"/>
    <n v="30"/>
    <n v="-2E-3"/>
    <x v="2"/>
    <x v="1"/>
    <x v="0"/>
    <n v="2E-3"/>
  </r>
  <r>
    <n v="4522"/>
    <x v="14"/>
    <x v="3"/>
    <n v="3"/>
    <n v="-12.278"/>
    <x v="0"/>
    <x v="0"/>
    <x v="0"/>
    <n v="12.278"/>
  </r>
  <r>
    <n v="4523"/>
    <x v="14"/>
    <x v="3"/>
    <n v="4"/>
    <n v="-1.018"/>
    <x v="0"/>
    <x v="0"/>
    <x v="0"/>
    <n v="1.0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CB510-AF8A-4976-9897-6C24C8409393}" name="Tabela przestawna6" cacheId="16" applyNumberFormats="0" applyBorderFormats="0" applyFontFormats="0" applyPatternFormats="0" applyAlignmentFormats="0" applyWidthHeightFormats="1" dataCaption="Wartości" updatedVersion="8" minRefreshableVersion="3" showDrill="0" rowGrandTotals="0" colGrandTotals="0" itemPrintTitles="1" createdVersion="8" indent="0" outline="1" outlineData="1" multipleFieldFilters="0" chartFormat="9" rowHeaderCaption="Rok">
  <location ref="H7:I22" firstHeaderRow="1" firstDataRow="1" firstDataCol="1"/>
  <pivotFields count="9">
    <pivotField showAll="0"/>
    <pivotField axis="axisRow" showAll="0">
      <items count="23"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dataField="1" numFmtId="4" showAll="0"/>
    <pivotField showAll="0"/>
    <pivotField showAll="0"/>
    <pivotField showAll="0">
      <items count="3">
        <item x="1"/>
        <item x="0"/>
        <item t="default"/>
      </items>
    </pivotField>
    <pivotField numFmtId="4" showAll="0"/>
  </pivotFields>
  <rowFields count="1">
    <field x="1"/>
  </rowFields>
  <rowItems count="15"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Items count="1">
    <i/>
  </colItems>
  <dataFields count="1">
    <dataField name="Suma narastająco" fld="4" showDataAs="runTotal" baseField="1" baseItem="0"/>
  </dataFields>
  <formats count="5">
    <format dxfId="82">
      <pivotArea outline="0" collapsedLevelsAreSubtotals="1" fieldPosition="0"/>
    </format>
    <format dxfId="81">
      <pivotArea field="7" type="button" dataOnly="0" labelOnly="1" outline="0"/>
    </format>
    <format dxfId="80">
      <pivotArea type="topRight" dataOnly="0" labelOnly="1" outline="0" fieldPosition="0"/>
    </format>
    <format dxfId="79">
      <pivotArea outline="0" collapsedLevelsAreSubtotals="1" fieldPosition="0"/>
    </format>
    <format dxfId="78">
      <pivotArea dataOnly="0" labelOnly="1" outline="0" axis="axisValues" fieldPosition="0"/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823CFC-E719-4EA7-B10E-4AD5BDA2A42D}" name="Tabela przestawna5" cacheId="16" applyNumberFormats="0" applyBorderFormats="0" applyFontFormats="0" applyPatternFormats="0" applyAlignmentFormats="0" applyWidthHeightFormats="1" dataCaption="Wartości" updatedVersion="8" minRefreshableVersion="3" rowGrandTotals="0" colGrandTotals="0" itemPrintTitles="1" createdVersion="8" indent="0" outline="1" outlineData="1" multipleFieldFilters="0" rowHeaderCaption="Rok" colHeaderCaption="">
  <location ref="B5:F22" firstHeaderRow="1" firstDataRow="3" firstDataCol="1"/>
  <pivotFields count="9">
    <pivotField showAll="0"/>
    <pivotField axis="axisRow" showAll="0">
      <items count="23"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numFmtId="4" showAll="0"/>
    <pivotField showAll="0"/>
    <pivotField showAll="0"/>
    <pivotField axis="axisCol" showAll="0">
      <items count="3">
        <item x="1"/>
        <item x="0"/>
        <item t="default"/>
      </items>
    </pivotField>
    <pivotField dataField="1" numFmtId="4" showAll="0"/>
  </pivotFields>
  <rowFields count="1">
    <field x="1"/>
  </rowFields>
  <rowItems count="15"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Fields count="2">
    <field x="7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Suma" fld="8" baseField="0" baseItem="0"/>
    <dataField name=" " fld="8" baseField="0" baseItem="0"/>
  </dataFields>
  <formats count="13">
    <format dxfId="95">
      <pivotArea outline="0" collapsedLevelsAreSubtotals="1" fieldPosition="0"/>
    </format>
    <format dxfId="94">
      <pivotArea field="7" type="button" dataOnly="0" labelOnly="1" outline="0" axis="axisCol" fieldPosition="0"/>
    </format>
    <format dxfId="93">
      <pivotArea type="topRight" dataOnly="0" labelOnly="1" outline="0" fieldPosition="0"/>
    </format>
    <format dxfId="92">
      <pivotArea dataOnly="0" labelOnly="1" fieldPosition="0">
        <references count="1">
          <reference field="7" count="0"/>
        </references>
      </pivotArea>
    </format>
    <format dxfId="91">
      <pivotArea outline="0" collapsedLevelsAreSubtotals="1" fieldPosition="0"/>
    </format>
    <format dxfId="90">
      <pivotArea field="7" type="button" dataOnly="0" labelOnly="1" outline="0" axis="axisCol" fieldPosition="0"/>
    </format>
    <format dxfId="89">
      <pivotArea field="-2" type="button" dataOnly="0" labelOnly="1" outline="0" axis="axisCol" fieldPosition="1"/>
    </format>
    <format dxfId="88">
      <pivotArea type="topRight" dataOnly="0" labelOnly="1" outline="0" fieldPosition="0"/>
    </format>
    <format dxfId="87">
      <pivotArea dataOnly="0" labelOnly="1" fieldPosition="0">
        <references count="1">
          <reference field="7" count="0"/>
        </references>
      </pivotArea>
    </format>
    <format dxfId="86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0"/>
          </reference>
        </references>
      </pivotArea>
    </format>
    <format dxfId="85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1"/>
          </reference>
        </references>
      </pivotArea>
    </format>
    <format dxfId="84">
      <pivotArea collapsedLevelsAreSubtotals="1" fieldPosition="0">
        <references count="3">
          <reference field="4294967294" count="1" selected="0">
            <x v="0"/>
          </reference>
          <reference field="1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7" count="1" selected="0">
            <x v="0"/>
          </reference>
        </references>
      </pivotArea>
    </format>
    <format dxfId="83">
      <pivotArea dataOnly="0"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priority="3">
      <pivotAreas count="2">
        <pivotArea type="data" outline="0" collapsedLevelsAreSubtotals="1" fieldPosition="0">
          <references count="2">
            <reference field="4294967294" count="1" selected="0">
              <x v="1"/>
            </reference>
            <reference field="7" count="1" selected="0">
              <x v="0"/>
            </reference>
          </references>
        </pivotArea>
        <pivotArea type="data" outline="0" collapsedLevelsAreSubtotals="1" fieldPosition="0">
          <references count="2">
            <reference field="4294967294" count="1" selected="0">
              <x v="1"/>
            </reference>
            <reference field="7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D85FB-01F6-42D8-BD43-1AEA82E5F00F}" name="Tabela przestawna4" cacheId="16" applyNumberFormats="0" applyBorderFormats="0" applyFontFormats="0" applyPatternFormats="0" applyAlignmentFormats="0" applyWidthHeightFormats="1" dataCaption="Wartości" updatedVersion="8" minRefreshableVersion="3" showDrill="0" rowGrandTotals="0" colGrandTotals="0" itemPrintTitles="1" createdVersion="8" indent="0" compact="0" compactData="0" multipleFieldFilters="0">
  <location ref="H10:K28" firstHeaderRow="0" firstDataRow="1" firstDataCol="2" rowPageCount="1" colPageCount="1"/>
  <pivotFields count="9">
    <pivotField compact="0" outline="0" showAll="0" defaultSubtotal="0"/>
    <pivotField axis="axisPage" compact="0" outline="0" showAll="0" defaultSubtotal="0">
      <items count="22"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compact="0" outline="0" showAll="0" defaultSubtotal="0"/>
    <pivotField compact="0" outline="0" showAll="0" defaultSubtotal="0"/>
    <pivotField compact="0" numFmtId="4" outline="0" showAll="0" defaultSubtotal="0"/>
    <pivotField axis="axisRow" compact="0" outline="0" showAll="0" sortType="descending" defaultSubtotal="0">
      <items count="27">
        <item x="21"/>
        <item x="13"/>
        <item x="10"/>
        <item x="9"/>
        <item x="6"/>
        <item x="18"/>
        <item x="7"/>
        <item x="19"/>
        <item m="1" x="23"/>
        <item m="1" x="25"/>
        <item x="15"/>
        <item x="8"/>
        <item m="1" x="22"/>
        <item x="3"/>
        <item x="2"/>
        <item x="20"/>
        <item x="16"/>
        <item x="17"/>
        <item m="1" x="26"/>
        <item x="1"/>
        <item x="14"/>
        <item x="5"/>
        <item x="11"/>
        <item x="12"/>
        <item x="4"/>
        <item m="1" x="24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dataField="1" compact="0" numFmtId="4" outline="0" showAll="0" defaultSubtotal="0"/>
  </pivotFields>
  <rowFields count="2">
    <field x="7"/>
    <field x="5"/>
  </rowFields>
  <rowItems count="18">
    <i>
      <x/>
      <x v="24"/>
    </i>
    <i r="1">
      <x v="11"/>
    </i>
    <i r="1">
      <x v="21"/>
    </i>
    <i r="1">
      <x v="3"/>
    </i>
    <i r="1">
      <x v="13"/>
    </i>
    <i>
      <x v="1"/>
      <x v="26"/>
    </i>
    <i r="1">
      <x v="1"/>
    </i>
    <i r="1">
      <x v="6"/>
    </i>
    <i r="1">
      <x v="20"/>
    </i>
    <i r="1">
      <x v="16"/>
    </i>
    <i r="1">
      <x v="23"/>
    </i>
    <i r="1">
      <x v="7"/>
    </i>
    <i r="1">
      <x v="19"/>
    </i>
    <i r="1">
      <x/>
    </i>
    <i r="1">
      <x v="22"/>
    </i>
    <i r="1">
      <x v="5"/>
    </i>
    <i r="1">
      <x v="14"/>
    </i>
    <i r="1">
      <x v="15"/>
    </i>
  </rowItems>
  <colFields count="1">
    <field x="-2"/>
  </colFields>
  <colItems count="2">
    <i>
      <x/>
    </i>
    <i i="1">
      <x v="1"/>
    </i>
  </colItems>
  <pageFields count="1">
    <pageField fld="1" item="20" hier="-1"/>
  </pageFields>
  <dataFields count="2">
    <dataField name="% udział" fld="8" baseField="7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  <dataField name=" " fld="8" baseField="7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formats count="9">
    <format dxfId="68">
      <pivotArea field="1" type="button" dataOnly="0" labelOnly="1" outline="0" axis="axisPage" fieldPosition="0"/>
    </format>
    <format dxfId="67">
      <pivotArea field="7" type="button" dataOnly="0" labelOnly="1" outline="0" axis="axisRow" fieldPosition="0"/>
    </format>
    <format dxfId="66">
      <pivotArea dataOnly="0" labelOnly="1" outline="0" fieldPosition="0">
        <references count="1">
          <reference field="7" count="0"/>
        </references>
      </pivotArea>
    </format>
    <format dxfId="65">
      <pivotArea field="1" type="button" dataOnly="0" labelOnly="1" outline="0" axis="axisPage" fieldPosition="0"/>
    </format>
    <format dxfId="64">
      <pivotArea field="7" type="button" dataOnly="0" labelOnly="1" outline="0" axis="axisRow" fieldPosition="0"/>
    </format>
    <format dxfId="63">
      <pivotArea dataOnly="0" labelOnly="1" outline="0" fieldPosition="0">
        <references count="1">
          <reference field="7" count="0"/>
        </references>
      </pivotArea>
    </format>
    <format dxfId="62">
      <pivotArea field="1" type="button" dataOnly="0" labelOnly="1" outline="0" axis="axisPage" fieldPosition="0"/>
    </format>
    <format dxfId="61">
      <pivotArea field="7" type="button" dataOnly="0" labelOnly="1" outline="0" axis="axisRow" fieldPosition="0"/>
    </format>
    <format dxfId="60">
      <pivotArea dataOnly="0" labelOnly="1" outline="0" fieldPosition="0">
        <references count="1">
          <reference field="7" count="0"/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E37599-508C-4808-9B1A-778EDDC5470D}" name="Tabela przestawna3" cacheId="16" applyNumberFormats="0" applyBorderFormats="0" applyFontFormats="0" applyPatternFormats="0" applyAlignmentFormats="0" applyWidthHeightFormats="1" dataCaption="Wartości" updatedVersion="8" minRefreshableVersion="3" showDrill="0" rowGrandTotals="0" colGrandTotals="0" itemPrintTitles="1" createdVersion="8" indent="0" compact="0" compactData="0" multipleFieldFilters="0">
  <location ref="C10:F28" firstHeaderRow="0" firstDataRow="1" firstDataCol="2" rowPageCount="1" colPageCount="1"/>
  <pivotFields count="9">
    <pivotField compact="0" outline="0" showAll="0" defaultSubtotal="0"/>
    <pivotField axis="axisPage" compact="0" outline="0" showAll="0" defaultSubtotal="0">
      <items count="22"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compact="0" outline="0" showAll="0" defaultSubtotal="0"/>
    <pivotField compact="0" outline="0" showAll="0" defaultSubtotal="0"/>
    <pivotField compact="0" numFmtId="4" outline="0" showAll="0" defaultSubtotal="0"/>
    <pivotField axis="axisRow" compact="0" outline="0" showAll="0" sortType="descending" defaultSubtotal="0">
      <items count="27">
        <item x="21"/>
        <item x="13"/>
        <item x="10"/>
        <item x="9"/>
        <item x="6"/>
        <item x="18"/>
        <item x="7"/>
        <item x="19"/>
        <item m="1" x="23"/>
        <item m="1" x="25"/>
        <item x="15"/>
        <item x="8"/>
        <item m="1" x="22"/>
        <item x="3"/>
        <item x="2"/>
        <item x="20"/>
        <item x="16"/>
        <item x="17"/>
        <item m="1" x="26"/>
        <item x="1"/>
        <item x="14"/>
        <item x="5"/>
        <item x="11"/>
        <item x="12"/>
        <item x="4"/>
        <item m="1" x="24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outline="0" showAll="0" defaultSubtotal="0">
      <items count="6">
        <item x="2"/>
        <item x="3"/>
        <item x="1"/>
        <item x="4"/>
        <item x="5"/>
        <item x="0"/>
      </items>
    </pivotField>
    <pivotField compact="0" outline="0" showAll="0" defaultSubtotal="0"/>
    <pivotField dataField="1" compact="0" numFmtId="4" outline="0" showAll="0" defaultSubtotal="0"/>
  </pivotFields>
  <rowFields count="2">
    <field x="6"/>
    <field x="5"/>
  </rowFields>
  <rowItems count="18">
    <i>
      <x/>
      <x v="13"/>
    </i>
    <i>
      <x v="1"/>
      <x v="24"/>
    </i>
    <i r="1">
      <x v="11"/>
    </i>
    <i r="1">
      <x v="21"/>
    </i>
    <i r="1">
      <x v="3"/>
    </i>
    <i>
      <x v="2"/>
      <x v="1"/>
    </i>
    <i r="1">
      <x v="20"/>
    </i>
    <i r="1">
      <x v="16"/>
    </i>
    <i r="1">
      <x v="23"/>
    </i>
    <i r="1">
      <x v="7"/>
    </i>
    <i r="1">
      <x v="19"/>
    </i>
    <i r="1">
      <x/>
    </i>
    <i r="1">
      <x v="22"/>
    </i>
    <i r="1">
      <x v="5"/>
    </i>
    <i r="1">
      <x v="14"/>
    </i>
    <i r="1">
      <x v="15"/>
    </i>
    <i>
      <x v="4"/>
      <x v="6"/>
    </i>
    <i>
      <x v="5"/>
      <x v="26"/>
    </i>
  </rowItems>
  <colFields count="1">
    <field x="-2"/>
  </colFields>
  <colItems count="2">
    <i>
      <x/>
    </i>
    <i i="1">
      <x v="1"/>
    </i>
  </colItems>
  <pageFields count="1">
    <pageField fld="1" item="20" hier="-1"/>
  </pageFields>
  <dataFields count="2">
    <dataField name="% udział" fld="8" baseField="6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  <dataField name=" " fld="8" baseField="6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formats count="9">
    <format dxfId="77">
      <pivotArea field="1" type="button" dataOnly="0" labelOnly="1" outline="0" axis="axisPage" fieldPosition="0"/>
    </format>
    <format dxfId="76">
      <pivotArea field="6" type="button" dataOnly="0" labelOnly="1" outline="0" axis="axisRow" fieldPosition="0"/>
    </format>
    <format dxfId="75">
      <pivotArea dataOnly="0" labelOnly="1" outline="0" fieldPosition="0">
        <references count="1">
          <reference field="6" count="0"/>
        </references>
      </pivotArea>
    </format>
    <format dxfId="74">
      <pivotArea field="1" type="button" dataOnly="0" labelOnly="1" outline="0" axis="axisPage" fieldPosition="0"/>
    </format>
    <format dxfId="73">
      <pivotArea field="6" type="button" dataOnly="0" labelOnly="1" outline="0" axis="axisRow" fieldPosition="0"/>
    </format>
    <format dxfId="72">
      <pivotArea dataOnly="0" labelOnly="1" outline="0" fieldPosition="0">
        <references count="1">
          <reference field="6" count="0"/>
        </references>
      </pivotArea>
    </format>
    <format dxfId="71">
      <pivotArea field="1" type="button" dataOnly="0" labelOnly="1" outline="0" axis="axisPage" fieldPosition="0"/>
    </format>
    <format dxfId="70">
      <pivotArea field="6" type="button" dataOnly="0" labelOnly="1" outline="0" axis="axisRow" fieldPosition="0"/>
    </format>
    <format dxfId="69">
      <pivotArea dataOnly="0" labelOnly="1" outline="0" fieldPosition="0">
        <references count="1">
          <reference field="6" count="0"/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7F07D-5C59-4C74-A873-34C2AFBBB677}" name="Tabela przestawna1" cacheId="16" applyNumberFormats="0" applyBorderFormats="0" applyFontFormats="0" applyPatternFormats="0" applyAlignmentFormats="0" applyWidthHeightFormats="1" dataCaption="Wartości" updatedVersion="8" minRefreshableVersion="3" rowGrandTotals="0" colGrandTotals="0" itemPrintTitles="1" createdVersion="8" indent="0" compact="0" outline="1" outlineData="1" compactData="0" chartFormat="4" rowHeaderCaption="rok">
  <location ref="J10:Q25" firstHeaderRow="0" firstDataRow="1" firstDataCol="2" rowPageCount="3" colPageCount="1"/>
  <pivotFields count="9">
    <pivotField compact="0" showAll="0" defaultSubtotal="0"/>
    <pivotField axis="axisRow" compact="0" showAll="0" defaultSubtotal="0">
      <items count="22">
        <item sd="0" m="1" x="15"/>
        <item sd="0" m="1" x="16"/>
        <item sd="0" m="1" x="17"/>
        <item sd="0" m="1" x="18"/>
        <item sd="0" m="1" x="19"/>
        <item sd="0" m="1" x="20"/>
        <item sd="0" m="1" x="21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</items>
    </pivotField>
    <pivotField axis="axisRow" compact="0" showAll="0" defaultSubtota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</items>
    </pivotField>
    <pivotField compact="0" showAll="0" defaultSubtotal="0"/>
    <pivotField compact="0" numFmtId="4" showAll="0" defaultSubtotal="0"/>
    <pivotField axis="axisPage" compact="0" multipleItemSelectionAllowed="1" showAll="0" defaultSubtotal="0">
      <items count="27">
        <item h="1" x="21"/>
        <item h="1" x="13"/>
        <item h="1" x="10"/>
        <item h="1" x="9"/>
        <item h="1" x="6"/>
        <item h="1" x="18"/>
        <item h="1" x="7"/>
        <item h="1" x="19"/>
        <item h="1" m="1" x="23"/>
        <item h="1" m="1" x="25"/>
        <item h="1" x="15"/>
        <item h="1" x="8"/>
        <item h="1" m="1" x="22"/>
        <item h="1" x="3"/>
        <item h="1" x="2"/>
        <item h="1" x="20"/>
        <item h="1" x="16"/>
        <item h="1" x="17"/>
        <item h="1" m="1" x="26"/>
        <item h="1" x="1"/>
        <item x="14"/>
        <item h="1" x="5"/>
        <item h="1" x="11"/>
        <item h="1" x="12"/>
        <item h="1" x="4"/>
        <item h="1" m="1" x="24"/>
        <item h="1" x="0"/>
      </items>
    </pivotField>
    <pivotField axis="axisPage" compact="0" showAll="0" defaultSubtotal="0">
      <items count="6">
        <item x="2"/>
        <item x="3"/>
        <item x="1"/>
        <item x="4"/>
        <item x="5"/>
        <item x="0"/>
      </items>
    </pivotField>
    <pivotField axis="axisPage" compact="0" showAll="0" defaultSubtotal="0">
      <items count="2">
        <item x="1"/>
        <item x="0"/>
      </items>
    </pivotField>
    <pivotField dataField="1" compact="0" numFmtId="4" showAll="0" defaultSubtotal="0"/>
  </pivotFields>
  <rowFields count="2">
    <field x="1"/>
    <field x="2"/>
  </rowFields>
  <rowItems count="15"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3">
    <pageField fld="6" hier="-1"/>
    <pageField fld="7" item="1" hier="-1"/>
    <pageField fld="5" hier="-1"/>
  </pageFields>
  <dataFields count="6">
    <dataField name="suma" fld="8" baseField="0" baseItem="0" numFmtId="4"/>
    <dataField name=" " fld="8" baseField="1" baseItem="0"/>
    <dataField name="Liczba transakcji" fld="8" subtotal="count" baseField="0" baseItem="0"/>
    <dataField name="Średnia transakcyjna" fld="8" subtotal="average" baseField="1" baseItem="6"/>
    <dataField name="zmiana roczna sumy" fld="8" showDataAs="difference" baseField="1" baseItem="1048828"/>
    <dataField name="% zmiany rocznej" fld="8" showDataAs="percentDiff" baseField="1" baseItem="1048828" numFmtId="10"/>
  </dataFields>
  <formats count="37">
    <format dxfId="39">
      <pivotArea outline="0" collapsedLevelsAreSubtotals="1" fieldPosition="0"/>
    </format>
    <format dxfId="38">
      <pivotArea dataOnly="0" labelOnly="1" outline="0" fieldPosition="0">
        <references count="1">
          <reference field="5" count="0"/>
        </references>
      </pivotArea>
    </format>
    <format dxfId="37">
      <pivotArea dataOnly="0" labelOnly="1" outline="0" axis="axisValues" fieldPosition="0"/>
    </format>
    <format dxfId="36">
      <pivotArea outline="0" fieldPosition="0">
        <references count="1">
          <reference field="4294967294" count="1">
            <x v="5"/>
          </reference>
        </references>
      </pivotArea>
    </format>
    <format dxfId="35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34">
      <pivotArea field="1" type="button" dataOnly="0" labelOnly="1" outline="0" axis="axisRow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28">
      <pivotArea dataOnly="0" outline="0" fieldPosition="0">
        <references count="2">
          <reference field="4294967294" count="1">
            <x v="5"/>
          </reference>
          <reference field="5" count="1" selected="0">
            <x v="24"/>
          </reference>
        </references>
      </pivotArea>
    </format>
    <format dxfId="27">
      <pivotArea field="1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25">
      <pivotArea field="1" type="button" dataOnly="0" labelOnly="1" outline="0" axis="axisRow" fieldPosition="0"/>
    </format>
    <format dxfId="24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23">
      <pivotArea field="1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21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20">
      <pivotArea field="1" type="button" dataOnly="0" labelOnly="1" outline="0" axis="axisRow" fieldPosition="0"/>
    </format>
    <format dxfId="19">
      <pivotArea dataOnly="0" outline="0" fieldPosition="0">
        <references count="1">
          <reference field="4294967294" count="1">
            <x v="2"/>
          </reference>
        </references>
      </pivotArea>
    </format>
    <format dxfId="18">
      <pivotArea dataOnly="0" labelOnly="1" fieldPosition="0">
        <references count="1">
          <reference field="1" count="0"/>
        </references>
      </pivotArea>
    </format>
    <format dxfId="17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" type="button" dataOnly="0" labelOnly="1" outline="0" axis="axisRow" fieldPosition="0"/>
    </format>
    <format dxfId="12">
      <pivotArea dataOnly="0" labelOnly="1" fieldPosition="0">
        <references count="1">
          <reference field="1" count="17"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11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1" count="0"/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1" count="0"/>
        </references>
      </pivotArea>
    </format>
  </formats>
  <conditionalFormats count="4">
    <conditionalFormat priority="9">
      <pivotAreas count="1">
        <pivotArea outline="0" fieldPosition="0">
          <references count="2">
            <reference field="4294967294" count="1">
              <x v="5"/>
            </reference>
            <reference field="5" count="1" selected="0">
              <x v="24"/>
            </reference>
          </references>
        </pivotArea>
      </pivotAreas>
    </conditionalFormat>
    <conditionalFormat priority="7">
      <pivotAreas count="1">
        <pivotArea outline="0" fieldPosition="0">
          <references count="4">
            <reference field="4294967294" count="1">
              <x v="0"/>
            </reference>
            <reference field="5" count="1" selected="0">
              <x v="4"/>
            </reference>
            <reference field="6" count="1" selected="0">
              <x v="3"/>
            </reference>
            <reference field="7" count="1" selected="0">
              <x v="1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5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B3BF9-20A8-42F3-92D1-76D7D3A33776}" name="Tabela przestawna2" cacheId="16" applyNumberFormats="0" applyBorderFormats="0" applyFontFormats="0" applyPatternFormats="0" applyAlignmentFormats="0" applyWidthHeightFormats="1" dataCaption="Wartości" updatedVersion="8" minRefreshableVersion="3" showDrill="0" rowGrandTotals="0" colGrandTotals="0" itemPrintTitles="1" createdVersion="8" indent="0" outline="1" outlineData="1" chartFormat="14" rowHeaderCaption="mc" colHeaderCaption="">
  <location ref="S10:U15" firstHeaderRow="0" firstDataRow="1" firstDataCol="1" rowPageCount="4" colPageCount="1"/>
  <pivotFields count="9">
    <pivotField showAll="0" defaultSubtotal="0"/>
    <pivotField axis="axisPage" showAll="0" defaultSubtotal="0">
      <items count="22">
        <item m="1" x="15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 defaultSubtotal="0"/>
    <pivotField numFmtId="4" showAll="0" defaultSubtotal="0"/>
    <pivotField axis="axisPage" multipleItemSelectionAllowed="1" showAll="0" defaultSubtotal="0">
      <items count="27">
        <item h="1" x="21"/>
        <item h="1" x="13"/>
        <item h="1" x="10"/>
        <item h="1" x="9"/>
        <item h="1" x="6"/>
        <item h="1" x="18"/>
        <item h="1" x="7"/>
        <item h="1" x="19"/>
        <item h="1" m="1" x="23"/>
        <item h="1" m="1" x="25"/>
        <item h="1" x="15"/>
        <item h="1" x="8"/>
        <item h="1" m="1" x="22"/>
        <item h="1" x="3"/>
        <item h="1" x="2"/>
        <item h="1" x="20"/>
        <item h="1" x="16"/>
        <item h="1" x="17"/>
        <item h="1" m="1" x="26"/>
        <item h="1" x="1"/>
        <item x="14"/>
        <item h="1" x="5"/>
        <item h="1" x="11"/>
        <item h="1" x="12"/>
        <item h="1" x="4"/>
        <item h="1" m="1" x="24"/>
        <item h="1" x="0"/>
      </items>
    </pivotField>
    <pivotField axis="axisPage" showAll="0" defaultSubtotal="0">
      <items count="6">
        <item x="2"/>
        <item x="3"/>
        <item x="1"/>
        <item x="4"/>
        <item x="5"/>
        <item x="0"/>
      </items>
    </pivotField>
    <pivotField axis="axisPage" multipleItemSelectionAllowed="1" showAll="0" defaultSubtotal="0">
      <items count="2">
        <item h="1" x="1"/>
        <item x="0"/>
      </items>
    </pivotField>
    <pivotField dataField="1" numFmtId="4" showAll="0" defaultSubtotal="0"/>
  </pivotFields>
  <rowFields count="1">
    <field x="2"/>
  </rowFields>
  <rowItems count="5">
    <i>
      <x/>
    </i>
    <i>
      <x v="4"/>
    </i>
    <i>
      <x v="8"/>
    </i>
    <i>
      <x v="9"/>
    </i>
    <i>
      <x v="10"/>
    </i>
  </rowItems>
  <colFields count="1">
    <field x="-2"/>
  </colFields>
  <colItems count="2">
    <i>
      <x/>
    </i>
    <i i="1">
      <x v="1"/>
    </i>
  </colItems>
  <pageFields count="4">
    <pageField fld="1" item="9" hier="-1"/>
    <pageField fld="7" hier="-1"/>
    <pageField fld="6" hier="-1"/>
    <pageField fld="5" hier="-1"/>
  </pageFields>
  <dataFields count="2">
    <dataField name="suma" fld="8" baseField="0" baseItem="0"/>
    <dataField name=" " fld="8" baseField="2" baseItem="0"/>
  </dataFields>
  <formats count="19">
    <format dxfId="58">
      <pivotArea outline="0" collapsedLevelsAreSubtotals="1" fieldPosition="0"/>
    </format>
    <format dxfId="57">
      <pivotArea dataOnly="0" labelOnly="1" outline="0" fieldPosition="0">
        <references count="1">
          <reference field="5" count="0"/>
        </references>
      </pivotArea>
    </format>
    <format dxfId="56">
      <pivotArea dataOnly="0" labelOnly="1" outline="0" axis="axisValues" fieldPosition="0"/>
    </format>
    <format dxfId="55">
      <pivotArea field="1" type="button" dataOnly="0" labelOnly="1" outline="0" axis="axisPage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1" type="button" dataOnly="0" labelOnly="1" outline="0" axis="axisPage" fieldPosition="0"/>
    </format>
    <format dxfId="51">
      <pivotArea dataOnly="0" labelOnly="1" fieldPosition="0">
        <references count="1">
          <reference field="1" count="0"/>
        </references>
      </pivotArea>
    </format>
    <format dxfId="50">
      <pivotArea dataOnly="0" labelOnly="1" fieldPosition="0">
        <references count="1">
          <reference field="2" count="0"/>
        </references>
      </pivotArea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2" type="button" dataOnly="0" labelOnly="1" outline="0" axis="axisRow" fieldPosition="0"/>
    </format>
    <format dxfId="46">
      <pivotArea dataOnly="0" labelOnly="1" fieldPosition="0">
        <references count="1">
          <reference field="2" count="0"/>
        </references>
      </pivotArea>
    </format>
    <format dxfId="45">
      <pivotArea dataOnly="0" labelOnly="1" outline="0" axis="axisValues" fieldPosition="0"/>
    </format>
    <format dxfId="44">
      <pivotArea field="2" type="button" dataOnly="0" labelOnly="1" outline="0" axis="axisRow" fieldPosition="0"/>
    </format>
    <format dxfId="43">
      <pivotArea dataOnly="0" labelOnly="1" outline="0" axis="axisValues" fieldPosition="0"/>
    </format>
    <format dxfId="42">
      <pivotArea field="2" type="button" dataOnly="0" labelOnly="1" outline="0" axis="axisRow" fieldPosition="0"/>
    </format>
    <format dxfId="41">
      <pivotArea dataOnly="0" labelOnly="1" outline="0" axis="axisValues" fieldPosition="0"/>
    </format>
    <format dxfId="40">
      <pivotArea dataOnly="0" labelOnly="1" outline="0" axis="axisValues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k1" xr10:uid="{56B3786B-13A1-4238-9499-8124EC8EC73F}" sourceName="rok">
  <pivotTables>
    <pivotTable tabId="5" name="Tabela przestawna2"/>
  </pivotTables>
  <data>
    <tabular pivotCacheId="1974820864" sortOrder="descending">
      <items count="22">
        <i x="14"/>
        <i x="13"/>
        <i x="12"/>
        <i x="11"/>
        <i x="10"/>
        <i x="9"/>
        <i x="8"/>
        <i x="7"/>
        <i x="6"/>
        <i x="5"/>
        <i x="4"/>
        <i x="3"/>
        <i x="2" s="1"/>
        <i x="1"/>
        <i x="0"/>
        <i x="21" nd="1"/>
        <i x="20" nd="1"/>
        <i x="19" nd="1"/>
        <i x="18" nd="1"/>
        <i x="17" nd="1"/>
        <i x="16" nd="1"/>
        <i x="1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podkategoria" xr10:uid="{AC9840EE-1E8B-4659-86FC-72300B58C616}" sourceName="podkategoria">
  <pivotTables>
    <pivotTable tabId="5" name="Tabela przestawna1"/>
    <pivotTable tabId="5" name="Tabela przestawna2"/>
  </pivotTables>
  <data>
    <tabular pivotCacheId="1974820864">
      <items count="27">
        <i x="21"/>
        <i x="13"/>
        <i x="6"/>
        <i x="18"/>
        <i x="7"/>
        <i x="19"/>
        <i x="15"/>
        <i x="2"/>
        <i x="20"/>
        <i x="16"/>
        <i x="17"/>
        <i x="1"/>
        <i x="14" s="1"/>
        <i x="11"/>
        <i x="12"/>
        <i x="0"/>
        <i x="10" nd="1"/>
        <i x="9" nd="1"/>
        <i x="23" nd="1"/>
        <i x="25" nd="1"/>
        <i x="8" nd="1"/>
        <i x="22" nd="1"/>
        <i x="3" nd="1"/>
        <i x="26" nd="1"/>
        <i x="5" nd="1"/>
        <i x="4" nd="1"/>
        <i x="2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kategoria" xr10:uid="{7F7A6DED-4379-4374-AE98-16B590DD0AE2}" sourceName="kategoria">
  <pivotTables>
    <pivotTable tabId="5" name="Tabela przestawna1"/>
    <pivotTable tabId="5" name="Tabela przestawna2"/>
  </pivotTables>
  <data>
    <tabular pivotCacheId="1974820864">
      <items count="6">
        <i x="1" s="1"/>
        <i x="2" s="1" nd="1"/>
        <i x="3" s="1" nd="1"/>
        <i x="4" s="1" nd="1"/>
        <i x="5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typ" xr10:uid="{F2C1DDFD-40A1-46E0-87E4-B655D6B9BBFB}" sourceName="typ">
  <pivotTables>
    <pivotTable tabId="5" name="Tabela przestawna1"/>
    <pivotTable tabId="5" name="Tabela przestawna2"/>
  </pivotTables>
  <data>
    <tabular pivotCacheId="1974820864">
      <items count="2">
        <i x="0" s="1"/>
        <i x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k" xr10:uid="{8026BFDB-EFCB-4FA4-83A8-F8B64EBE4335}" sourceName="rok">
  <pivotTables>
    <pivotTable tabId="6" name="Tabela przestawna3"/>
    <pivotTable tabId="6" name="Tabela przestawna4"/>
  </pivotTables>
  <data>
    <tabular pivotCacheId="1974820864" sortOrder="descending">
      <items count="22">
        <i x="14"/>
        <i x="13" s="1"/>
        <i x="12"/>
        <i x="11"/>
        <i x="10"/>
        <i x="9"/>
        <i x="8"/>
        <i x="7"/>
        <i x="6"/>
        <i x="5"/>
        <i x="4"/>
        <i x="3"/>
        <i x="2"/>
        <i x="1"/>
        <i x="0"/>
        <i x="21" nd="1"/>
        <i x="20" nd="1"/>
        <i x="19" nd="1"/>
        <i x="18" nd="1"/>
        <i x="17" nd="1"/>
        <i x="16" nd="1"/>
        <i x="1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ok" xr10:uid="{285BAA28-0400-462B-9299-F6847106ACAB}" cache="Fragmentator_rok" caption="Wybierz rok" columnCount="5" style="SlicerStyleLight5 2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ok 1" xr10:uid="{B6C35898-D99B-4382-97BA-05E343157518}" cache="Fragmentator_rok1" caption="wybierz rok" columnCount="5" style="SlicerStyleLight5 2" rowHeight="234950"/>
  <slicer name="podkategoria" xr10:uid="{7442DF31-0854-4BF9-A1B9-CCA0C406E5C4}" cache="Fragmentator_podkategoria" caption="podkategoria" style="SlicerStyleLight5 2" rowHeight="234950"/>
  <slicer name="kategoria 2" xr10:uid="{A3C765F6-139A-441E-B69A-17265E0FD66A}" cache="Fragmentator_kategoria" caption="kategoria" style="SlicerStyleLight5 2" rowHeight="234950"/>
  <slicer name="typ" xr10:uid="{ACE4A741-A51B-4D17-93B4-A7C57235195C}" cache="Fragmentator_typ" caption="typ" style="SlicerStyleLight5 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3A2B8C-1CEE-438D-939C-C73E679E1883}" name="transakcje" displayName="transakcje" ref="A1:I4524" totalsRowShown="0">
  <autoFilter ref="A1:I4524" xr:uid="{363A2B8C-1CEE-438D-939C-C73E679E1883}"/>
  <tableColumns count="9">
    <tableColumn id="1" xr3:uid="{DDC048E1-A152-4C82-9040-3F6801A24089}" name="id"/>
    <tableColumn id="2" xr3:uid="{1C54D8BA-5BFA-4568-AD74-D8C4652E6413}" name="rok"/>
    <tableColumn id="3" xr3:uid="{1CE4F55B-5708-4712-8636-2816DF210DC5}" name="mc"/>
    <tableColumn id="4" xr3:uid="{57FE245E-D1AA-4660-BEB8-6BDFD8A3F163}" name="dzień"/>
    <tableColumn id="5" xr3:uid="{9F56B15A-045E-4191-89C6-4CF96DF8D0C7}" name="kwota" dataDxfId="2"/>
    <tableColumn id="6" xr3:uid="{F7C62222-BDE5-4B27-825E-9B273B7A8F22}" name="podkategoria"/>
    <tableColumn id="7" xr3:uid="{85B3F3C7-162B-4EE5-94C8-C52870AB4EB6}" name="kategoria" dataDxfId="1">
      <calculatedColumnFormula>_xlfn.XLOOKUP(transakcje[[#This Row],[podkategoria]],parametr[podkategoria],parametr[kategoria])</calculatedColumnFormula>
    </tableColumn>
    <tableColumn id="8" xr3:uid="{F9E9B352-E7F5-434D-89E9-598039B1F933}" name="typ">
      <calculatedColumnFormula>_xlfn.XLOOKUP(transakcje[[#This Row],[kategoria]],parametr[kategoria],parametr[typ])</calculatedColumnFormula>
    </tableColumn>
    <tableColumn id="9" xr3:uid="{3FD2D101-8423-417C-B847-0584CE171C1C}" name="kwota2" dataDxfId="0">
      <calculatedColumnFormula>ABS(transakcje[[#This Row],[kwota]])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F9682D-3A2B-41A3-BD56-D54568B27A07}" name="parametr" displayName="parametr" ref="A1:D23" totalsRowShown="0">
  <autoFilter ref="A1:D23" xr:uid="{4FF9682D-3A2B-41A3-BD56-D54568B27A07}"/>
  <tableColumns count="4">
    <tableColumn id="1" xr3:uid="{582266D1-D7FD-4058-ADDC-8410BD35962F}" name="id"/>
    <tableColumn id="2" xr3:uid="{CFC76315-4B51-47BD-8561-DE196693E89E}" name="podkategoria"/>
    <tableColumn id="3" xr3:uid="{913A00D2-574D-4E62-AB70-F14F14E36B18}" name="kategoria"/>
    <tableColumn id="4" xr3:uid="{CF0B58D3-FFD0-467D-B4D1-55BF3B604D11}" name="ty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4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EEE41-3CB6-4926-858A-B3F6845EE041}">
  <sheetPr codeName="Arkusz9"/>
  <dimension ref="G31:H31"/>
  <sheetViews>
    <sheetView showGridLines="0" workbookViewId="0">
      <selection activeCell="A13" sqref="A13"/>
    </sheetView>
  </sheetViews>
  <sheetFormatPr defaultRowHeight="14.4" x14ac:dyDescent="0.3"/>
  <cols>
    <col min="1" max="3" width="8.88671875" style="27"/>
    <col min="4" max="4" width="6.44140625" style="27" customWidth="1"/>
    <col min="5" max="16384" width="8.88671875" style="27"/>
  </cols>
  <sheetData>
    <row r="31" spans="7:8" x14ac:dyDescent="0.3">
      <c r="G31" s="29" t="s">
        <v>61</v>
      </c>
      <c r="H31" s="28" t="s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zaladuj">
                <anchor moveWithCells="1" sizeWithCells="1">
                  <from>
                    <xdr:col>20</xdr:col>
                    <xdr:colOff>449580</xdr:colOff>
                    <xdr:row>30</xdr:row>
                    <xdr:rowOff>22860</xdr:rowOff>
                  </from>
                  <to>
                    <xdr:col>22</xdr:col>
                    <xdr:colOff>434340</xdr:colOff>
                    <xdr:row>31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FEFD-3092-4287-9F4B-E5061703B2CE}">
  <sheetPr codeName="Arkusz7"/>
  <dimension ref="B2:K30"/>
  <sheetViews>
    <sheetView showGridLines="0" workbookViewId="0"/>
  </sheetViews>
  <sheetFormatPr defaultRowHeight="14.4" x14ac:dyDescent="0.3"/>
  <cols>
    <col min="1" max="1" width="5.109375" customWidth="1"/>
    <col min="2" max="2" width="5" bestFit="1" customWidth="1"/>
    <col min="3" max="3" width="13.6640625" style="15" customWidth="1"/>
    <col min="4" max="4" width="16.5546875" style="15" customWidth="1"/>
    <col min="5" max="5" width="9.88671875" style="14" bestFit="1" customWidth="1"/>
    <col min="6" max="6" width="15.21875" style="14" customWidth="1"/>
    <col min="7" max="7" width="5" customWidth="1"/>
    <col min="8" max="8" width="6.44140625" bestFit="1" customWidth="1"/>
    <col min="9" max="9" width="12.88671875" style="3" customWidth="1"/>
    <col min="10" max="10" width="13.5546875" style="3" customWidth="1"/>
    <col min="11" max="11" width="13.6640625" customWidth="1"/>
    <col min="12" max="12" width="16.109375" bestFit="1" customWidth="1"/>
  </cols>
  <sheetData>
    <row r="2" spans="2:11" x14ac:dyDescent="0.3">
      <c r="F2" s="14" t="s">
        <v>48</v>
      </c>
    </row>
    <row r="3" spans="2:11" x14ac:dyDescent="0.3">
      <c r="G3" s="18"/>
    </row>
    <row r="5" spans="2:11" hidden="1" x14ac:dyDescent="0.3">
      <c r="C5" s="16" t="s">
        <v>43</v>
      </c>
      <c r="D5" s="14"/>
      <c r="E5" s="15"/>
      <c r="F5" s="15"/>
    </row>
    <row r="6" spans="2:11" x14ac:dyDescent="0.3">
      <c r="C6" s="15" t="s">
        <v>10</v>
      </c>
      <c r="E6" s="15" t="s">
        <v>13</v>
      </c>
      <c r="F6" s="15"/>
      <c r="G6" s="15"/>
      <c r="H6" s="15"/>
      <c r="I6" s="24"/>
    </row>
    <row r="7" spans="2:11" ht="28.8" x14ac:dyDescent="0.3">
      <c r="B7" s="12" t="s">
        <v>55</v>
      </c>
      <c r="C7" s="2" t="s">
        <v>39</v>
      </c>
      <c r="D7" s="14" t="s">
        <v>48</v>
      </c>
      <c r="E7" s="2" t="s">
        <v>39</v>
      </c>
      <c r="F7" s="14" t="s">
        <v>48</v>
      </c>
      <c r="H7" s="12" t="s">
        <v>55</v>
      </c>
      <c r="I7" s="7" t="s">
        <v>56</v>
      </c>
      <c r="J7" s="25" t="s">
        <v>58</v>
      </c>
      <c r="K7" s="23" t="s">
        <v>59</v>
      </c>
    </row>
    <row r="8" spans="2:11" x14ac:dyDescent="0.3">
      <c r="B8" s="5">
        <v>2010</v>
      </c>
      <c r="C8" s="17">
        <v>9398.1499999999978</v>
      </c>
      <c r="D8" s="15">
        <v>9398.1499999999978</v>
      </c>
      <c r="E8" s="17">
        <v>4529.9479999999985</v>
      </c>
      <c r="F8" s="15">
        <v>4529.9479999999985</v>
      </c>
      <c r="H8" s="5">
        <v>2010</v>
      </c>
      <c r="I8" s="7">
        <v>4868.2020000000011</v>
      </c>
    </row>
    <row r="9" spans="2:11" x14ac:dyDescent="0.3">
      <c r="B9" s="5">
        <v>2011</v>
      </c>
      <c r="C9" s="17">
        <v>5829.4300000000012</v>
      </c>
      <c r="D9" s="15">
        <v>5829.4300000000012</v>
      </c>
      <c r="E9" s="17">
        <v>2968.038</v>
      </c>
      <c r="F9" s="15">
        <v>2968.038</v>
      </c>
      <c r="H9" s="5">
        <v>2011</v>
      </c>
      <c r="I9" s="7">
        <v>7729.5939999999991</v>
      </c>
      <c r="J9" s="7">
        <f>I9-I8</f>
        <v>2861.391999999998</v>
      </c>
      <c r="K9" s="26">
        <f>ROUND(J9/I8,1)</f>
        <v>0.6</v>
      </c>
    </row>
    <row r="10" spans="2:11" x14ac:dyDescent="0.3">
      <c r="B10" s="5">
        <v>2012</v>
      </c>
      <c r="C10" s="17">
        <v>6592.1900000000005</v>
      </c>
      <c r="D10" s="15">
        <v>6592.1900000000005</v>
      </c>
      <c r="E10" s="17">
        <v>2958.768</v>
      </c>
      <c r="F10" s="15">
        <v>2958.768</v>
      </c>
      <c r="H10" s="5">
        <v>2012</v>
      </c>
      <c r="I10" s="7">
        <v>11363.015999999998</v>
      </c>
      <c r="J10" s="7">
        <f t="shared" ref="J10:J22" si="0">I10-I9</f>
        <v>3633.4219999999987</v>
      </c>
      <c r="K10" s="26">
        <f t="shared" ref="K10:K22" si="1">ROUND(J10/I9,1)</f>
        <v>0.5</v>
      </c>
    </row>
    <row r="11" spans="2:11" x14ac:dyDescent="0.3">
      <c r="B11" s="5">
        <v>2013</v>
      </c>
      <c r="C11" s="17">
        <v>6241.4839999999986</v>
      </c>
      <c r="D11" s="15">
        <v>6241.4839999999986</v>
      </c>
      <c r="E11" s="17">
        <v>3294.2739999999994</v>
      </c>
      <c r="F11" s="15">
        <v>3294.2739999999994</v>
      </c>
      <c r="H11" s="5">
        <v>2013</v>
      </c>
      <c r="I11" s="7">
        <v>14310.225999999997</v>
      </c>
      <c r="J11" s="7">
        <f t="shared" si="0"/>
        <v>2947.2099999999991</v>
      </c>
      <c r="K11" s="26">
        <f t="shared" si="1"/>
        <v>0.3</v>
      </c>
    </row>
    <row r="12" spans="2:11" x14ac:dyDescent="0.3">
      <c r="B12" s="5">
        <v>2014</v>
      </c>
      <c r="C12" s="17">
        <v>6304.7819999999983</v>
      </c>
      <c r="D12" s="15">
        <v>6304.7819999999983</v>
      </c>
      <c r="E12" s="17">
        <v>3139.3960000000015</v>
      </c>
      <c r="F12" s="15">
        <v>3139.3960000000015</v>
      </c>
      <c r="H12" s="5">
        <v>2014</v>
      </c>
      <c r="I12" s="7">
        <v>17475.611999999997</v>
      </c>
      <c r="J12" s="7">
        <f t="shared" si="0"/>
        <v>3165.3860000000004</v>
      </c>
      <c r="K12" s="26">
        <f t="shared" si="1"/>
        <v>0.2</v>
      </c>
    </row>
    <row r="13" spans="2:11" x14ac:dyDescent="0.3">
      <c r="B13" s="5">
        <v>2015</v>
      </c>
      <c r="C13" s="17">
        <v>6637.6160000000018</v>
      </c>
      <c r="D13" s="15">
        <v>6637.6160000000018</v>
      </c>
      <c r="E13" s="17">
        <v>3811.3400000000042</v>
      </c>
      <c r="F13" s="15">
        <v>3811.3400000000042</v>
      </c>
      <c r="H13" s="5">
        <v>2015</v>
      </c>
      <c r="I13" s="7">
        <v>20301.887999999995</v>
      </c>
      <c r="J13" s="7">
        <f t="shared" si="0"/>
        <v>2826.275999999998</v>
      </c>
      <c r="K13" s="26">
        <f t="shared" si="1"/>
        <v>0.2</v>
      </c>
    </row>
    <row r="14" spans="2:11" x14ac:dyDescent="0.3">
      <c r="B14" s="5">
        <v>2016</v>
      </c>
      <c r="C14" s="17">
        <v>6999.9400000000014</v>
      </c>
      <c r="D14" s="15">
        <v>6999.9400000000014</v>
      </c>
      <c r="E14" s="17">
        <v>4722.1640000000007</v>
      </c>
      <c r="F14" s="15">
        <v>4722.1640000000007</v>
      </c>
      <c r="H14" s="5">
        <v>2016</v>
      </c>
      <c r="I14" s="7">
        <v>22579.663999999993</v>
      </c>
      <c r="J14" s="7">
        <f t="shared" si="0"/>
        <v>2277.775999999998</v>
      </c>
      <c r="K14" s="26">
        <f t="shared" si="1"/>
        <v>0.1</v>
      </c>
    </row>
    <row r="15" spans="2:11" x14ac:dyDescent="0.3">
      <c r="B15" s="5">
        <v>2017</v>
      </c>
      <c r="C15" s="17">
        <v>7487.3139999999976</v>
      </c>
      <c r="D15" s="15">
        <v>7487.3139999999976</v>
      </c>
      <c r="E15" s="17">
        <v>3637.5440000000003</v>
      </c>
      <c r="F15" s="15">
        <v>3637.5440000000003</v>
      </c>
      <c r="H15" s="5">
        <v>2017</v>
      </c>
      <c r="I15" s="7">
        <v>26429.433999999994</v>
      </c>
      <c r="J15" s="7">
        <f t="shared" si="0"/>
        <v>3849.7700000000004</v>
      </c>
      <c r="K15" s="26">
        <f t="shared" si="1"/>
        <v>0.2</v>
      </c>
    </row>
    <row r="16" spans="2:11" x14ac:dyDescent="0.3">
      <c r="B16" s="5">
        <v>2018</v>
      </c>
      <c r="C16" s="17">
        <v>11256.676000000001</v>
      </c>
      <c r="D16" s="15">
        <v>11256.676000000001</v>
      </c>
      <c r="E16" s="17">
        <v>4090.0940000000001</v>
      </c>
      <c r="F16" s="15">
        <v>4090.0940000000001</v>
      </c>
      <c r="H16" s="5">
        <v>2018</v>
      </c>
      <c r="I16" s="7">
        <v>33596.015999999989</v>
      </c>
      <c r="J16" s="7">
        <f t="shared" si="0"/>
        <v>7166.5819999999949</v>
      </c>
      <c r="K16" s="26">
        <f t="shared" si="1"/>
        <v>0.3</v>
      </c>
    </row>
    <row r="17" spans="2:11" x14ac:dyDescent="0.3">
      <c r="B17" s="5">
        <v>2019</v>
      </c>
      <c r="C17" s="17">
        <v>9329.3600000000042</v>
      </c>
      <c r="D17" s="15">
        <v>9329.3600000000042</v>
      </c>
      <c r="E17" s="17">
        <v>3947.5520000000024</v>
      </c>
      <c r="F17" s="15">
        <v>3947.5520000000024</v>
      </c>
      <c r="H17" s="5">
        <v>2019</v>
      </c>
      <c r="I17" s="7">
        <v>38977.823999999986</v>
      </c>
      <c r="J17" s="7">
        <f t="shared" si="0"/>
        <v>5381.8079999999973</v>
      </c>
      <c r="K17" s="26">
        <f t="shared" si="1"/>
        <v>0.2</v>
      </c>
    </row>
    <row r="18" spans="2:11" x14ac:dyDescent="0.3">
      <c r="B18" s="5">
        <v>2020</v>
      </c>
      <c r="C18" s="17">
        <v>11356.509999999998</v>
      </c>
      <c r="D18" s="15">
        <v>11356.509999999998</v>
      </c>
      <c r="E18" s="17">
        <v>4899.7180000000017</v>
      </c>
      <c r="F18" s="15">
        <v>4899.7180000000017</v>
      </c>
      <c r="H18" s="5">
        <v>2020</v>
      </c>
      <c r="I18" s="7">
        <v>45434.61599999998</v>
      </c>
      <c r="J18" s="7">
        <f t="shared" si="0"/>
        <v>6456.791999999994</v>
      </c>
      <c r="K18" s="26">
        <f t="shared" si="1"/>
        <v>0.2</v>
      </c>
    </row>
    <row r="19" spans="2:11" x14ac:dyDescent="0.3">
      <c r="B19" s="5">
        <v>2021</v>
      </c>
      <c r="C19" s="17">
        <v>13406.23</v>
      </c>
      <c r="D19" s="15">
        <v>13406.23</v>
      </c>
      <c r="E19" s="17">
        <v>4733.5200000000013</v>
      </c>
      <c r="F19" s="15">
        <v>4733.5200000000013</v>
      </c>
      <c r="H19" s="5">
        <v>2021</v>
      </c>
      <c r="I19" s="7">
        <v>54107.325999999979</v>
      </c>
      <c r="J19" s="7">
        <f t="shared" si="0"/>
        <v>8672.7099999999991</v>
      </c>
      <c r="K19" s="26">
        <f t="shared" si="1"/>
        <v>0.2</v>
      </c>
    </row>
    <row r="20" spans="2:11" x14ac:dyDescent="0.3">
      <c r="B20" s="5">
        <v>2022</v>
      </c>
      <c r="C20" s="17">
        <v>13209.472</v>
      </c>
      <c r="D20" s="15">
        <v>13209.472</v>
      </c>
      <c r="E20" s="17">
        <v>5085.8980000000038</v>
      </c>
      <c r="F20" s="15">
        <v>5085.8980000000038</v>
      </c>
      <c r="H20" s="5">
        <v>2022</v>
      </c>
      <c r="I20" s="7">
        <v>62232.495999999985</v>
      </c>
      <c r="J20" s="7">
        <f t="shared" si="0"/>
        <v>8125.1700000000055</v>
      </c>
      <c r="K20" s="26">
        <f t="shared" si="1"/>
        <v>0.2</v>
      </c>
    </row>
    <row r="21" spans="2:11" x14ac:dyDescent="0.3">
      <c r="B21" s="5">
        <v>2023</v>
      </c>
      <c r="C21" s="17">
        <v>15453.570000000003</v>
      </c>
      <c r="D21" s="15">
        <v>15453.570000000003</v>
      </c>
      <c r="E21" s="17">
        <v>4593.4280000000017</v>
      </c>
      <c r="F21" s="15">
        <v>4593.4280000000017</v>
      </c>
      <c r="H21" s="5">
        <v>2023</v>
      </c>
      <c r="I21" s="7">
        <v>73092.637999999992</v>
      </c>
      <c r="J21" s="7">
        <f t="shared" si="0"/>
        <v>10860.142000000007</v>
      </c>
      <c r="K21" s="26">
        <f t="shared" si="1"/>
        <v>0.2</v>
      </c>
    </row>
    <row r="22" spans="2:11" x14ac:dyDescent="0.3">
      <c r="B22" s="5">
        <v>2024</v>
      </c>
      <c r="C22" s="17">
        <v>4779.1359999999995</v>
      </c>
      <c r="D22" s="15">
        <v>4779.1359999999995</v>
      </c>
      <c r="E22" s="17">
        <v>1162.6899999999996</v>
      </c>
      <c r="F22" s="15">
        <v>1162.6899999999996</v>
      </c>
      <c r="H22" s="5">
        <v>2024</v>
      </c>
      <c r="I22" s="7">
        <v>76749.62</v>
      </c>
      <c r="J22" s="7">
        <f t="shared" si="0"/>
        <v>3656.9820000000036</v>
      </c>
      <c r="K22" s="26">
        <f t="shared" si="1"/>
        <v>0.1</v>
      </c>
    </row>
    <row r="23" spans="2:11" x14ac:dyDescent="0.3">
      <c r="C23"/>
      <c r="D23"/>
      <c r="E23"/>
      <c r="F23"/>
      <c r="I23"/>
      <c r="J23" s="7"/>
      <c r="K23" s="26"/>
    </row>
    <row r="24" spans="2:11" x14ac:dyDescent="0.3">
      <c r="C24"/>
      <c r="D24"/>
      <c r="E24"/>
      <c r="F24"/>
      <c r="I24"/>
      <c r="J24" s="7"/>
      <c r="K24" s="26"/>
    </row>
    <row r="25" spans="2:11" x14ac:dyDescent="0.3">
      <c r="C25"/>
      <c r="D25"/>
      <c r="E25"/>
      <c r="F25"/>
      <c r="I25"/>
      <c r="J25" s="7"/>
      <c r="K25" s="26"/>
    </row>
    <row r="26" spans="2:11" x14ac:dyDescent="0.3">
      <c r="C26"/>
      <c r="D26"/>
      <c r="E26"/>
      <c r="F26"/>
      <c r="I26"/>
      <c r="J26" s="7"/>
      <c r="K26" s="26"/>
    </row>
    <row r="27" spans="2:11" x14ac:dyDescent="0.3">
      <c r="C27"/>
      <c r="D27"/>
      <c r="E27"/>
      <c r="F27"/>
      <c r="I27"/>
      <c r="J27" s="7"/>
      <c r="K27" s="26"/>
    </row>
    <row r="28" spans="2:11" x14ac:dyDescent="0.3">
      <c r="C28"/>
      <c r="D28"/>
      <c r="E28"/>
      <c r="F28"/>
      <c r="I28"/>
      <c r="J28" s="7"/>
      <c r="K28" s="26"/>
    </row>
    <row r="29" spans="2:11" x14ac:dyDescent="0.3">
      <c r="C29"/>
      <c r="D29"/>
      <c r="E29"/>
      <c r="F29"/>
      <c r="I29"/>
      <c r="J29" s="7"/>
      <c r="K29" s="26"/>
    </row>
    <row r="30" spans="2:11" x14ac:dyDescent="0.3">
      <c r="C30" s="14"/>
      <c r="D30" s="14"/>
    </row>
  </sheetData>
  <conditionalFormatting pivot="1" sqref="D8:D22 F8:F22">
    <cfRule type="dataBar" priority="3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{9D717894-5919-4FA4-82FF-04611C55BC57}</x14:id>
        </ext>
      </extLst>
    </cfRule>
  </conditionalFormatting>
  <conditionalFormatting sqref="K9:K2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D717894-5919-4FA4-82FF-04611C55BC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D8:D22 F8:F22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8C3B2-1089-4995-8378-EED61F80DF6F}">
  <sheetPr codeName="Arkusz1"/>
  <dimension ref="A1:K3004"/>
  <sheetViews>
    <sheetView showGridLines="0" workbookViewId="0">
      <selection activeCell="N20" sqref="N20"/>
    </sheetView>
  </sheetViews>
  <sheetFormatPr defaultRowHeight="14.4" x14ac:dyDescent="0.3"/>
  <cols>
    <col min="1" max="1" width="1.44140625" bestFit="1" customWidth="1"/>
    <col min="3" max="3" width="20.77734375" style="21" customWidth="1"/>
    <col min="4" max="4" width="22" bestFit="1" customWidth="1"/>
    <col min="5" max="5" width="13.77734375" bestFit="1" customWidth="1"/>
    <col min="6" max="6" width="15.77734375" bestFit="1" customWidth="1"/>
    <col min="7" max="7" width="11.6640625" customWidth="1"/>
    <col min="8" max="8" width="17.77734375" style="19" customWidth="1"/>
    <col min="9" max="9" width="22" bestFit="1" customWidth="1"/>
    <col min="10" max="10" width="13.77734375" bestFit="1" customWidth="1"/>
    <col min="11" max="12" width="15.77734375" bestFit="1" customWidth="1"/>
    <col min="13" max="13" width="6.88671875" bestFit="1" customWidth="1"/>
    <col min="14" max="14" width="7.88671875" bestFit="1" customWidth="1"/>
    <col min="15" max="15" width="7.88671875" customWidth="1"/>
    <col min="16" max="20" width="7.88671875" bestFit="1" customWidth="1"/>
    <col min="21" max="21" width="6.88671875" bestFit="1" customWidth="1"/>
    <col min="22" max="25" width="7.88671875" bestFit="1" customWidth="1"/>
    <col min="26" max="26" width="6.88671875" bestFit="1" customWidth="1"/>
  </cols>
  <sheetData>
    <row r="1" spans="1:11" x14ac:dyDescent="0.3">
      <c r="A1" t="s">
        <v>48</v>
      </c>
    </row>
    <row r="3" spans="1:11" x14ac:dyDescent="0.3">
      <c r="C3" s="13"/>
    </row>
    <row r="4" spans="1:11" x14ac:dyDescent="0.3">
      <c r="C4" s="13"/>
    </row>
    <row r="5" spans="1:11" x14ac:dyDescent="0.3">
      <c r="C5" s="13"/>
    </row>
    <row r="6" spans="1:11" x14ac:dyDescent="0.3">
      <c r="C6" s="32" t="s">
        <v>53</v>
      </c>
      <c r="D6" s="32"/>
      <c r="E6" s="32"/>
      <c r="F6" s="32"/>
      <c r="H6" s="32" t="s">
        <v>54</v>
      </c>
      <c r="I6" s="32"/>
      <c r="J6" s="32"/>
      <c r="K6" s="32"/>
    </row>
    <row r="7" spans="1:11" ht="15" customHeight="1" x14ac:dyDescent="0.3">
      <c r="C7" s="13"/>
    </row>
    <row r="8" spans="1:11" hidden="1" x14ac:dyDescent="0.3">
      <c r="C8" s="22" t="s">
        <v>1</v>
      </c>
      <c r="D8" s="5">
        <v>2023</v>
      </c>
      <c r="H8" s="20" t="s">
        <v>1</v>
      </c>
      <c r="I8" s="5">
        <v>2023</v>
      </c>
    </row>
    <row r="9" spans="1:11" hidden="1" x14ac:dyDescent="0.3">
      <c r="C9" s="13"/>
    </row>
    <row r="10" spans="1:11" x14ac:dyDescent="0.3">
      <c r="C10" s="22" t="s">
        <v>6</v>
      </c>
      <c r="D10" s="12" t="s">
        <v>5</v>
      </c>
      <c r="E10" t="s">
        <v>57</v>
      </c>
      <c r="F10" t="s">
        <v>48</v>
      </c>
      <c r="H10" s="20" t="s">
        <v>7</v>
      </c>
      <c r="I10" s="12" t="s">
        <v>5</v>
      </c>
      <c r="J10" t="s">
        <v>57</v>
      </c>
      <c r="K10" t="s">
        <v>48</v>
      </c>
    </row>
    <row r="11" spans="1:11" x14ac:dyDescent="0.3">
      <c r="C11" s="13" t="s">
        <v>18</v>
      </c>
      <c r="D11" t="s">
        <v>17</v>
      </c>
      <c r="E11" s="6">
        <v>1</v>
      </c>
      <c r="F11" s="6">
        <v>1</v>
      </c>
      <c r="H11" s="19" t="s">
        <v>10</v>
      </c>
      <c r="I11" t="s">
        <v>8</v>
      </c>
      <c r="J11" s="6">
        <v>0.82127650762898152</v>
      </c>
      <c r="K11" s="6">
        <v>0.82127650762898152</v>
      </c>
    </row>
    <row r="12" spans="1:11" x14ac:dyDescent="0.3">
      <c r="C12" s="13" t="s">
        <v>9</v>
      </c>
      <c r="D12" t="s">
        <v>8</v>
      </c>
      <c r="E12" s="6">
        <v>0.82127905858612682</v>
      </c>
      <c r="F12" s="6">
        <v>0.82127905858612682</v>
      </c>
      <c r="I12" t="s">
        <v>19</v>
      </c>
      <c r="J12" s="6">
        <v>0.10545045578465041</v>
      </c>
      <c r="K12" s="6">
        <v>0.10545045578465041</v>
      </c>
    </row>
    <row r="13" spans="1:11" x14ac:dyDescent="0.3">
      <c r="C13" s="13"/>
      <c r="D13" t="s">
        <v>19</v>
      </c>
      <c r="E13" s="6">
        <v>0.10545078332305088</v>
      </c>
      <c r="F13" s="6">
        <v>0.10545078332305088</v>
      </c>
      <c r="I13" t="s">
        <v>22</v>
      </c>
      <c r="J13" s="6">
        <v>5.1385019772130322E-2</v>
      </c>
      <c r="K13" s="6">
        <v>5.1385019772130322E-2</v>
      </c>
    </row>
    <row r="14" spans="1:11" x14ac:dyDescent="0.3">
      <c r="C14" s="13"/>
      <c r="D14" t="s">
        <v>22</v>
      </c>
      <c r="E14" s="6">
        <v>5.1385179378526137E-2</v>
      </c>
      <c r="F14" s="6">
        <v>5.1385179378526137E-2</v>
      </c>
      <c r="I14" t="s">
        <v>16</v>
      </c>
      <c r="J14" s="6">
        <v>2.1884910735836444E-2</v>
      </c>
      <c r="K14" s="6">
        <v>2.1884910735836444E-2</v>
      </c>
    </row>
    <row r="15" spans="1:11" x14ac:dyDescent="0.3">
      <c r="C15" s="13"/>
      <c r="D15" t="s">
        <v>16</v>
      </c>
      <c r="E15" s="6">
        <v>2.1884978712296135E-2</v>
      </c>
      <c r="F15" s="6">
        <v>2.1884978712296135E-2</v>
      </c>
      <c r="I15" t="s">
        <v>17</v>
      </c>
      <c r="J15" s="6">
        <v>3.1060784013014464E-6</v>
      </c>
      <c r="K15" s="6">
        <v>3.1060784013014464E-6</v>
      </c>
    </row>
    <row r="16" spans="1:11" x14ac:dyDescent="0.3">
      <c r="C16" s="13" t="s">
        <v>15</v>
      </c>
      <c r="D16" t="s">
        <v>31</v>
      </c>
      <c r="E16" s="6">
        <v>0.60556758140725742</v>
      </c>
      <c r="F16" s="6">
        <v>0.60556758140725742</v>
      </c>
      <c r="H16" s="19" t="s">
        <v>13</v>
      </c>
      <c r="I16" t="s">
        <v>26</v>
      </c>
      <c r="J16" s="6">
        <v>0.34604177969046218</v>
      </c>
      <c r="K16" s="6">
        <v>0.34604177969046218</v>
      </c>
    </row>
    <row r="17" spans="3:11" x14ac:dyDescent="0.3">
      <c r="C17" s="13"/>
      <c r="D17" t="s">
        <v>32</v>
      </c>
      <c r="E17" s="6">
        <v>0.14013996539658158</v>
      </c>
      <c r="F17" s="6">
        <v>0.14013996539658158</v>
      </c>
      <c r="I17" t="s">
        <v>31</v>
      </c>
      <c r="J17" s="6">
        <v>0.27187015884433147</v>
      </c>
      <c r="K17" s="6">
        <v>0.27187015884433147</v>
      </c>
    </row>
    <row r="18" spans="3:11" x14ac:dyDescent="0.3">
      <c r="C18" s="13"/>
      <c r="D18" t="s">
        <v>34</v>
      </c>
      <c r="E18" s="6">
        <v>5.3105773184678282E-2</v>
      </c>
      <c r="F18" s="6">
        <v>5.3105773184678282E-2</v>
      </c>
      <c r="I18" t="s">
        <v>11</v>
      </c>
      <c r="J18" s="6">
        <v>0.20500724077965296</v>
      </c>
      <c r="K18" s="6">
        <v>0.20500724077965296</v>
      </c>
    </row>
    <row r="19" spans="3:11" x14ac:dyDescent="0.3">
      <c r="C19" s="13"/>
      <c r="D19" t="s">
        <v>30</v>
      </c>
      <c r="E19" s="6">
        <v>4.4999961206929992E-2</v>
      </c>
      <c r="F19" s="6">
        <v>4.4999961206929992E-2</v>
      </c>
      <c r="I19" t="s">
        <v>32</v>
      </c>
      <c r="J19" s="6">
        <v>6.2915974736079461E-2</v>
      </c>
      <c r="K19" s="6">
        <v>6.2915974736079461E-2</v>
      </c>
    </row>
    <row r="20" spans="3:11" x14ac:dyDescent="0.3">
      <c r="C20" s="13"/>
      <c r="D20" t="s">
        <v>23</v>
      </c>
      <c r="E20" s="6">
        <v>4.2943928496613354E-2</v>
      </c>
      <c r="F20" s="6">
        <v>4.2943928496613354E-2</v>
      </c>
      <c r="I20" t="s">
        <v>34</v>
      </c>
      <c r="J20" s="6">
        <v>2.3841888889953207E-2</v>
      </c>
      <c r="K20" s="6">
        <v>2.3841888889953207E-2</v>
      </c>
    </row>
    <row r="21" spans="3:11" x14ac:dyDescent="0.3">
      <c r="C21" s="13"/>
      <c r="D21" t="s">
        <v>25</v>
      </c>
      <c r="E21" s="6">
        <v>3.3749970905197484E-2</v>
      </c>
      <c r="F21" s="6">
        <v>3.3749970905197484E-2</v>
      </c>
      <c r="I21" t="s">
        <v>30</v>
      </c>
      <c r="J21" s="6">
        <v>2.0202776662658038E-2</v>
      </c>
      <c r="K21" s="6">
        <v>2.0202776662658038E-2</v>
      </c>
    </row>
    <row r="22" spans="3:11" x14ac:dyDescent="0.3">
      <c r="C22" s="13"/>
      <c r="D22" t="s">
        <v>37</v>
      </c>
      <c r="E22" s="6">
        <v>2.8600190861904427E-2</v>
      </c>
      <c r="F22" s="6">
        <v>2.8600190861904427E-2</v>
      </c>
      <c r="I22" t="s">
        <v>23</v>
      </c>
      <c r="J22" s="6">
        <v>1.9279718763415901E-2</v>
      </c>
      <c r="K22" s="6">
        <v>1.9279718763415901E-2</v>
      </c>
    </row>
    <row r="23" spans="3:11" x14ac:dyDescent="0.3">
      <c r="C23" s="13"/>
      <c r="D23" t="s">
        <v>29</v>
      </c>
      <c r="E23" s="6">
        <v>2.1045240478240964E-2</v>
      </c>
      <c r="F23" s="6">
        <v>2.1045240478240964E-2</v>
      </c>
      <c r="I23" t="s">
        <v>25</v>
      </c>
      <c r="J23" s="6">
        <v>1.5152082496993523E-2</v>
      </c>
      <c r="K23" s="6">
        <v>1.5152082496993523E-2</v>
      </c>
    </row>
    <row r="24" spans="3:11" x14ac:dyDescent="0.3">
      <c r="C24" s="13"/>
      <c r="D24" t="s">
        <v>35</v>
      </c>
      <c r="E24" s="6">
        <v>1.4997400864309599E-2</v>
      </c>
      <c r="F24" s="6">
        <v>1.4997400864309599E-2</v>
      </c>
      <c r="I24" t="s">
        <v>37</v>
      </c>
      <c r="J24" s="6">
        <v>1.2840083702193653E-2</v>
      </c>
      <c r="K24" s="6">
        <v>1.2840083702193653E-2</v>
      </c>
    </row>
    <row r="25" spans="3:11" x14ac:dyDescent="0.3">
      <c r="C25" s="13"/>
      <c r="D25" t="s">
        <v>14</v>
      </c>
      <c r="E25" s="6">
        <v>9.6129227474803878E-3</v>
      </c>
      <c r="F25" s="6">
        <v>9.6129227474803878E-3</v>
      </c>
      <c r="I25" t="s">
        <v>29</v>
      </c>
      <c r="J25" s="6">
        <v>9.4482813271482627E-3</v>
      </c>
      <c r="K25" s="6">
        <v>9.4482813271482627E-3</v>
      </c>
    </row>
    <row r="26" spans="3:11" x14ac:dyDescent="0.3">
      <c r="C26" s="13"/>
      <c r="D26" t="s">
        <v>36</v>
      </c>
      <c r="E26" s="6">
        <v>5.2370644508065081E-3</v>
      </c>
      <c r="F26" s="6">
        <v>5.2370644508065081E-3</v>
      </c>
      <c r="I26" t="s">
        <v>35</v>
      </c>
      <c r="J26" s="6">
        <v>6.733097808434136E-3</v>
      </c>
      <c r="K26" s="6">
        <v>6.733097808434136E-3</v>
      </c>
    </row>
    <row r="27" spans="3:11" x14ac:dyDescent="0.3">
      <c r="C27" s="13" t="s">
        <v>12</v>
      </c>
      <c r="D27" t="s">
        <v>11</v>
      </c>
      <c r="E27" s="6">
        <v>1</v>
      </c>
      <c r="F27" s="6">
        <v>1</v>
      </c>
      <c r="I27" t="s">
        <v>14</v>
      </c>
      <c r="J27" s="6">
        <v>4.3157310836264319E-3</v>
      </c>
      <c r="K27" s="6">
        <v>4.3157310836264319E-3</v>
      </c>
    </row>
    <row r="28" spans="3:11" x14ac:dyDescent="0.3">
      <c r="C28" s="13" t="s">
        <v>27</v>
      </c>
      <c r="D28" t="s">
        <v>26</v>
      </c>
      <c r="E28" s="6">
        <v>1</v>
      </c>
      <c r="F28" s="6">
        <v>1</v>
      </c>
      <c r="I28" t="s">
        <v>36</v>
      </c>
      <c r="J28" s="6">
        <v>2.3511852150507198E-3</v>
      </c>
      <c r="K28" s="6">
        <v>2.3511852150507198E-3</v>
      </c>
    </row>
    <row r="29" spans="3:11" x14ac:dyDescent="0.3">
      <c r="C29"/>
      <c r="H29"/>
    </row>
    <row r="30" spans="3:11" x14ac:dyDescent="0.3">
      <c r="C30"/>
      <c r="H30"/>
    </row>
    <row r="31" spans="3:11" x14ac:dyDescent="0.3">
      <c r="C31"/>
      <c r="H31"/>
    </row>
    <row r="32" spans="3:11" x14ac:dyDescent="0.3">
      <c r="C32"/>
      <c r="H32"/>
    </row>
    <row r="33" spans="3:8" x14ac:dyDescent="0.3">
      <c r="C33"/>
      <c r="H33"/>
    </row>
    <row r="34" spans="3:8" x14ac:dyDescent="0.3">
      <c r="C34" s="13"/>
    </row>
    <row r="35" spans="3:8" x14ac:dyDescent="0.3">
      <c r="C35" s="13"/>
    </row>
    <row r="36" spans="3:8" x14ac:dyDescent="0.3">
      <c r="C36" s="13"/>
    </row>
    <row r="37" spans="3:8" x14ac:dyDescent="0.3">
      <c r="C37" s="13"/>
    </row>
    <row r="38" spans="3:8" x14ac:dyDescent="0.3">
      <c r="C38" s="13"/>
    </row>
    <row r="39" spans="3:8" x14ac:dyDescent="0.3">
      <c r="C39" s="13"/>
    </row>
    <row r="40" spans="3:8" x14ac:dyDescent="0.3">
      <c r="C40" s="13"/>
    </row>
    <row r="41" spans="3:8" x14ac:dyDescent="0.3">
      <c r="C41" s="13"/>
    </row>
    <row r="42" spans="3:8" x14ac:dyDescent="0.3">
      <c r="C42" s="13"/>
    </row>
    <row r="43" spans="3:8" x14ac:dyDescent="0.3">
      <c r="C43" s="13"/>
    </row>
    <row r="44" spans="3:8" x14ac:dyDescent="0.3">
      <c r="C44" s="13"/>
    </row>
    <row r="45" spans="3:8" x14ac:dyDescent="0.3">
      <c r="C45" s="13"/>
    </row>
    <row r="46" spans="3:8" x14ac:dyDescent="0.3">
      <c r="C46" s="13"/>
    </row>
    <row r="47" spans="3:8" x14ac:dyDescent="0.3">
      <c r="C47" s="13"/>
    </row>
    <row r="48" spans="3:8" x14ac:dyDescent="0.3">
      <c r="C48" s="13"/>
    </row>
    <row r="73" spans="3:3" ht="23.4" customHeight="1" x14ac:dyDescent="0.3">
      <c r="C73" s="13"/>
    </row>
    <row r="74" spans="3:3" x14ac:dyDescent="0.3">
      <c r="C74" s="13"/>
    </row>
    <row r="75" spans="3:3" x14ac:dyDescent="0.3">
      <c r="C75" s="13"/>
    </row>
    <row r="76" spans="3:3" x14ac:dyDescent="0.3">
      <c r="C76" s="13"/>
    </row>
    <row r="77" spans="3:3" x14ac:dyDescent="0.3">
      <c r="C77" s="13"/>
    </row>
    <row r="78" spans="3:3" x14ac:dyDescent="0.3">
      <c r="C78" s="13"/>
    </row>
    <row r="79" spans="3:3" x14ac:dyDescent="0.3">
      <c r="C79" s="13"/>
    </row>
    <row r="80" spans="3:3" x14ac:dyDescent="0.3">
      <c r="C80" s="13"/>
    </row>
    <row r="81" spans="3:3" x14ac:dyDescent="0.3">
      <c r="C81" s="13"/>
    </row>
    <row r="82" spans="3:3" x14ac:dyDescent="0.3">
      <c r="C82" s="13"/>
    </row>
    <row r="83" spans="3:3" x14ac:dyDescent="0.3">
      <c r="C83" s="13"/>
    </row>
    <row r="84" spans="3:3" x14ac:dyDescent="0.3">
      <c r="C84" s="13"/>
    </row>
    <row r="85" spans="3:3" x14ac:dyDescent="0.3">
      <c r="C85" s="13"/>
    </row>
    <row r="86" spans="3:3" x14ac:dyDescent="0.3">
      <c r="C86" s="13"/>
    </row>
    <row r="87" spans="3:3" x14ac:dyDescent="0.3">
      <c r="C87" s="13"/>
    </row>
    <row r="88" spans="3:3" x14ac:dyDescent="0.3">
      <c r="C88" s="13"/>
    </row>
    <row r="89" spans="3:3" x14ac:dyDescent="0.3">
      <c r="C89" s="13"/>
    </row>
    <row r="90" spans="3:3" x14ac:dyDescent="0.3">
      <c r="C90" s="13"/>
    </row>
    <row r="91" spans="3:3" x14ac:dyDescent="0.3">
      <c r="C91" s="13"/>
    </row>
    <row r="92" spans="3:3" x14ac:dyDescent="0.3">
      <c r="C92" s="13"/>
    </row>
    <row r="93" spans="3:3" x14ac:dyDescent="0.3">
      <c r="C93" s="13"/>
    </row>
    <row r="94" spans="3:3" x14ac:dyDescent="0.3">
      <c r="C94" s="13"/>
    </row>
    <row r="95" spans="3:3" x14ac:dyDescent="0.3">
      <c r="C95" s="13"/>
    </row>
    <row r="96" spans="3:3" x14ac:dyDescent="0.3">
      <c r="C96" s="13"/>
    </row>
    <row r="97" spans="3:3" x14ac:dyDescent="0.3">
      <c r="C97" s="13"/>
    </row>
    <row r="98" spans="3:3" x14ac:dyDescent="0.3">
      <c r="C98" s="13"/>
    </row>
    <row r="99" spans="3:3" x14ac:dyDescent="0.3">
      <c r="C99" s="13"/>
    </row>
    <row r="100" spans="3:3" x14ac:dyDescent="0.3">
      <c r="C100" s="13"/>
    </row>
    <row r="101" spans="3:3" x14ac:dyDescent="0.3">
      <c r="C101" s="13"/>
    </row>
    <row r="102" spans="3:3" x14ac:dyDescent="0.3">
      <c r="C102" s="13"/>
    </row>
    <row r="103" spans="3:3" x14ac:dyDescent="0.3">
      <c r="C103" s="13"/>
    </row>
    <row r="104" spans="3:3" x14ac:dyDescent="0.3">
      <c r="C104" s="13"/>
    </row>
    <row r="105" spans="3:3" x14ac:dyDescent="0.3">
      <c r="C105" s="13"/>
    </row>
    <row r="106" spans="3:3" x14ac:dyDescent="0.3">
      <c r="C106" s="13"/>
    </row>
    <row r="107" spans="3:3" x14ac:dyDescent="0.3">
      <c r="C107" s="13"/>
    </row>
    <row r="108" spans="3:3" x14ac:dyDescent="0.3">
      <c r="C108" s="13"/>
    </row>
    <row r="109" spans="3:3" x14ac:dyDescent="0.3">
      <c r="C109" s="13"/>
    </row>
    <row r="110" spans="3:3" x14ac:dyDescent="0.3">
      <c r="C110" s="13"/>
    </row>
    <row r="111" spans="3:3" x14ac:dyDescent="0.3">
      <c r="C111" s="13"/>
    </row>
    <row r="112" spans="3:3" x14ac:dyDescent="0.3">
      <c r="C112" s="13"/>
    </row>
    <row r="113" spans="3:3" x14ac:dyDescent="0.3">
      <c r="C113" s="13"/>
    </row>
    <row r="114" spans="3:3" x14ac:dyDescent="0.3">
      <c r="C114" s="13"/>
    </row>
    <row r="115" spans="3:3" x14ac:dyDescent="0.3">
      <c r="C115" s="13"/>
    </row>
    <row r="116" spans="3:3" x14ac:dyDescent="0.3">
      <c r="C116" s="13"/>
    </row>
    <row r="117" spans="3:3" x14ac:dyDescent="0.3">
      <c r="C117" s="13"/>
    </row>
    <row r="118" spans="3:3" x14ac:dyDescent="0.3">
      <c r="C118" s="13"/>
    </row>
    <row r="119" spans="3:3" x14ac:dyDescent="0.3">
      <c r="C119" s="13"/>
    </row>
    <row r="120" spans="3:3" x14ac:dyDescent="0.3">
      <c r="C120" s="13"/>
    </row>
    <row r="121" spans="3:3" x14ac:dyDescent="0.3">
      <c r="C121" s="13"/>
    </row>
    <row r="122" spans="3:3" x14ac:dyDescent="0.3">
      <c r="C122" s="13"/>
    </row>
    <row r="123" spans="3:3" x14ac:dyDescent="0.3">
      <c r="C123" s="13"/>
    </row>
    <row r="124" spans="3:3" x14ac:dyDescent="0.3">
      <c r="C124" s="13"/>
    </row>
    <row r="125" spans="3:3" x14ac:dyDescent="0.3">
      <c r="C125" s="13"/>
    </row>
    <row r="126" spans="3:3" x14ac:dyDescent="0.3">
      <c r="C126" s="13"/>
    </row>
    <row r="127" spans="3:3" x14ac:dyDescent="0.3">
      <c r="C127" s="13"/>
    </row>
    <row r="128" spans="3:3" x14ac:dyDescent="0.3">
      <c r="C128" s="13"/>
    </row>
    <row r="129" spans="3:3" x14ac:dyDescent="0.3">
      <c r="C129" s="13"/>
    </row>
    <row r="130" spans="3:3" x14ac:dyDescent="0.3">
      <c r="C130" s="13"/>
    </row>
    <row r="131" spans="3:3" x14ac:dyDescent="0.3">
      <c r="C131" s="13"/>
    </row>
    <row r="132" spans="3:3" x14ac:dyDescent="0.3">
      <c r="C132" s="13"/>
    </row>
    <row r="133" spans="3:3" x14ac:dyDescent="0.3">
      <c r="C133" s="13"/>
    </row>
    <row r="134" spans="3:3" x14ac:dyDescent="0.3">
      <c r="C134" s="13"/>
    </row>
    <row r="135" spans="3:3" x14ac:dyDescent="0.3">
      <c r="C135" s="13"/>
    </row>
    <row r="136" spans="3:3" x14ac:dyDescent="0.3">
      <c r="C136" s="13"/>
    </row>
    <row r="137" spans="3:3" x14ac:dyDescent="0.3">
      <c r="C137" s="13"/>
    </row>
    <row r="138" spans="3:3" x14ac:dyDescent="0.3">
      <c r="C138" s="13"/>
    </row>
    <row r="139" spans="3:3" x14ac:dyDescent="0.3">
      <c r="C139" s="13"/>
    </row>
    <row r="140" spans="3:3" x14ac:dyDescent="0.3">
      <c r="C140" s="13"/>
    </row>
    <row r="141" spans="3:3" x14ac:dyDescent="0.3">
      <c r="C141" s="13"/>
    </row>
    <row r="142" spans="3:3" x14ac:dyDescent="0.3">
      <c r="C142" s="13"/>
    </row>
    <row r="143" spans="3:3" x14ac:dyDescent="0.3">
      <c r="C143" s="13"/>
    </row>
    <row r="144" spans="3:3" x14ac:dyDescent="0.3">
      <c r="C144" s="13"/>
    </row>
    <row r="145" spans="3:3" x14ac:dyDescent="0.3">
      <c r="C145" s="13"/>
    </row>
    <row r="146" spans="3:3" x14ac:dyDescent="0.3">
      <c r="C146" s="13"/>
    </row>
    <row r="147" spans="3:3" x14ac:dyDescent="0.3">
      <c r="C147" s="13"/>
    </row>
    <row r="148" spans="3:3" x14ac:dyDescent="0.3">
      <c r="C148" s="13"/>
    </row>
    <row r="149" spans="3:3" x14ac:dyDescent="0.3">
      <c r="C149" s="13"/>
    </row>
    <row r="150" spans="3:3" x14ac:dyDescent="0.3">
      <c r="C150" s="13"/>
    </row>
    <row r="151" spans="3:3" x14ac:dyDescent="0.3">
      <c r="C151" s="13"/>
    </row>
    <row r="152" spans="3:3" x14ac:dyDescent="0.3">
      <c r="C152" s="13"/>
    </row>
    <row r="153" spans="3:3" x14ac:dyDescent="0.3">
      <c r="C153" s="13"/>
    </row>
    <row r="154" spans="3:3" x14ac:dyDescent="0.3">
      <c r="C154" s="13"/>
    </row>
    <row r="155" spans="3:3" x14ac:dyDescent="0.3">
      <c r="C155" s="13"/>
    </row>
    <row r="156" spans="3:3" x14ac:dyDescent="0.3">
      <c r="C156" s="13"/>
    </row>
    <row r="157" spans="3:3" x14ac:dyDescent="0.3">
      <c r="C157" s="13"/>
    </row>
    <row r="158" spans="3:3" x14ac:dyDescent="0.3">
      <c r="C158" s="13"/>
    </row>
    <row r="159" spans="3:3" x14ac:dyDescent="0.3">
      <c r="C159" s="13"/>
    </row>
    <row r="160" spans="3:3" x14ac:dyDescent="0.3">
      <c r="C160" s="13"/>
    </row>
    <row r="161" spans="3:3" x14ac:dyDescent="0.3">
      <c r="C161" s="13"/>
    </row>
    <row r="162" spans="3:3" x14ac:dyDescent="0.3">
      <c r="C162" s="13"/>
    </row>
    <row r="163" spans="3:3" x14ac:dyDescent="0.3">
      <c r="C163" s="13"/>
    </row>
    <row r="164" spans="3:3" x14ac:dyDescent="0.3">
      <c r="C164" s="13"/>
    </row>
    <row r="165" spans="3:3" x14ac:dyDescent="0.3">
      <c r="C165" s="13"/>
    </row>
    <row r="166" spans="3:3" x14ac:dyDescent="0.3">
      <c r="C166" s="13"/>
    </row>
    <row r="167" spans="3:3" x14ac:dyDescent="0.3">
      <c r="C167" s="13"/>
    </row>
    <row r="168" spans="3:3" x14ac:dyDescent="0.3">
      <c r="C168" s="13"/>
    </row>
    <row r="169" spans="3:3" x14ac:dyDescent="0.3">
      <c r="C169" s="13"/>
    </row>
    <row r="170" spans="3:3" x14ac:dyDescent="0.3">
      <c r="C170" s="13"/>
    </row>
    <row r="171" spans="3:3" x14ac:dyDescent="0.3">
      <c r="C171" s="13"/>
    </row>
    <row r="172" spans="3:3" x14ac:dyDescent="0.3">
      <c r="C172" s="13"/>
    </row>
    <row r="173" spans="3:3" x14ac:dyDescent="0.3">
      <c r="C173" s="13"/>
    </row>
    <row r="174" spans="3:3" x14ac:dyDescent="0.3">
      <c r="C174" s="13"/>
    </row>
    <row r="175" spans="3:3" x14ac:dyDescent="0.3">
      <c r="C175" s="13"/>
    </row>
    <row r="176" spans="3:3" x14ac:dyDescent="0.3">
      <c r="C176" s="13"/>
    </row>
    <row r="177" spans="3:3" x14ac:dyDescent="0.3">
      <c r="C177" s="13"/>
    </row>
    <row r="178" spans="3:3" x14ac:dyDescent="0.3">
      <c r="C178" s="13"/>
    </row>
    <row r="179" spans="3:3" x14ac:dyDescent="0.3">
      <c r="C179" s="13"/>
    </row>
    <row r="180" spans="3:3" x14ac:dyDescent="0.3">
      <c r="C180" s="13"/>
    </row>
    <row r="181" spans="3:3" x14ac:dyDescent="0.3">
      <c r="C181" s="13"/>
    </row>
    <row r="182" spans="3:3" x14ac:dyDescent="0.3">
      <c r="C182" s="13"/>
    </row>
    <row r="183" spans="3:3" x14ac:dyDescent="0.3">
      <c r="C183" s="13"/>
    </row>
    <row r="184" spans="3:3" x14ac:dyDescent="0.3">
      <c r="C184" s="13"/>
    </row>
    <row r="185" spans="3:3" x14ac:dyDescent="0.3">
      <c r="C185" s="13"/>
    </row>
    <row r="186" spans="3:3" x14ac:dyDescent="0.3">
      <c r="C186" s="13"/>
    </row>
    <row r="187" spans="3:3" x14ac:dyDescent="0.3">
      <c r="C187" s="13"/>
    </row>
    <row r="188" spans="3:3" x14ac:dyDescent="0.3">
      <c r="C188" s="13"/>
    </row>
    <row r="189" spans="3:3" x14ac:dyDescent="0.3">
      <c r="C189" s="13"/>
    </row>
    <row r="190" spans="3:3" x14ac:dyDescent="0.3">
      <c r="C190" s="13"/>
    </row>
    <row r="191" spans="3:3" x14ac:dyDescent="0.3">
      <c r="C191" s="13"/>
    </row>
    <row r="192" spans="3:3" x14ac:dyDescent="0.3">
      <c r="C192" s="13"/>
    </row>
    <row r="193" spans="3:3" x14ac:dyDescent="0.3">
      <c r="C193" s="13"/>
    </row>
    <row r="194" spans="3:3" x14ac:dyDescent="0.3">
      <c r="C194" s="13"/>
    </row>
    <row r="195" spans="3:3" x14ac:dyDescent="0.3">
      <c r="C195" s="13"/>
    </row>
    <row r="196" spans="3:3" x14ac:dyDescent="0.3">
      <c r="C196" s="13"/>
    </row>
    <row r="197" spans="3:3" x14ac:dyDescent="0.3">
      <c r="C197" s="13"/>
    </row>
    <row r="198" spans="3:3" x14ac:dyDescent="0.3">
      <c r="C198" s="13"/>
    </row>
    <row r="199" spans="3:3" x14ac:dyDescent="0.3">
      <c r="C199" s="13"/>
    </row>
    <row r="200" spans="3:3" x14ac:dyDescent="0.3">
      <c r="C200" s="13"/>
    </row>
    <row r="201" spans="3:3" x14ac:dyDescent="0.3">
      <c r="C201" s="13"/>
    </row>
    <row r="202" spans="3:3" x14ac:dyDescent="0.3">
      <c r="C202" s="13"/>
    </row>
    <row r="203" spans="3:3" x14ac:dyDescent="0.3">
      <c r="C203" s="13"/>
    </row>
    <row r="204" spans="3:3" x14ac:dyDescent="0.3">
      <c r="C204" s="13"/>
    </row>
    <row r="205" spans="3:3" x14ac:dyDescent="0.3">
      <c r="C205" s="13"/>
    </row>
    <row r="206" spans="3:3" x14ac:dyDescent="0.3">
      <c r="C206" s="13"/>
    </row>
    <row r="207" spans="3:3" x14ac:dyDescent="0.3">
      <c r="C207" s="13"/>
    </row>
    <row r="208" spans="3:3" x14ac:dyDescent="0.3">
      <c r="C208" s="13"/>
    </row>
    <row r="209" spans="3:3" x14ac:dyDescent="0.3">
      <c r="C209" s="13"/>
    </row>
    <row r="210" spans="3:3" x14ac:dyDescent="0.3">
      <c r="C210" s="13"/>
    </row>
    <row r="211" spans="3:3" x14ac:dyDescent="0.3">
      <c r="C211" s="13"/>
    </row>
    <row r="212" spans="3:3" x14ac:dyDescent="0.3">
      <c r="C212" s="13"/>
    </row>
    <row r="213" spans="3:3" x14ac:dyDescent="0.3">
      <c r="C213" s="13"/>
    </row>
    <row r="214" spans="3:3" x14ac:dyDescent="0.3">
      <c r="C214" s="13"/>
    </row>
    <row r="215" spans="3:3" x14ac:dyDescent="0.3">
      <c r="C215" s="13"/>
    </row>
    <row r="216" spans="3:3" x14ac:dyDescent="0.3">
      <c r="C216" s="13"/>
    </row>
    <row r="217" spans="3:3" x14ac:dyDescent="0.3">
      <c r="C217" s="13"/>
    </row>
    <row r="218" spans="3:3" x14ac:dyDescent="0.3">
      <c r="C218" s="13"/>
    </row>
    <row r="219" spans="3:3" x14ac:dyDescent="0.3">
      <c r="C219" s="13"/>
    </row>
    <row r="220" spans="3:3" x14ac:dyDescent="0.3">
      <c r="C220" s="13"/>
    </row>
    <row r="221" spans="3:3" x14ac:dyDescent="0.3">
      <c r="C221" s="13"/>
    </row>
    <row r="222" spans="3:3" x14ac:dyDescent="0.3">
      <c r="C222" s="13"/>
    </row>
    <row r="223" spans="3:3" x14ac:dyDescent="0.3">
      <c r="C223" s="13"/>
    </row>
    <row r="224" spans="3:3" x14ac:dyDescent="0.3">
      <c r="C224" s="13"/>
    </row>
    <row r="225" spans="3:3" x14ac:dyDescent="0.3">
      <c r="C225" s="13"/>
    </row>
    <row r="226" spans="3:3" x14ac:dyDescent="0.3">
      <c r="C226" s="13"/>
    </row>
    <row r="227" spans="3:3" x14ac:dyDescent="0.3">
      <c r="C227" s="13"/>
    </row>
    <row r="228" spans="3:3" x14ac:dyDescent="0.3">
      <c r="C228" s="13"/>
    </row>
    <row r="229" spans="3:3" x14ac:dyDescent="0.3">
      <c r="C229" s="13"/>
    </row>
    <row r="230" spans="3:3" x14ac:dyDescent="0.3">
      <c r="C230" s="13"/>
    </row>
    <row r="231" spans="3:3" x14ac:dyDescent="0.3">
      <c r="C231" s="13"/>
    </row>
    <row r="232" spans="3:3" x14ac:dyDescent="0.3">
      <c r="C232" s="13"/>
    </row>
    <row r="233" spans="3:3" x14ac:dyDescent="0.3">
      <c r="C233" s="13"/>
    </row>
    <row r="234" spans="3:3" x14ac:dyDescent="0.3">
      <c r="C234" s="13"/>
    </row>
    <row r="235" spans="3:3" x14ac:dyDescent="0.3">
      <c r="C235" s="13"/>
    </row>
    <row r="236" spans="3:3" x14ac:dyDescent="0.3">
      <c r="C236" s="13"/>
    </row>
    <row r="237" spans="3:3" x14ac:dyDescent="0.3">
      <c r="C237" s="13"/>
    </row>
    <row r="238" spans="3:3" x14ac:dyDescent="0.3">
      <c r="C238" s="13"/>
    </row>
    <row r="239" spans="3:3" x14ac:dyDescent="0.3">
      <c r="C239" s="13"/>
    </row>
    <row r="240" spans="3:3" x14ac:dyDescent="0.3">
      <c r="C240" s="13"/>
    </row>
    <row r="241" spans="3:3" x14ac:dyDescent="0.3">
      <c r="C241" s="13"/>
    </row>
    <row r="242" spans="3:3" x14ac:dyDescent="0.3">
      <c r="C242" s="13"/>
    </row>
    <row r="243" spans="3:3" x14ac:dyDescent="0.3">
      <c r="C243" s="13"/>
    </row>
    <row r="244" spans="3:3" x14ac:dyDescent="0.3">
      <c r="C244" s="13"/>
    </row>
    <row r="245" spans="3:3" x14ac:dyDescent="0.3">
      <c r="C245" s="13"/>
    </row>
    <row r="246" spans="3:3" x14ac:dyDescent="0.3">
      <c r="C246" s="13"/>
    </row>
    <row r="247" spans="3:3" x14ac:dyDescent="0.3">
      <c r="C247" s="13"/>
    </row>
    <row r="248" spans="3:3" x14ac:dyDescent="0.3">
      <c r="C248" s="13"/>
    </row>
    <row r="249" spans="3:3" x14ac:dyDescent="0.3">
      <c r="C249" s="13"/>
    </row>
    <row r="250" spans="3:3" x14ac:dyDescent="0.3">
      <c r="C250" s="13"/>
    </row>
    <row r="251" spans="3:3" x14ac:dyDescent="0.3">
      <c r="C251" s="13"/>
    </row>
    <row r="252" spans="3:3" x14ac:dyDescent="0.3">
      <c r="C252" s="13"/>
    </row>
    <row r="253" spans="3:3" x14ac:dyDescent="0.3">
      <c r="C253" s="13"/>
    </row>
    <row r="254" spans="3:3" x14ac:dyDescent="0.3">
      <c r="C254" s="13"/>
    </row>
    <row r="255" spans="3:3" x14ac:dyDescent="0.3">
      <c r="C255" s="13"/>
    </row>
    <row r="256" spans="3:3" x14ac:dyDescent="0.3">
      <c r="C256" s="13"/>
    </row>
    <row r="257" spans="3:3" x14ac:dyDescent="0.3">
      <c r="C257" s="13"/>
    </row>
    <row r="258" spans="3:3" x14ac:dyDescent="0.3">
      <c r="C258" s="13"/>
    </row>
    <row r="259" spans="3:3" x14ac:dyDescent="0.3">
      <c r="C259" s="13"/>
    </row>
    <row r="260" spans="3:3" x14ac:dyDescent="0.3">
      <c r="C260" s="13"/>
    </row>
    <row r="261" spans="3:3" x14ac:dyDescent="0.3">
      <c r="C261" s="13"/>
    </row>
    <row r="262" spans="3:3" x14ac:dyDescent="0.3">
      <c r="C262" s="13"/>
    </row>
    <row r="263" spans="3:3" x14ac:dyDescent="0.3">
      <c r="C263" s="13"/>
    </row>
    <row r="264" spans="3:3" x14ac:dyDescent="0.3">
      <c r="C264" s="13"/>
    </row>
    <row r="265" spans="3:3" x14ac:dyDescent="0.3">
      <c r="C265" s="13"/>
    </row>
    <row r="266" spans="3:3" x14ac:dyDescent="0.3">
      <c r="C266" s="13"/>
    </row>
    <row r="267" spans="3:3" x14ac:dyDescent="0.3">
      <c r="C267" s="13"/>
    </row>
    <row r="268" spans="3:3" x14ac:dyDescent="0.3">
      <c r="C268" s="13"/>
    </row>
    <row r="269" spans="3:3" x14ac:dyDescent="0.3">
      <c r="C269" s="13"/>
    </row>
    <row r="270" spans="3:3" x14ac:dyDescent="0.3">
      <c r="C270" s="13"/>
    </row>
    <row r="271" spans="3:3" x14ac:dyDescent="0.3">
      <c r="C271" s="13"/>
    </row>
    <row r="272" spans="3:3" x14ac:dyDescent="0.3">
      <c r="C272" s="13"/>
    </row>
    <row r="273" spans="3:3" x14ac:dyDescent="0.3">
      <c r="C273" s="13"/>
    </row>
    <row r="274" spans="3:3" x14ac:dyDescent="0.3">
      <c r="C274" s="13"/>
    </row>
    <row r="275" spans="3:3" x14ac:dyDescent="0.3">
      <c r="C275" s="13"/>
    </row>
    <row r="276" spans="3:3" x14ac:dyDescent="0.3">
      <c r="C276" s="13"/>
    </row>
    <row r="277" spans="3:3" x14ac:dyDescent="0.3">
      <c r="C277" s="13"/>
    </row>
    <row r="278" spans="3:3" x14ac:dyDescent="0.3">
      <c r="C278" s="13"/>
    </row>
    <row r="279" spans="3:3" x14ac:dyDescent="0.3">
      <c r="C279" s="13"/>
    </row>
    <row r="280" spans="3:3" x14ac:dyDescent="0.3">
      <c r="C280" s="13"/>
    </row>
    <row r="281" spans="3:3" x14ac:dyDescent="0.3">
      <c r="C281" s="13"/>
    </row>
    <row r="282" spans="3:3" x14ac:dyDescent="0.3">
      <c r="C282" s="13"/>
    </row>
    <row r="283" spans="3:3" x14ac:dyDescent="0.3">
      <c r="C283" s="13"/>
    </row>
    <row r="284" spans="3:3" x14ac:dyDescent="0.3">
      <c r="C284" s="13"/>
    </row>
    <row r="285" spans="3:3" x14ac:dyDescent="0.3">
      <c r="C285" s="13"/>
    </row>
    <row r="286" spans="3:3" x14ac:dyDescent="0.3">
      <c r="C286" s="13"/>
    </row>
    <row r="287" spans="3:3" x14ac:dyDescent="0.3">
      <c r="C287" s="13"/>
    </row>
    <row r="288" spans="3:3" x14ac:dyDescent="0.3">
      <c r="C288" s="13"/>
    </row>
    <row r="289" spans="3:3" x14ac:dyDescent="0.3">
      <c r="C289" s="13"/>
    </row>
    <row r="290" spans="3:3" x14ac:dyDescent="0.3">
      <c r="C290" s="13"/>
    </row>
    <row r="291" spans="3:3" x14ac:dyDescent="0.3">
      <c r="C291" s="13"/>
    </row>
    <row r="292" spans="3:3" x14ac:dyDescent="0.3">
      <c r="C292" s="13"/>
    </row>
    <row r="293" spans="3:3" x14ac:dyDescent="0.3">
      <c r="C293" s="13"/>
    </row>
    <row r="294" spans="3:3" x14ac:dyDescent="0.3">
      <c r="C294" s="13"/>
    </row>
    <row r="295" spans="3:3" x14ac:dyDescent="0.3">
      <c r="C295" s="13"/>
    </row>
    <row r="296" spans="3:3" x14ac:dyDescent="0.3">
      <c r="C296" s="13"/>
    </row>
    <row r="297" spans="3:3" x14ac:dyDescent="0.3">
      <c r="C297" s="13"/>
    </row>
    <row r="298" spans="3:3" x14ac:dyDescent="0.3">
      <c r="C298" s="13"/>
    </row>
    <row r="299" spans="3:3" x14ac:dyDescent="0.3">
      <c r="C299" s="13"/>
    </row>
    <row r="300" spans="3:3" x14ac:dyDescent="0.3">
      <c r="C300" s="13"/>
    </row>
    <row r="301" spans="3:3" x14ac:dyDescent="0.3">
      <c r="C301" s="13"/>
    </row>
    <row r="302" spans="3:3" x14ac:dyDescent="0.3">
      <c r="C302" s="13"/>
    </row>
    <row r="303" spans="3:3" x14ac:dyDescent="0.3">
      <c r="C303" s="13"/>
    </row>
    <row r="304" spans="3:3" x14ac:dyDescent="0.3">
      <c r="C304" s="13"/>
    </row>
    <row r="305" spans="3:3" x14ac:dyDescent="0.3">
      <c r="C305" s="13"/>
    </row>
    <row r="306" spans="3:3" x14ac:dyDescent="0.3">
      <c r="C306" s="13"/>
    </row>
    <row r="307" spans="3:3" x14ac:dyDescent="0.3">
      <c r="C307" s="13"/>
    </row>
    <row r="308" spans="3:3" x14ac:dyDescent="0.3">
      <c r="C308" s="13"/>
    </row>
    <row r="309" spans="3:3" x14ac:dyDescent="0.3">
      <c r="C309" s="13"/>
    </row>
    <row r="310" spans="3:3" x14ac:dyDescent="0.3">
      <c r="C310" s="13"/>
    </row>
    <row r="311" spans="3:3" x14ac:dyDescent="0.3">
      <c r="C311" s="13"/>
    </row>
    <row r="312" spans="3:3" x14ac:dyDescent="0.3">
      <c r="C312" s="13"/>
    </row>
    <row r="313" spans="3:3" x14ac:dyDescent="0.3">
      <c r="C313" s="13"/>
    </row>
    <row r="314" spans="3:3" x14ac:dyDescent="0.3">
      <c r="C314" s="13"/>
    </row>
    <row r="315" spans="3:3" x14ac:dyDescent="0.3">
      <c r="C315" s="13"/>
    </row>
    <row r="316" spans="3:3" x14ac:dyDescent="0.3">
      <c r="C316" s="13"/>
    </row>
    <row r="317" spans="3:3" x14ac:dyDescent="0.3">
      <c r="C317" s="13"/>
    </row>
    <row r="318" spans="3:3" x14ac:dyDescent="0.3">
      <c r="C318" s="13"/>
    </row>
    <row r="319" spans="3:3" x14ac:dyDescent="0.3">
      <c r="C319" s="13"/>
    </row>
    <row r="320" spans="3:3" x14ac:dyDescent="0.3">
      <c r="C320" s="13"/>
    </row>
    <row r="321" spans="3:3" x14ac:dyDescent="0.3">
      <c r="C321" s="13"/>
    </row>
    <row r="322" spans="3:3" x14ac:dyDescent="0.3">
      <c r="C322" s="13"/>
    </row>
    <row r="323" spans="3:3" x14ac:dyDescent="0.3">
      <c r="C323" s="13"/>
    </row>
    <row r="324" spans="3:3" x14ac:dyDescent="0.3">
      <c r="C324" s="13"/>
    </row>
    <row r="325" spans="3:3" x14ac:dyDescent="0.3">
      <c r="C325" s="13"/>
    </row>
    <row r="326" spans="3:3" x14ac:dyDescent="0.3">
      <c r="C326" s="13"/>
    </row>
    <row r="327" spans="3:3" x14ac:dyDescent="0.3">
      <c r="C327" s="13"/>
    </row>
    <row r="328" spans="3:3" x14ac:dyDescent="0.3">
      <c r="C328" s="13"/>
    </row>
    <row r="329" spans="3:3" x14ac:dyDescent="0.3">
      <c r="C329" s="13"/>
    </row>
    <row r="330" spans="3:3" x14ac:dyDescent="0.3">
      <c r="C330" s="13"/>
    </row>
    <row r="331" spans="3:3" x14ac:dyDescent="0.3">
      <c r="C331" s="13"/>
    </row>
    <row r="332" spans="3:3" x14ac:dyDescent="0.3">
      <c r="C332" s="13"/>
    </row>
    <row r="333" spans="3:3" x14ac:dyDescent="0.3">
      <c r="C333" s="13"/>
    </row>
    <row r="334" spans="3:3" x14ac:dyDescent="0.3">
      <c r="C334" s="13"/>
    </row>
    <row r="335" spans="3:3" x14ac:dyDescent="0.3">
      <c r="C335" s="13"/>
    </row>
    <row r="336" spans="3:3" x14ac:dyDescent="0.3">
      <c r="C336" s="13"/>
    </row>
    <row r="337" spans="3:3" x14ac:dyDescent="0.3">
      <c r="C337" s="13"/>
    </row>
    <row r="338" spans="3:3" x14ac:dyDescent="0.3">
      <c r="C338" s="13"/>
    </row>
    <row r="339" spans="3:3" x14ac:dyDescent="0.3">
      <c r="C339" s="13"/>
    </row>
    <row r="340" spans="3:3" x14ac:dyDescent="0.3">
      <c r="C340" s="13"/>
    </row>
    <row r="341" spans="3:3" x14ac:dyDescent="0.3">
      <c r="C341" s="13"/>
    </row>
    <row r="342" spans="3:3" x14ac:dyDescent="0.3">
      <c r="C342" s="13"/>
    </row>
    <row r="343" spans="3:3" x14ac:dyDescent="0.3">
      <c r="C343" s="13"/>
    </row>
    <row r="344" spans="3:3" x14ac:dyDescent="0.3">
      <c r="C344" s="13"/>
    </row>
    <row r="345" spans="3:3" x14ac:dyDescent="0.3">
      <c r="C345" s="13"/>
    </row>
    <row r="346" spans="3:3" x14ac:dyDescent="0.3">
      <c r="C346" s="13"/>
    </row>
    <row r="347" spans="3:3" x14ac:dyDescent="0.3">
      <c r="C347" s="13"/>
    </row>
    <row r="348" spans="3:3" x14ac:dyDescent="0.3">
      <c r="C348" s="13"/>
    </row>
    <row r="349" spans="3:3" x14ac:dyDescent="0.3">
      <c r="C349" s="13"/>
    </row>
    <row r="350" spans="3:3" x14ac:dyDescent="0.3">
      <c r="C350" s="13"/>
    </row>
    <row r="351" spans="3:3" x14ac:dyDescent="0.3">
      <c r="C351" s="13"/>
    </row>
    <row r="352" spans="3:3" x14ac:dyDescent="0.3">
      <c r="C352" s="13"/>
    </row>
    <row r="353" spans="3:3" x14ac:dyDescent="0.3">
      <c r="C353" s="13"/>
    </row>
    <row r="354" spans="3:3" x14ac:dyDescent="0.3">
      <c r="C354" s="13"/>
    </row>
    <row r="355" spans="3:3" x14ac:dyDescent="0.3">
      <c r="C355" s="13"/>
    </row>
    <row r="356" spans="3:3" x14ac:dyDescent="0.3">
      <c r="C356" s="13"/>
    </row>
    <row r="357" spans="3:3" x14ac:dyDescent="0.3">
      <c r="C357" s="13"/>
    </row>
    <row r="358" spans="3:3" x14ac:dyDescent="0.3">
      <c r="C358" s="13"/>
    </row>
    <row r="359" spans="3:3" x14ac:dyDescent="0.3">
      <c r="C359" s="13"/>
    </row>
    <row r="360" spans="3:3" x14ac:dyDescent="0.3">
      <c r="C360" s="13"/>
    </row>
    <row r="361" spans="3:3" x14ac:dyDescent="0.3">
      <c r="C361" s="13"/>
    </row>
    <row r="362" spans="3:3" x14ac:dyDescent="0.3">
      <c r="C362" s="13"/>
    </row>
    <row r="363" spans="3:3" x14ac:dyDescent="0.3">
      <c r="C363" s="13"/>
    </row>
    <row r="364" spans="3:3" x14ac:dyDescent="0.3">
      <c r="C364" s="13"/>
    </row>
    <row r="365" spans="3:3" x14ac:dyDescent="0.3">
      <c r="C365" s="13"/>
    </row>
    <row r="366" spans="3:3" x14ac:dyDescent="0.3">
      <c r="C366" s="13"/>
    </row>
    <row r="367" spans="3:3" x14ac:dyDescent="0.3">
      <c r="C367" s="13"/>
    </row>
    <row r="368" spans="3:3" x14ac:dyDescent="0.3">
      <c r="C368" s="13"/>
    </row>
    <row r="369" spans="3:3" x14ac:dyDescent="0.3">
      <c r="C369" s="13"/>
    </row>
    <row r="370" spans="3:3" x14ac:dyDescent="0.3">
      <c r="C370" s="13"/>
    </row>
    <row r="371" spans="3:3" x14ac:dyDescent="0.3">
      <c r="C371" s="13"/>
    </row>
    <row r="372" spans="3:3" x14ac:dyDescent="0.3">
      <c r="C372" s="13"/>
    </row>
    <row r="373" spans="3:3" x14ac:dyDescent="0.3">
      <c r="C373" s="13"/>
    </row>
    <row r="374" spans="3:3" x14ac:dyDescent="0.3">
      <c r="C374" s="13"/>
    </row>
    <row r="375" spans="3:3" x14ac:dyDescent="0.3">
      <c r="C375" s="13"/>
    </row>
    <row r="376" spans="3:3" x14ac:dyDescent="0.3">
      <c r="C376" s="13"/>
    </row>
    <row r="377" spans="3:3" x14ac:dyDescent="0.3">
      <c r="C377" s="13"/>
    </row>
    <row r="378" spans="3:3" x14ac:dyDescent="0.3">
      <c r="C378" s="13"/>
    </row>
    <row r="379" spans="3:3" x14ac:dyDescent="0.3">
      <c r="C379" s="13"/>
    </row>
    <row r="380" spans="3:3" x14ac:dyDescent="0.3">
      <c r="C380" s="13"/>
    </row>
    <row r="381" spans="3:3" x14ac:dyDescent="0.3">
      <c r="C381" s="13"/>
    </row>
    <row r="382" spans="3:3" x14ac:dyDescent="0.3">
      <c r="C382" s="13"/>
    </row>
    <row r="383" spans="3:3" x14ac:dyDescent="0.3">
      <c r="C383" s="13"/>
    </row>
    <row r="384" spans="3:3" x14ac:dyDescent="0.3">
      <c r="C384" s="13"/>
    </row>
    <row r="385" spans="3:3" x14ac:dyDescent="0.3">
      <c r="C385" s="13"/>
    </row>
    <row r="386" spans="3:3" x14ac:dyDescent="0.3">
      <c r="C386" s="13"/>
    </row>
    <row r="387" spans="3:3" x14ac:dyDescent="0.3">
      <c r="C387" s="13"/>
    </row>
    <row r="388" spans="3:3" x14ac:dyDescent="0.3">
      <c r="C388" s="13"/>
    </row>
    <row r="389" spans="3:3" x14ac:dyDescent="0.3">
      <c r="C389" s="13"/>
    </row>
    <row r="390" spans="3:3" x14ac:dyDescent="0.3">
      <c r="C390" s="13"/>
    </row>
    <row r="391" spans="3:3" x14ac:dyDescent="0.3">
      <c r="C391" s="13"/>
    </row>
    <row r="392" spans="3:3" x14ac:dyDescent="0.3">
      <c r="C392" s="13"/>
    </row>
    <row r="393" spans="3:3" x14ac:dyDescent="0.3">
      <c r="C393" s="13"/>
    </row>
    <row r="394" spans="3:3" x14ac:dyDescent="0.3">
      <c r="C394" s="13"/>
    </row>
    <row r="395" spans="3:3" x14ac:dyDescent="0.3">
      <c r="C395" s="13"/>
    </row>
    <row r="396" spans="3:3" x14ac:dyDescent="0.3">
      <c r="C396" s="13"/>
    </row>
    <row r="397" spans="3:3" x14ac:dyDescent="0.3">
      <c r="C397" s="13"/>
    </row>
    <row r="398" spans="3:3" x14ac:dyDescent="0.3">
      <c r="C398" s="13"/>
    </row>
    <row r="399" spans="3:3" x14ac:dyDescent="0.3">
      <c r="C399" s="13"/>
    </row>
    <row r="400" spans="3:3" x14ac:dyDescent="0.3">
      <c r="C400" s="13"/>
    </row>
    <row r="401" spans="3:3" x14ac:dyDescent="0.3">
      <c r="C401" s="13"/>
    </row>
    <row r="402" spans="3:3" x14ac:dyDescent="0.3">
      <c r="C402" s="13"/>
    </row>
    <row r="403" spans="3:3" x14ac:dyDescent="0.3">
      <c r="C403" s="13"/>
    </row>
    <row r="404" spans="3:3" x14ac:dyDescent="0.3">
      <c r="C404" s="13"/>
    </row>
    <row r="405" spans="3:3" x14ac:dyDescent="0.3">
      <c r="C405" s="13"/>
    </row>
    <row r="406" spans="3:3" x14ac:dyDescent="0.3">
      <c r="C406" s="13"/>
    </row>
    <row r="407" spans="3:3" x14ac:dyDescent="0.3">
      <c r="C407" s="13"/>
    </row>
    <row r="408" spans="3:3" x14ac:dyDescent="0.3">
      <c r="C408" s="13"/>
    </row>
    <row r="409" spans="3:3" x14ac:dyDescent="0.3">
      <c r="C409" s="13"/>
    </row>
    <row r="410" spans="3:3" x14ac:dyDescent="0.3">
      <c r="C410" s="13"/>
    </row>
    <row r="411" spans="3:3" x14ac:dyDescent="0.3">
      <c r="C411" s="13"/>
    </row>
    <row r="412" spans="3:3" x14ac:dyDescent="0.3">
      <c r="C412" s="13"/>
    </row>
    <row r="413" spans="3:3" x14ac:dyDescent="0.3">
      <c r="C413" s="13"/>
    </row>
    <row r="414" spans="3:3" x14ac:dyDescent="0.3">
      <c r="C414" s="13"/>
    </row>
    <row r="415" spans="3:3" x14ac:dyDescent="0.3">
      <c r="C415" s="13"/>
    </row>
    <row r="416" spans="3:3" x14ac:dyDescent="0.3">
      <c r="C416" s="13"/>
    </row>
    <row r="417" spans="3:3" x14ac:dyDescent="0.3">
      <c r="C417" s="13"/>
    </row>
    <row r="418" spans="3:3" x14ac:dyDescent="0.3">
      <c r="C418" s="13"/>
    </row>
    <row r="419" spans="3:3" x14ac:dyDescent="0.3">
      <c r="C419" s="13"/>
    </row>
    <row r="420" spans="3:3" x14ac:dyDescent="0.3">
      <c r="C420" s="13"/>
    </row>
    <row r="421" spans="3:3" x14ac:dyDescent="0.3">
      <c r="C421" s="13"/>
    </row>
    <row r="422" spans="3:3" x14ac:dyDescent="0.3">
      <c r="C422" s="13"/>
    </row>
    <row r="423" spans="3:3" x14ac:dyDescent="0.3">
      <c r="C423" s="13"/>
    </row>
    <row r="424" spans="3:3" x14ac:dyDescent="0.3">
      <c r="C424" s="13"/>
    </row>
    <row r="425" spans="3:3" x14ac:dyDescent="0.3">
      <c r="C425" s="13"/>
    </row>
    <row r="426" spans="3:3" x14ac:dyDescent="0.3">
      <c r="C426" s="13"/>
    </row>
    <row r="427" spans="3:3" x14ac:dyDescent="0.3">
      <c r="C427" s="13"/>
    </row>
    <row r="428" spans="3:3" x14ac:dyDescent="0.3">
      <c r="C428" s="13"/>
    </row>
    <row r="429" spans="3:3" x14ac:dyDescent="0.3">
      <c r="C429" s="13"/>
    </row>
    <row r="430" spans="3:3" x14ac:dyDescent="0.3">
      <c r="C430" s="13"/>
    </row>
    <row r="431" spans="3:3" x14ac:dyDescent="0.3">
      <c r="C431" s="13"/>
    </row>
    <row r="432" spans="3:3" x14ac:dyDescent="0.3">
      <c r="C432" s="13"/>
    </row>
    <row r="433" spans="3:3" x14ac:dyDescent="0.3">
      <c r="C433" s="13"/>
    </row>
    <row r="434" spans="3:3" x14ac:dyDescent="0.3">
      <c r="C434" s="13"/>
    </row>
    <row r="435" spans="3:3" x14ac:dyDescent="0.3">
      <c r="C435" s="13"/>
    </row>
    <row r="436" spans="3:3" x14ac:dyDescent="0.3">
      <c r="C436" s="13"/>
    </row>
    <row r="437" spans="3:3" x14ac:dyDescent="0.3">
      <c r="C437" s="13"/>
    </row>
    <row r="438" spans="3:3" x14ac:dyDescent="0.3">
      <c r="C438" s="13"/>
    </row>
    <row r="439" spans="3:3" x14ac:dyDescent="0.3">
      <c r="C439" s="13"/>
    </row>
    <row r="440" spans="3:3" x14ac:dyDescent="0.3">
      <c r="C440" s="13"/>
    </row>
    <row r="441" spans="3:3" x14ac:dyDescent="0.3">
      <c r="C441" s="13"/>
    </row>
    <row r="442" spans="3:3" x14ac:dyDescent="0.3">
      <c r="C442" s="13"/>
    </row>
    <row r="443" spans="3:3" x14ac:dyDescent="0.3">
      <c r="C443" s="13"/>
    </row>
    <row r="444" spans="3:3" x14ac:dyDescent="0.3">
      <c r="C444" s="13"/>
    </row>
    <row r="445" spans="3:3" x14ac:dyDescent="0.3">
      <c r="C445" s="13"/>
    </row>
    <row r="446" spans="3:3" x14ac:dyDescent="0.3">
      <c r="C446" s="13"/>
    </row>
    <row r="447" spans="3:3" x14ac:dyDescent="0.3">
      <c r="C447" s="13"/>
    </row>
    <row r="448" spans="3:3" x14ac:dyDescent="0.3">
      <c r="C448" s="13"/>
    </row>
    <row r="449" spans="3:3" x14ac:dyDescent="0.3">
      <c r="C449" s="13"/>
    </row>
    <row r="450" spans="3:3" x14ac:dyDescent="0.3">
      <c r="C450" s="13"/>
    </row>
    <row r="451" spans="3:3" x14ac:dyDescent="0.3">
      <c r="C451" s="13"/>
    </row>
    <row r="452" spans="3:3" x14ac:dyDescent="0.3">
      <c r="C452" s="13"/>
    </row>
    <row r="453" spans="3:3" x14ac:dyDescent="0.3">
      <c r="C453" s="13"/>
    </row>
    <row r="454" spans="3:3" x14ac:dyDescent="0.3">
      <c r="C454" s="13"/>
    </row>
    <row r="455" spans="3:3" x14ac:dyDescent="0.3">
      <c r="C455" s="13"/>
    </row>
    <row r="456" spans="3:3" x14ac:dyDescent="0.3">
      <c r="C456" s="13"/>
    </row>
    <row r="457" spans="3:3" x14ac:dyDescent="0.3">
      <c r="C457" s="13"/>
    </row>
    <row r="458" spans="3:3" x14ac:dyDescent="0.3">
      <c r="C458" s="13"/>
    </row>
    <row r="459" spans="3:3" x14ac:dyDescent="0.3">
      <c r="C459" s="13"/>
    </row>
    <row r="460" spans="3:3" x14ac:dyDescent="0.3">
      <c r="C460" s="13"/>
    </row>
    <row r="461" spans="3:3" x14ac:dyDescent="0.3">
      <c r="C461" s="13"/>
    </row>
    <row r="462" spans="3:3" x14ac:dyDescent="0.3">
      <c r="C462" s="13"/>
    </row>
    <row r="463" spans="3:3" x14ac:dyDescent="0.3">
      <c r="C463" s="13"/>
    </row>
    <row r="464" spans="3:3" x14ac:dyDescent="0.3">
      <c r="C464" s="13"/>
    </row>
    <row r="465" spans="3:3" x14ac:dyDescent="0.3">
      <c r="C465" s="13"/>
    </row>
    <row r="466" spans="3:3" x14ac:dyDescent="0.3">
      <c r="C466" s="13"/>
    </row>
    <row r="467" spans="3:3" x14ac:dyDescent="0.3">
      <c r="C467" s="13"/>
    </row>
    <row r="468" spans="3:3" x14ac:dyDescent="0.3">
      <c r="C468" s="13"/>
    </row>
    <row r="469" spans="3:3" x14ac:dyDescent="0.3">
      <c r="C469" s="13"/>
    </row>
    <row r="470" spans="3:3" x14ac:dyDescent="0.3">
      <c r="C470" s="13"/>
    </row>
    <row r="471" spans="3:3" x14ac:dyDescent="0.3">
      <c r="C471" s="13"/>
    </row>
    <row r="472" spans="3:3" x14ac:dyDescent="0.3">
      <c r="C472" s="13"/>
    </row>
    <row r="473" spans="3:3" x14ac:dyDescent="0.3">
      <c r="C473" s="13"/>
    </row>
    <row r="474" spans="3:3" x14ac:dyDescent="0.3">
      <c r="C474" s="13"/>
    </row>
    <row r="475" spans="3:3" x14ac:dyDescent="0.3">
      <c r="C475" s="13"/>
    </row>
    <row r="476" spans="3:3" x14ac:dyDescent="0.3">
      <c r="C476" s="13"/>
    </row>
    <row r="477" spans="3:3" x14ac:dyDescent="0.3">
      <c r="C477" s="13"/>
    </row>
    <row r="478" spans="3:3" x14ac:dyDescent="0.3">
      <c r="C478" s="13"/>
    </row>
    <row r="479" spans="3:3" x14ac:dyDescent="0.3">
      <c r="C479" s="13"/>
    </row>
    <row r="480" spans="3:3" x14ac:dyDescent="0.3">
      <c r="C480" s="13"/>
    </row>
    <row r="481" spans="3:3" x14ac:dyDescent="0.3">
      <c r="C481" s="13"/>
    </row>
    <row r="482" spans="3:3" x14ac:dyDescent="0.3">
      <c r="C482" s="13"/>
    </row>
    <row r="483" spans="3:3" x14ac:dyDescent="0.3">
      <c r="C483" s="13"/>
    </row>
    <row r="484" spans="3:3" x14ac:dyDescent="0.3">
      <c r="C484" s="13"/>
    </row>
    <row r="485" spans="3:3" x14ac:dyDescent="0.3">
      <c r="C485" s="13"/>
    </row>
    <row r="486" spans="3:3" x14ac:dyDescent="0.3">
      <c r="C486" s="13"/>
    </row>
    <row r="487" spans="3:3" x14ac:dyDescent="0.3">
      <c r="C487" s="13"/>
    </row>
    <row r="488" spans="3:3" x14ac:dyDescent="0.3">
      <c r="C488" s="13"/>
    </row>
    <row r="489" spans="3:3" x14ac:dyDescent="0.3">
      <c r="C489" s="13"/>
    </row>
    <row r="490" spans="3:3" x14ac:dyDescent="0.3">
      <c r="C490" s="13"/>
    </row>
    <row r="491" spans="3:3" x14ac:dyDescent="0.3">
      <c r="C491" s="13"/>
    </row>
    <row r="492" spans="3:3" x14ac:dyDescent="0.3">
      <c r="C492" s="13"/>
    </row>
    <row r="493" spans="3:3" x14ac:dyDescent="0.3">
      <c r="C493" s="13"/>
    </row>
    <row r="494" spans="3:3" x14ac:dyDescent="0.3">
      <c r="C494" s="13"/>
    </row>
    <row r="495" spans="3:3" x14ac:dyDescent="0.3">
      <c r="C495" s="13"/>
    </row>
    <row r="496" spans="3:3" x14ac:dyDescent="0.3">
      <c r="C496" s="13"/>
    </row>
    <row r="497" spans="3:3" x14ac:dyDescent="0.3">
      <c r="C497" s="13"/>
    </row>
    <row r="498" spans="3:3" x14ac:dyDescent="0.3">
      <c r="C498" s="13"/>
    </row>
    <row r="499" spans="3:3" x14ac:dyDescent="0.3">
      <c r="C499" s="13"/>
    </row>
    <row r="500" spans="3:3" x14ac:dyDescent="0.3">
      <c r="C500" s="13"/>
    </row>
    <row r="501" spans="3:3" x14ac:dyDescent="0.3">
      <c r="C501" s="13"/>
    </row>
    <row r="502" spans="3:3" x14ac:dyDescent="0.3">
      <c r="C502" s="13"/>
    </row>
    <row r="503" spans="3:3" x14ac:dyDescent="0.3">
      <c r="C503" s="13"/>
    </row>
    <row r="504" spans="3:3" x14ac:dyDescent="0.3">
      <c r="C504" s="13"/>
    </row>
    <row r="505" spans="3:3" x14ac:dyDescent="0.3">
      <c r="C505" s="13"/>
    </row>
    <row r="506" spans="3:3" x14ac:dyDescent="0.3">
      <c r="C506" s="13"/>
    </row>
    <row r="507" spans="3:3" x14ac:dyDescent="0.3">
      <c r="C507" s="13"/>
    </row>
    <row r="508" spans="3:3" x14ac:dyDescent="0.3">
      <c r="C508" s="13"/>
    </row>
    <row r="509" spans="3:3" x14ac:dyDescent="0.3">
      <c r="C509" s="13"/>
    </row>
    <row r="510" spans="3:3" x14ac:dyDescent="0.3">
      <c r="C510" s="13"/>
    </row>
    <row r="511" spans="3:3" x14ac:dyDescent="0.3">
      <c r="C511" s="13"/>
    </row>
    <row r="512" spans="3:3" x14ac:dyDescent="0.3">
      <c r="C512" s="13"/>
    </row>
    <row r="513" spans="3:3" x14ac:dyDescent="0.3">
      <c r="C513" s="13"/>
    </row>
    <row r="514" spans="3:3" x14ac:dyDescent="0.3">
      <c r="C514" s="13"/>
    </row>
    <row r="515" spans="3:3" x14ac:dyDescent="0.3">
      <c r="C515" s="13"/>
    </row>
    <row r="516" spans="3:3" x14ac:dyDescent="0.3">
      <c r="C516" s="13"/>
    </row>
    <row r="517" spans="3:3" x14ac:dyDescent="0.3">
      <c r="C517" s="13"/>
    </row>
    <row r="518" spans="3:3" x14ac:dyDescent="0.3">
      <c r="C518" s="13"/>
    </row>
    <row r="519" spans="3:3" x14ac:dyDescent="0.3">
      <c r="C519" s="13"/>
    </row>
    <row r="520" spans="3:3" x14ac:dyDescent="0.3">
      <c r="C520" s="13"/>
    </row>
    <row r="521" spans="3:3" x14ac:dyDescent="0.3">
      <c r="C521" s="13"/>
    </row>
    <row r="522" spans="3:3" x14ac:dyDescent="0.3">
      <c r="C522" s="13"/>
    </row>
    <row r="523" spans="3:3" x14ac:dyDescent="0.3">
      <c r="C523" s="13"/>
    </row>
    <row r="524" spans="3:3" x14ac:dyDescent="0.3">
      <c r="C524" s="13"/>
    </row>
    <row r="525" spans="3:3" x14ac:dyDescent="0.3">
      <c r="C525" s="13"/>
    </row>
    <row r="526" spans="3:3" x14ac:dyDescent="0.3">
      <c r="C526" s="13"/>
    </row>
    <row r="527" spans="3:3" x14ac:dyDescent="0.3">
      <c r="C527" s="13"/>
    </row>
    <row r="528" spans="3:3" x14ac:dyDescent="0.3">
      <c r="C528" s="13"/>
    </row>
    <row r="529" spans="3:3" x14ac:dyDescent="0.3">
      <c r="C529" s="13"/>
    </row>
    <row r="530" spans="3:3" x14ac:dyDescent="0.3">
      <c r="C530" s="13"/>
    </row>
    <row r="531" spans="3:3" x14ac:dyDescent="0.3">
      <c r="C531" s="13"/>
    </row>
    <row r="532" spans="3:3" x14ac:dyDescent="0.3">
      <c r="C532" s="13"/>
    </row>
    <row r="533" spans="3:3" x14ac:dyDescent="0.3">
      <c r="C533" s="13"/>
    </row>
    <row r="534" spans="3:3" x14ac:dyDescent="0.3">
      <c r="C534" s="13"/>
    </row>
    <row r="535" spans="3:3" x14ac:dyDescent="0.3">
      <c r="C535" s="13"/>
    </row>
    <row r="536" spans="3:3" x14ac:dyDescent="0.3">
      <c r="C536" s="13"/>
    </row>
    <row r="537" spans="3:3" x14ac:dyDescent="0.3">
      <c r="C537" s="13"/>
    </row>
    <row r="538" spans="3:3" x14ac:dyDescent="0.3">
      <c r="C538" s="13"/>
    </row>
    <row r="539" spans="3:3" x14ac:dyDescent="0.3">
      <c r="C539" s="13"/>
    </row>
    <row r="540" spans="3:3" x14ac:dyDescent="0.3">
      <c r="C540" s="13"/>
    </row>
    <row r="541" spans="3:3" x14ac:dyDescent="0.3">
      <c r="C541" s="13"/>
    </row>
    <row r="542" spans="3:3" x14ac:dyDescent="0.3">
      <c r="C542" s="13"/>
    </row>
    <row r="543" spans="3:3" x14ac:dyDescent="0.3">
      <c r="C543" s="13"/>
    </row>
    <row r="544" spans="3:3" x14ac:dyDescent="0.3">
      <c r="C544" s="13"/>
    </row>
    <row r="545" spans="3:3" x14ac:dyDescent="0.3">
      <c r="C545" s="13"/>
    </row>
    <row r="546" spans="3:3" x14ac:dyDescent="0.3">
      <c r="C546" s="13"/>
    </row>
    <row r="547" spans="3:3" x14ac:dyDescent="0.3">
      <c r="C547" s="13"/>
    </row>
    <row r="548" spans="3:3" x14ac:dyDescent="0.3">
      <c r="C548" s="13"/>
    </row>
    <row r="549" spans="3:3" x14ac:dyDescent="0.3">
      <c r="C549" s="13"/>
    </row>
    <row r="550" spans="3:3" x14ac:dyDescent="0.3">
      <c r="C550" s="13"/>
    </row>
    <row r="551" spans="3:3" x14ac:dyDescent="0.3">
      <c r="C551" s="13"/>
    </row>
    <row r="552" spans="3:3" x14ac:dyDescent="0.3">
      <c r="C552" s="13"/>
    </row>
    <row r="553" spans="3:3" x14ac:dyDescent="0.3">
      <c r="C553" s="13"/>
    </row>
    <row r="554" spans="3:3" x14ac:dyDescent="0.3">
      <c r="C554" s="13"/>
    </row>
    <row r="555" spans="3:3" x14ac:dyDescent="0.3">
      <c r="C555" s="13"/>
    </row>
    <row r="556" spans="3:3" x14ac:dyDescent="0.3">
      <c r="C556" s="13"/>
    </row>
    <row r="557" spans="3:3" x14ac:dyDescent="0.3">
      <c r="C557" s="13"/>
    </row>
    <row r="558" spans="3:3" x14ac:dyDescent="0.3">
      <c r="C558" s="13"/>
    </row>
    <row r="559" spans="3:3" x14ac:dyDescent="0.3">
      <c r="C559" s="13"/>
    </row>
    <row r="560" spans="3:3" x14ac:dyDescent="0.3">
      <c r="C560" s="13"/>
    </row>
    <row r="561" spans="3:3" x14ac:dyDescent="0.3">
      <c r="C561" s="13"/>
    </row>
    <row r="562" spans="3:3" x14ac:dyDescent="0.3">
      <c r="C562" s="13"/>
    </row>
    <row r="563" spans="3:3" x14ac:dyDescent="0.3">
      <c r="C563" s="13"/>
    </row>
    <row r="564" spans="3:3" x14ac:dyDescent="0.3">
      <c r="C564" s="13"/>
    </row>
    <row r="565" spans="3:3" x14ac:dyDescent="0.3">
      <c r="C565" s="13"/>
    </row>
    <row r="566" spans="3:3" x14ac:dyDescent="0.3">
      <c r="C566" s="13"/>
    </row>
    <row r="567" spans="3:3" x14ac:dyDescent="0.3">
      <c r="C567" s="13"/>
    </row>
    <row r="568" spans="3:3" x14ac:dyDescent="0.3">
      <c r="C568" s="13"/>
    </row>
    <row r="569" spans="3:3" x14ac:dyDescent="0.3">
      <c r="C569" s="13"/>
    </row>
    <row r="570" spans="3:3" x14ac:dyDescent="0.3">
      <c r="C570" s="13"/>
    </row>
    <row r="571" spans="3:3" x14ac:dyDescent="0.3">
      <c r="C571" s="13"/>
    </row>
    <row r="572" spans="3:3" x14ac:dyDescent="0.3">
      <c r="C572" s="13"/>
    </row>
    <row r="573" spans="3:3" x14ac:dyDescent="0.3">
      <c r="C573" s="13"/>
    </row>
    <row r="574" spans="3:3" x14ac:dyDescent="0.3">
      <c r="C574" s="13"/>
    </row>
    <row r="575" spans="3:3" x14ac:dyDescent="0.3">
      <c r="C575" s="13"/>
    </row>
    <row r="576" spans="3:3" x14ac:dyDescent="0.3">
      <c r="C576" s="13"/>
    </row>
    <row r="577" spans="3:3" x14ac:dyDescent="0.3">
      <c r="C577" s="13"/>
    </row>
    <row r="578" spans="3:3" x14ac:dyDescent="0.3">
      <c r="C578" s="13"/>
    </row>
    <row r="579" spans="3:3" x14ac:dyDescent="0.3">
      <c r="C579" s="13"/>
    </row>
    <row r="580" spans="3:3" x14ac:dyDescent="0.3">
      <c r="C580" s="13"/>
    </row>
    <row r="581" spans="3:3" x14ac:dyDescent="0.3">
      <c r="C581" s="13"/>
    </row>
    <row r="582" spans="3:3" x14ac:dyDescent="0.3">
      <c r="C582" s="13"/>
    </row>
    <row r="583" spans="3:3" x14ac:dyDescent="0.3">
      <c r="C583" s="13"/>
    </row>
    <row r="584" spans="3:3" x14ac:dyDescent="0.3">
      <c r="C584" s="13"/>
    </row>
    <row r="585" spans="3:3" x14ac:dyDescent="0.3">
      <c r="C585" s="13"/>
    </row>
    <row r="586" spans="3:3" x14ac:dyDescent="0.3">
      <c r="C586" s="13"/>
    </row>
    <row r="587" spans="3:3" x14ac:dyDescent="0.3">
      <c r="C587" s="13"/>
    </row>
    <row r="588" spans="3:3" x14ac:dyDescent="0.3">
      <c r="C588" s="13"/>
    </row>
    <row r="589" spans="3:3" x14ac:dyDescent="0.3">
      <c r="C589" s="13"/>
    </row>
    <row r="590" spans="3:3" x14ac:dyDescent="0.3">
      <c r="C590" s="13"/>
    </row>
    <row r="591" spans="3:3" x14ac:dyDescent="0.3">
      <c r="C591" s="13"/>
    </row>
    <row r="592" spans="3:3" x14ac:dyDescent="0.3">
      <c r="C592" s="13"/>
    </row>
    <row r="593" spans="3:3" x14ac:dyDescent="0.3">
      <c r="C593" s="13"/>
    </row>
    <row r="594" spans="3:3" x14ac:dyDescent="0.3">
      <c r="C594" s="13"/>
    </row>
    <row r="595" spans="3:3" x14ac:dyDescent="0.3">
      <c r="C595" s="13"/>
    </row>
    <row r="596" spans="3:3" x14ac:dyDescent="0.3">
      <c r="C596" s="13"/>
    </row>
    <row r="597" spans="3:3" x14ac:dyDescent="0.3">
      <c r="C597" s="13"/>
    </row>
    <row r="598" spans="3:3" x14ac:dyDescent="0.3">
      <c r="C598" s="13"/>
    </row>
    <row r="599" spans="3:3" x14ac:dyDescent="0.3">
      <c r="C599" s="13"/>
    </row>
    <row r="600" spans="3:3" x14ac:dyDescent="0.3">
      <c r="C600" s="13"/>
    </row>
    <row r="601" spans="3:3" x14ac:dyDescent="0.3">
      <c r="C601" s="13"/>
    </row>
    <row r="602" spans="3:3" x14ac:dyDescent="0.3">
      <c r="C602" s="13"/>
    </row>
    <row r="603" spans="3:3" x14ac:dyDescent="0.3">
      <c r="C603" s="13"/>
    </row>
    <row r="604" spans="3:3" x14ac:dyDescent="0.3">
      <c r="C604" s="13"/>
    </row>
    <row r="605" spans="3:3" x14ac:dyDescent="0.3">
      <c r="C605" s="13"/>
    </row>
    <row r="606" spans="3:3" x14ac:dyDescent="0.3">
      <c r="C606" s="13"/>
    </row>
    <row r="607" spans="3:3" x14ac:dyDescent="0.3">
      <c r="C607" s="13"/>
    </row>
    <row r="608" spans="3:3" x14ac:dyDescent="0.3">
      <c r="C608" s="13"/>
    </row>
    <row r="609" spans="3:3" x14ac:dyDescent="0.3">
      <c r="C609" s="13"/>
    </row>
    <row r="610" spans="3:3" x14ac:dyDescent="0.3">
      <c r="C610" s="13"/>
    </row>
    <row r="611" spans="3:3" x14ac:dyDescent="0.3">
      <c r="C611" s="13"/>
    </row>
    <row r="612" spans="3:3" x14ac:dyDescent="0.3">
      <c r="C612" s="13"/>
    </row>
    <row r="613" spans="3:3" x14ac:dyDescent="0.3">
      <c r="C613" s="13"/>
    </row>
    <row r="614" spans="3:3" x14ac:dyDescent="0.3">
      <c r="C614" s="13"/>
    </row>
    <row r="615" spans="3:3" x14ac:dyDescent="0.3">
      <c r="C615" s="13"/>
    </row>
    <row r="616" spans="3:3" x14ac:dyDescent="0.3">
      <c r="C616" s="13"/>
    </row>
    <row r="617" spans="3:3" x14ac:dyDescent="0.3">
      <c r="C617" s="13"/>
    </row>
    <row r="618" spans="3:3" x14ac:dyDescent="0.3">
      <c r="C618" s="13"/>
    </row>
    <row r="619" spans="3:3" x14ac:dyDescent="0.3">
      <c r="C619" s="13"/>
    </row>
    <row r="620" spans="3:3" x14ac:dyDescent="0.3">
      <c r="C620" s="13"/>
    </row>
    <row r="621" spans="3:3" x14ac:dyDescent="0.3">
      <c r="C621" s="13"/>
    </row>
    <row r="622" spans="3:3" x14ac:dyDescent="0.3">
      <c r="C622" s="13"/>
    </row>
    <row r="623" spans="3:3" x14ac:dyDescent="0.3">
      <c r="C623" s="13"/>
    </row>
    <row r="624" spans="3:3" x14ac:dyDescent="0.3">
      <c r="C624" s="13"/>
    </row>
    <row r="625" spans="3:3" x14ac:dyDescent="0.3">
      <c r="C625" s="13"/>
    </row>
    <row r="626" spans="3:3" x14ac:dyDescent="0.3">
      <c r="C626" s="13"/>
    </row>
    <row r="627" spans="3:3" x14ac:dyDescent="0.3">
      <c r="C627" s="13"/>
    </row>
    <row r="628" spans="3:3" x14ac:dyDescent="0.3">
      <c r="C628" s="13"/>
    </row>
    <row r="629" spans="3:3" x14ac:dyDescent="0.3">
      <c r="C629" s="13"/>
    </row>
    <row r="630" spans="3:3" x14ac:dyDescent="0.3">
      <c r="C630" s="13"/>
    </row>
    <row r="631" spans="3:3" x14ac:dyDescent="0.3">
      <c r="C631" s="13"/>
    </row>
    <row r="632" spans="3:3" x14ac:dyDescent="0.3">
      <c r="C632" s="13"/>
    </row>
    <row r="633" spans="3:3" x14ac:dyDescent="0.3">
      <c r="C633" s="13"/>
    </row>
    <row r="634" spans="3:3" x14ac:dyDescent="0.3">
      <c r="C634" s="13"/>
    </row>
    <row r="635" spans="3:3" x14ac:dyDescent="0.3">
      <c r="C635" s="13"/>
    </row>
    <row r="636" spans="3:3" x14ac:dyDescent="0.3">
      <c r="C636" s="13"/>
    </row>
    <row r="637" spans="3:3" x14ac:dyDescent="0.3">
      <c r="C637" s="13"/>
    </row>
    <row r="638" spans="3:3" x14ac:dyDescent="0.3">
      <c r="C638" s="13"/>
    </row>
    <row r="639" spans="3:3" x14ac:dyDescent="0.3">
      <c r="C639" s="13"/>
    </row>
    <row r="640" spans="3:3" x14ac:dyDescent="0.3">
      <c r="C640" s="13"/>
    </row>
    <row r="641" spans="3:3" x14ac:dyDescent="0.3">
      <c r="C641" s="13"/>
    </row>
    <row r="642" spans="3:3" x14ac:dyDescent="0.3">
      <c r="C642" s="13"/>
    </row>
    <row r="643" spans="3:3" x14ac:dyDescent="0.3">
      <c r="C643" s="13"/>
    </row>
    <row r="644" spans="3:3" x14ac:dyDescent="0.3">
      <c r="C644" s="13"/>
    </row>
    <row r="645" spans="3:3" x14ac:dyDescent="0.3">
      <c r="C645" s="13"/>
    </row>
    <row r="646" spans="3:3" x14ac:dyDescent="0.3">
      <c r="C646" s="13"/>
    </row>
    <row r="647" spans="3:3" x14ac:dyDescent="0.3">
      <c r="C647" s="13"/>
    </row>
    <row r="648" spans="3:3" x14ac:dyDescent="0.3">
      <c r="C648" s="13"/>
    </row>
    <row r="649" spans="3:3" x14ac:dyDescent="0.3">
      <c r="C649" s="13"/>
    </row>
    <row r="650" spans="3:3" x14ac:dyDescent="0.3">
      <c r="C650" s="13"/>
    </row>
    <row r="651" spans="3:3" x14ac:dyDescent="0.3">
      <c r="C651" s="13"/>
    </row>
    <row r="652" spans="3:3" x14ac:dyDescent="0.3">
      <c r="C652" s="13"/>
    </row>
    <row r="653" spans="3:3" x14ac:dyDescent="0.3">
      <c r="C653" s="13"/>
    </row>
    <row r="654" spans="3:3" x14ac:dyDescent="0.3">
      <c r="C654" s="13"/>
    </row>
    <row r="655" spans="3:3" x14ac:dyDescent="0.3">
      <c r="C655" s="13"/>
    </row>
    <row r="656" spans="3:3" x14ac:dyDescent="0.3">
      <c r="C656" s="13"/>
    </row>
    <row r="657" spans="3:3" x14ac:dyDescent="0.3">
      <c r="C657" s="13"/>
    </row>
    <row r="658" spans="3:3" x14ac:dyDescent="0.3">
      <c r="C658" s="13"/>
    </row>
    <row r="659" spans="3:3" x14ac:dyDescent="0.3">
      <c r="C659" s="13"/>
    </row>
    <row r="660" spans="3:3" x14ac:dyDescent="0.3">
      <c r="C660" s="13"/>
    </row>
    <row r="661" spans="3:3" x14ac:dyDescent="0.3">
      <c r="C661" s="13"/>
    </row>
    <row r="662" spans="3:3" x14ac:dyDescent="0.3">
      <c r="C662" s="13"/>
    </row>
    <row r="663" spans="3:3" x14ac:dyDescent="0.3">
      <c r="C663" s="13"/>
    </row>
    <row r="664" spans="3:3" x14ac:dyDescent="0.3">
      <c r="C664" s="13"/>
    </row>
    <row r="665" spans="3:3" x14ac:dyDescent="0.3">
      <c r="C665" s="13"/>
    </row>
    <row r="666" spans="3:3" x14ac:dyDescent="0.3">
      <c r="C666" s="13"/>
    </row>
    <row r="667" spans="3:3" x14ac:dyDescent="0.3">
      <c r="C667" s="13"/>
    </row>
    <row r="668" spans="3:3" x14ac:dyDescent="0.3">
      <c r="C668" s="13"/>
    </row>
    <row r="669" spans="3:3" x14ac:dyDescent="0.3">
      <c r="C669" s="13"/>
    </row>
    <row r="670" spans="3:3" x14ac:dyDescent="0.3">
      <c r="C670" s="13"/>
    </row>
    <row r="671" spans="3:3" x14ac:dyDescent="0.3">
      <c r="C671" s="13"/>
    </row>
    <row r="672" spans="3:3" x14ac:dyDescent="0.3">
      <c r="C672" s="13"/>
    </row>
    <row r="673" spans="3:3" x14ac:dyDescent="0.3">
      <c r="C673" s="13"/>
    </row>
    <row r="674" spans="3:3" x14ac:dyDescent="0.3">
      <c r="C674" s="13"/>
    </row>
    <row r="675" spans="3:3" x14ac:dyDescent="0.3">
      <c r="C675" s="13"/>
    </row>
    <row r="676" spans="3:3" x14ac:dyDescent="0.3">
      <c r="C676" s="13"/>
    </row>
    <row r="677" spans="3:3" x14ac:dyDescent="0.3">
      <c r="C677" s="13"/>
    </row>
    <row r="678" spans="3:3" x14ac:dyDescent="0.3">
      <c r="C678" s="13"/>
    </row>
    <row r="679" spans="3:3" x14ac:dyDescent="0.3">
      <c r="C679" s="13"/>
    </row>
    <row r="680" spans="3:3" x14ac:dyDescent="0.3">
      <c r="C680" s="13"/>
    </row>
    <row r="681" spans="3:3" x14ac:dyDescent="0.3">
      <c r="C681" s="13"/>
    </row>
    <row r="682" spans="3:3" x14ac:dyDescent="0.3">
      <c r="C682" s="13"/>
    </row>
    <row r="683" spans="3:3" x14ac:dyDescent="0.3">
      <c r="C683" s="13"/>
    </row>
    <row r="684" spans="3:3" x14ac:dyDescent="0.3">
      <c r="C684" s="13"/>
    </row>
    <row r="685" spans="3:3" x14ac:dyDescent="0.3">
      <c r="C685" s="13"/>
    </row>
    <row r="686" spans="3:3" x14ac:dyDescent="0.3">
      <c r="C686" s="13"/>
    </row>
    <row r="687" spans="3:3" x14ac:dyDescent="0.3">
      <c r="C687" s="13"/>
    </row>
    <row r="688" spans="3:3" x14ac:dyDescent="0.3">
      <c r="C688" s="13"/>
    </row>
    <row r="689" spans="3:3" x14ac:dyDescent="0.3">
      <c r="C689" s="13"/>
    </row>
    <row r="690" spans="3:3" x14ac:dyDescent="0.3">
      <c r="C690" s="13"/>
    </row>
    <row r="691" spans="3:3" x14ac:dyDescent="0.3">
      <c r="C691" s="13"/>
    </row>
    <row r="692" spans="3:3" x14ac:dyDescent="0.3">
      <c r="C692" s="13"/>
    </row>
    <row r="693" spans="3:3" x14ac:dyDescent="0.3">
      <c r="C693" s="13"/>
    </row>
    <row r="694" spans="3:3" x14ac:dyDescent="0.3">
      <c r="C694" s="13"/>
    </row>
    <row r="695" spans="3:3" x14ac:dyDescent="0.3">
      <c r="C695" s="13"/>
    </row>
    <row r="696" spans="3:3" x14ac:dyDescent="0.3">
      <c r="C696" s="13"/>
    </row>
    <row r="697" spans="3:3" x14ac:dyDescent="0.3">
      <c r="C697" s="13"/>
    </row>
    <row r="698" spans="3:3" x14ac:dyDescent="0.3">
      <c r="C698" s="13"/>
    </row>
    <row r="699" spans="3:3" x14ac:dyDescent="0.3">
      <c r="C699" s="13"/>
    </row>
    <row r="700" spans="3:3" x14ac:dyDescent="0.3">
      <c r="C700" s="13"/>
    </row>
    <row r="701" spans="3:3" x14ac:dyDescent="0.3">
      <c r="C701" s="13"/>
    </row>
    <row r="702" spans="3:3" x14ac:dyDescent="0.3">
      <c r="C702" s="13"/>
    </row>
    <row r="703" spans="3:3" x14ac:dyDescent="0.3">
      <c r="C703" s="13"/>
    </row>
    <row r="704" spans="3:3" x14ac:dyDescent="0.3">
      <c r="C704" s="13"/>
    </row>
    <row r="705" spans="3:3" x14ac:dyDescent="0.3">
      <c r="C705" s="13"/>
    </row>
    <row r="706" spans="3:3" x14ac:dyDescent="0.3">
      <c r="C706" s="13"/>
    </row>
    <row r="707" spans="3:3" x14ac:dyDescent="0.3">
      <c r="C707" s="13"/>
    </row>
    <row r="708" spans="3:3" x14ac:dyDescent="0.3">
      <c r="C708" s="13"/>
    </row>
    <row r="709" spans="3:3" x14ac:dyDescent="0.3">
      <c r="C709" s="13"/>
    </row>
    <row r="710" spans="3:3" x14ac:dyDescent="0.3">
      <c r="C710" s="13"/>
    </row>
    <row r="711" spans="3:3" x14ac:dyDescent="0.3">
      <c r="C711" s="13"/>
    </row>
    <row r="712" spans="3:3" x14ac:dyDescent="0.3">
      <c r="C712" s="13"/>
    </row>
    <row r="713" spans="3:3" x14ac:dyDescent="0.3">
      <c r="C713" s="13"/>
    </row>
    <row r="714" spans="3:3" x14ac:dyDescent="0.3">
      <c r="C714" s="13"/>
    </row>
    <row r="715" spans="3:3" x14ac:dyDescent="0.3">
      <c r="C715" s="13"/>
    </row>
    <row r="716" spans="3:3" x14ac:dyDescent="0.3">
      <c r="C716" s="13"/>
    </row>
    <row r="717" spans="3:3" x14ac:dyDescent="0.3">
      <c r="C717" s="13"/>
    </row>
    <row r="718" spans="3:3" x14ac:dyDescent="0.3">
      <c r="C718" s="13"/>
    </row>
    <row r="719" spans="3:3" x14ac:dyDescent="0.3">
      <c r="C719" s="13"/>
    </row>
    <row r="720" spans="3:3" x14ac:dyDescent="0.3">
      <c r="C720" s="13"/>
    </row>
    <row r="721" spans="3:3" x14ac:dyDescent="0.3">
      <c r="C721" s="13"/>
    </row>
    <row r="722" spans="3:3" x14ac:dyDescent="0.3">
      <c r="C722" s="13"/>
    </row>
    <row r="723" spans="3:3" x14ac:dyDescent="0.3">
      <c r="C723" s="13"/>
    </row>
    <row r="724" spans="3:3" x14ac:dyDescent="0.3">
      <c r="C724" s="13"/>
    </row>
    <row r="725" spans="3:3" x14ac:dyDescent="0.3">
      <c r="C725" s="13"/>
    </row>
    <row r="726" spans="3:3" x14ac:dyDescent="0.3">
      <c r="C726" s="13"/>
    </row>
    <row r="727" spans="3:3" x14ac:dyDescent="0.3">
      <c r="C727" s="13"/>
    </row>
    <row r="728" spans="3:3" x14ac:dyDescent="0.3">
      <c r="C728" s="13"/>
    </row>
    <row r="729" spans="3:3" x14ac:dyDescent="0.3">
      <c r="C729" s="13"/>
    </row>
    <row r="730" spans="3:3" x14ac:dyDescent="0.3">
      <c r="C730" s="13"/>
    </row>
    <row r="731" spans="3:3" x14ac:dyDescent="0.3">
      <c r="C731" s="13"/>
    </row>
    <row r="732" spans="3:3" x14ac:dyDescent="0.3">
      <c r="C732" s="13"/>
    </row>
    <row r="733" spans="3:3" x14ac:dyDescent="0.3">
      <c r="C733" s="13"/>
    </row>
    <row r="734" spans="3:3" x14ac:dyDescent="0.3">
      <c r="C734" s="13"/>
    </row>
    <row r="735" spans="3:3" x14ac:dyDescent="0.3">
      <c r="C735" s="13"/>
    </row>
    <row r="736" spans="3:3" x14ac:dyDescent="0.3">
      <c r="C736" s="13"/>
    </row>
    <row r="737" spans="3:3" x14ac:dyDescent="0.3">
      <c r="C737" s="13"/>
    </row>
    <row r="738" spans="3:3" x14ac:dyDescent="0.3">
      <c r="C738" s="13"/>
    </row>
    <row r="739" spans="3:3" x14ac:dyDescent="0.3">
      <c r="C739" s="13"/>
    </row>
    <row r="740" spans="3:3" x14ac:dyDescent="0.3">
      <c r="C740" s="13"/>
    </row>
    <row r="741" spans="3:3" x14ac:dyDescent="0.3">
      <c r="C741" s="13"/>
    </row>
    <row r="742" spans="3:3" x14ac:dyDescent="0.3">
      <c r="C742" s="13"/>
    </row>
    <row r="743" spans="3:3" x14ac:dyDescent="0.3">
      <c r="C743" s="13"/>
    </row>
    <row r="744" spans="3:3" x14ac:dyDescent="0.3">
      <c r="C744" s="13"/>
    </row>
    <row r="745" spans="3:3" x14ac:dyDescent="0.3">
      <c r="C745" s="13"/>
    </row>
    <row r="746" spans="3:3" x14ac:dyDescent="0.3">
      <c r="C746" s="13"/>
    </row>
    <row r="747" spans="3:3" x14ac:dyDescent="0.3">
      <c r="C747" s="13"/>
    </row>
    <row r="748" spans="3:3" x14ac:dyDescent="0.3">
      <c r="C748" s="13"/>
    </row>
    <row r="749" spans="3:3" x14ac:dyDescent="0.3">
      <c r="C749" s="13"/>
    </row>
    <row r="750" spans="3:3" x14ac:dyDescent="0.3">
      <c r="C750" s="13"/>
    </row>
    <row r="751" spans="3:3" x14ac:dyDescent="0.3">
      <c r="C751" s="13"/>
    </row>
    <row r="752" spans="3:3" x14ac:dyDescent="0.3">
      <c r="C752" s="13"/>
    </row>
    <row r="753" spans="3:3" x14ac:dyDescent="0.3">
      <c r="C753" s="13"/>
    </row>
    <row r="754" spans="3:3" x14ac:dyDescent="0.3">
      <c r="C754" s="13"/>
    </row>
    <row r="755" spans="3:3" x14ac:dyDescent="0.3">
      <c r="C755" s="13"/>
    </row>
    <row r="756" spans="3:3" x14ac:dyDescent="0.3">
      <c r="C756" s="13"/>
    </row>
    <row r="757" spans="3:3" x14ac:dyDescent="0.3">
      <c r="C757" s="13"/>
    </row>
    <row r="758" spans="3:3" x14ac:dyDescent="0.3">
      <c r="C758" s="13"/>
    </row>
    <row r="759" spans="3:3" x14ac:dyDescent="0.3">
      <c r="C759" s="13"/>
    </row>
    <row r="760" spans="3:3" x14ac:dyDescent="0.3">
      <c r="C760" s="13"/>
    </row>
    <row r="761" spans="3:3" x14ac:dyDescent="0.3">
      <c r="C761" s="13"/>
    </row>
    <row r="762" spans="3:3" x14ac:dyDescent="0.3">
      <c r="C762" s="13"/>
    </row>
    <row r="763" spans="3:3" x14ac:dyDescent="0.3">
      <c r="C763" s="13"/>
    </row>
    <row r="764" spans="3:3" x14ac:dyDescent="0.3">
      <c r="C764" s="13"/>
    </row>
    <row r="765" spans="3:3" x14ac:dyDescent="0.3">
      <c r="C765" s="13"/>
    </row>
    <row r="766" spans="3:3" x14ac:dyDescent="0.3">
      <c r="C766" s="13"/>
    </row>
    <row r="767" spans="3:3" x14ac:dyDescent="0.3">
      <c r="C767" s="13"/>
    </row>
    <row r="768" spans="3:3" x14ac:dyDescent="0.3">
      <c r="C768" s="13"/>
    </row>
    <row r="769" spans="3:3" x14ac:dyDescent="0.3">
      <c r="C769" s="13"/>
    </row>
    <row r="770" spans="3:3" x14ac:dyDescent="0.3">
      <c r="C770" s="13"/>
    </row>
    <row r="771" spans="3:3" x14ac:dyDescent="0.3">
      <c r="C771" s="13"/>
    </row>
    <row r="772" spans="3:3" x14ac:dyDescent="0.3">
      <c r="C772" s="13"/>
    </row>
    <row r="773" spans="3:3" x14ac:dyDescent="0.3">
      <c r="C773" s="13"/>
    </row>
    <row r="774" spans="3:3" x14ac:dyDescent="0.3">
      <c r="C774" s="13"/>
    </row>
    <row r="775" spans="3:3" x14ac:dyDescent="0.3">
      <c r="C775" s="13"/>
    </row>
    <row r="776" spans="3:3" x14ac:dyDescent="0.3">
      <c r="C776" s="13"/>
    </row>
    <row r="777" spans="3:3" x14ac:dyDescent="0.3">
      <c r="C777" s="13"/>
    </row>
    <row r="778" spans="3:3" x14ac:dyDescent="0.3">
      <c r="C778" s="13"/>
    </row>
    <row r="779" spans="3:3" x14ac:dyDescent="0.3">
      <c r="C779" s="13"/>
    </row>
    <row r="780" spans="3:3" x14ac:dyDescent="0.3">
      <c r="C780" s="13"/>
    </row>
    <row r="781" spans="3:3" x14ac:dyDescent="0.3">
      <c r="C781" s="13"/>
    </row>
    <row r="782" spans="3:3" x14ac:dyDescent="0.3">
      <c r="C782" s="13"/>
    </row>
    <row r="783" spans="3:3" x14ac:dyDescent="0.3">
      <c r="C783" s="13"/>
    </row>
    <row r="784" spans="3:3" x14ac:dyDescent="0.3">
      <c r="C784" s="13"/>
    </row>
    <row r="785" spans="3:3" x14ac:dyDescent="0.3">
      <c r="C785" s="13"/>
    </row>
    <row r="786" spans="3:3" x14ac:dyDescent="0.3">
      <c r="C786" s="13"/>
    </row>
    <row r="787" spans="3:3" x14ac:dyDescent="0.3">
      <c r="C787" s="13"/>
    </row>
    <row r="788" spans="3:3" x14ac:dyDescent="0.3">
      <c r="C788" s="13"/>
    </row>
    <row r="789" spans="3:3" x14ac:dyDescent="0.3">
      <c r="C789" s="13"/>
    </row>
    <row r="790" spans="3:3" x14ac:dyDescent="0.3">
      <c r="C790" s="13"/>
    </row>
    <row r="791" spans="3:3" x14ac:dyDescent="0.3">
      <c r="C791" s="13"/>
    </row>
    <row r="792" spans="3:3" x14ac:dyDescent="0.3">
      <c r="C792" s="13"/>
    </row>
    <row r="793" spans="3:3" x14ac:dyDescent="0.3">
      <c r="C793" s="13"/>
    </row>
    <row r="794" spans="3:3" x14ac:dyDescent="0.3">
      <c r="C794" s="13"/>
    </row>
    <row r="795" spans="3:3" x14ac:dyDescent="0.3">
      <c r="C795" s="13"/>
    </row>
    <row r="796" spans="3:3" x14ac:dyDescent="0.3">
      <c r="C796" s="13"/>
    </row>
    <row r="797" spans="3:3" x14ac:dyDescent="0.3">
      <c r="C797" s="13"/>
    </row>
    <row r="798" spans="3:3" x14ac:dyDescent="0.3">
      <c r="C798" s="13"/>
    </row>
    <row r="799" spans="3:3" x14ac:dyDescent="0.3">
      <c r="C799" s="13"/>
    </row>
    <row r="800" spans="3:3" x14ac:dyDescent="0.3">
      <c r="C800" s="13"/>
    </row>
    <row r="801" spans="3:3" x14ac:dyDescent="0.3">
      <c r="C801" s="13"/>
    </row>
    <row r="802" spans="3:3" x14ac:dyDescent="0.3">
      <c r="C802" s="13"/>
    </row>
    <row r="803" spans="3:3" x14ac:dyDescent="0.3">
      <c r="C803" s="13"/>
    </row>
    <row r="804" spans="3:3" x14ac:dyDescent="0.3">
      <c r="C804" s="13"/>
    </row>
    <row r="805" spans="3:3" x14ac:dyDescent="0.3">
      <c r="C805" s="13"/>
    </row>
    <row r="806" spans="3:3" x14ac:dyDescent="0.3">
      <c r="C806" s="13"/>
    </row>
    <row r="807" spans="3:3" x14ac:dyDescent="0.3">
      <c r="C807" s="13"/>
    </row>
    <row r="808" spans="3:3" x14ac:dyDescent="0.3">
      <c r="C808" s="13"/>
    </row>
    <row r="809" spans="3:3" x14ac:dyDescent="0.3">
      <c r="C809" s="13"/>
    </row>
    <row r="810" spans="3:3" x14ac:dyDescent="0.3">
      <c r="C810" s="13"/>
    </row>
    <row r="811" spans="3:3" x14ac:dyDescent="0.3">
      <c r="C811" s="13"/>
    </row>
    <row r="812" spans="3:3" x14ac:dyDescent="0.3">
      <c r="C812" s="13"/>
    </row>
    <row r="813" spans="3:3" x14ac:dyDescent="0.3">
      <c r="C813" s="13"/>
    </row>
    <row r="814" spans="3:3" x14ac:dyDescent="0.3">
      <c r="C814" s="13"/>
    </row>
    <row r="815" spans="3:3" x14ac:dyDescent="0.3">
      <c r="C815" s="13"/>
    </row>
    <row r="816" spans="3:3" x14ac:dyDescent="0.3">
      <c r="C816" s="13"/>
    </row>
    <row r="817" spans="3:3" x14ac:dyDescent="0.3">
      <c r="C817" s="13"/>
    </row>
    <row r="818" spans="3:3" x14ac:dyDescent="0.3">
      <c r="C818" s="13"/>
    </row>
    <row r="819" spans="3:3" x14ac:dyDescent="0.3">
      <c r="C819" s="13"/>
    </row>
    <row r="820" spans="3:3" x14ac:dyDescent="0.3">
      <c r="C820" s="13"/>
    </row>
    <row r="821" spans="3:3" x14ac:dyDescent="0.3">
      <c r="C821" s="13"/>
    </row>
    <row r="822" spans="3:3" x14ac:dyDescent="0.3">
      <c r="C822" s="13"/>
    </row>
    <row r="823" spans="3:3" x14ac:dyDescent="0.3">
      <c r="C823" s="13"/>
    </row>
    <row r="824" spans="3:3" x14ac:dyDescent="0.3">
      <c r="C824" s="13"/>
    </row>
    <row r="825" spans="3:3" x14ac:dyDescent="0.3">
      <c r="C825" s="13"/>
    </row>
    <row r="826" spans="3:3" x14ac:dyDescent="0.3">
      <c r="C826" s="13"/>
    </row>
    <row r="827" spans="3:3" x14ac:dyDescent="0.3">
      <c r="C827" s="13"/>
    </row>
    <row r="828" spans="3:3" x14ac:dyDescent="0.3">
      <c r="C828" s="13"/>
    </row>
    <row r="829" spans="3:3" x14ac:dyDescent="0.3">
      <c r="C829" s="13"/>
    </row>
    <row r="830" spans="3:3" x14ac:dyDescent="0.3">
      <c r="C830" s="13"/>
    </row>
    <row r="831" spans="3:3" x14ac:dyDescent="0.3">
      <c r="C831" s="13"/>
    </row>
    <row r="832" spans="3:3" x14ac:dyDescent="0.3">
      <c r="C832" s="13"/>
    </row>
    <row r="833" spans="3:3" x14ac:dyDescent="0.3">
      <c r="C833" s="13"/>
    </row>
    <row r="834" spans="3:3" x14ac:dyDescent="0.3">
      <c r="C834" s="13"/>
    </row>
    <row r="835" spans="3:3" x14ac:dyDescent="0.3">
      <c r="C835" s="13"/>
    </row>
    <row r="836" spans="3:3" x14ac:dyDescent="0.3">
      <c r="C836" s="13"/>
    </row>
    <row r="837" spans="3:3" x14ac:dyDescent="0.3">
      <c r="C837" s="13"/>
    </row>
    <row r="838" spans="3:3" x14ac:dyDescent="0.3">
      <c r="C838" s="13"/>
    </row>
    <row r="839" spans="3:3" x14ac:dyDescent="0.3">
      <c r="C839" s="13"/>
    </row>
    <row r="840" spans="3:3" x14ac:dyDescent="0.3">
      <c r="C840" s="13"/>
    </row>
    <row r="841" spans="3:3" x14ac:dyDescent="0.3">
      <c r="C841" s="13"/>
    </row>
    <row r="842" spans="3:3" x14ac:dyDescent="0.3">
      <c r="C842" s="13"/>
    </row>
    <row r="843" spans="3:3" x14ac:dyDescent="0.3">
      <c r="C843" s="13"/>
    </row>
    <row r="844" spans="3:3" x14ac:dyDescent="0.3">
      <c r="C844" s="13"/>
    </row>
    <row r="845" spans="3:3" x14ac:dyDescent="0.3">
      <c r="C845" s="13"/>
    </row>
    <row r="846" spans="3:3" x14ac:dyDescent="0.3">
      <c r="C846" s="13"/>
    </row>
    <row r="847" spans="3:3" x14ac:dyDescent="0.3">
      <c r="C847" s="13"/>
    </row>
    <row r="848" spans="3:3" x14ac:dyDescent="0.3">
      <c r="C848" s="13"/>
    </row>
    <row r="849" spans="3:3" x14ac:dyDescent="0.3">
      <c r="C849" s="13"/>
    </row>
    <row r="850" spans="3:3" x14ac:dyDescent="0.3">
      <c r="C850" s="13"/>
    </row>
    <row r="851" spans="3:3" x14ac:dyDescent="0.3">
      <c r="C851" s="13"/>
    </row>
    <row r="852" spans="3:3" x14ac:dyDescent="0.3">
      <c r="C852" s="13"/>
    </row>
    <row r="853" spans="3:3" x14ac:dyDescent="0.3">
      <c r="C853" s="13"/>
    </row>
    <row r="854" spans="3:3" x14ac:dyDescent="0.3">
      <c r="C854" s="13"/>
    </row>
    <row r="855" spans="3:3" x14ac:dyDescent="0.3">
      <c r="C855" s="13"/>
    </row>
    <row r="856" spans="3:3" x14ac:dyDescent="0.3">
      <c r="C856" s="13"/>
    </row>
    <row r="857" spans="3:3" x14ac:dyDescent="0.3">
      <c r="C857" s="13"/>
    </row>
    <row r="858" spans="3:3" x14ac:dyDescent="0.3">
      <c r="C858" s="13"/>
    </row>
    <row r="859" spans="3:3" x14ac:dyDescent="0.3">
      <c r="C859" s="13"/>
    </row>
    <row r="860" spans="3:3" x14ac:dyDescent="0.3">
      <c r="C860" s="13"/>
    </row>
    <row r="861" spans="3:3" x14ac:dyDescent="0.3">
      <c r="C861" s="13"/>
    </row>
    <row r="862" spans="3:3" x14ac:dyDescent="0.3">
      <c r="C862" s="13"/>
    </row>
    <row r="863" spans="3:3" x14ac:dyDescent="0.3">
      <c r="C863" s="13"/>
    </row>
    <row r="864" spans="3:3" x14ac:dyDescent="0.3">
      <c r="C864" s="13"/>
    </row>
    <row r="865" spans="3:3" x14ac:dyDescent="0.3">
      <c r="C865" s="13"/>
    </row>
    <row r="866" spans="3:3" x14ac:dyDescent="0.3">
      <c r="C866" s="13"/>
    </row>
    <row r="867" spans="3:3" x14ac:dyDescent="0.3">
      <c r="C867" s="13"/>
    </row>
    <row r="868" spans="3:3" x14ac:dyDescent="0.3">
      <c r="C868" s="13"/>
    </row>
    <row r="869" spans="3:3" x14ac:dyDescent="0.3">
      <c r="C869" s="13"/>
    </row>
    <row r="870" spans="3:3" x14ac:dyDescent="0.3">
      <c r="C870" s="13"/>
    </row>
    <row r="871" spans="3:3" x14ac:dyDescent="0.3">
      <c r="C871" s="13"/>
    </row>
    <row r="872" spans="3:3" x14ac:dyDescent="0.3">
      <c r="C872" s="13"/>
    </row>
    <row r="873" spans="3:3" x14ac:dyDescent="0.3">
      <c r="C873" s="13"/>
    </row>
    <row r="874" spans="3:3" x14ac:dyDescent="0.3">
      <c r="C874" s="13"/>
    </row>
    <row r="875" spans="3:3" x14ac:dyDescent="0.3">
      <c r="C875" s="13"/>
    </row>
    <row r="876" spans="3:3" x14ac:dyDescent="0.3">
      <c r="C876" s="13"/>
    </row>
    <row r="877" spans="3:3" x14ac:dyDescent="0.3">
      <c r="C877" s="13"/>
    </row>
    <row r="878" spans="3:3" x14ac:dyDescent="0.3">
      <c r="C878" s="13"/>
    </row>
    <row r="879" spans="3:3" x14ac:dyDescent="0.3">
      <c r="C879" s="13"/>
    </row>
    <row r="880" spans="3:3" x14ac:dyDescent="0.3">
      <c r="C880" s="13"/>
    </row>
    <row r="881" spans="3:3" x14ac:dyDescent="0.3">
      <c r="C881" s="13"/>
    </row>
    <row r="882" spans="3:3" x14ac:dyDescent="0.3">
      <c r="C882" s="13"/>
    </row>
    <row r="883" spans="3:3" x14ac:dyDescent="0.3">
      <c r="C883" s="13"/>
    </row>
    <row r="884" spans="3:3" x14ac:dyDescent="0.3">
      <c r="C884" s="13"/>
    </row>
    <row r="885" spans="3:3" x14ac:dyDescent="0.3">
      <c r="C885" s="13"/>
    </row>
    <row r="886" spans="3:3" x14ac:dyDescent="0.3">
      <c r="C886" s="13"/>
    </row>
    <row r="887" spans="3:3" x14ac:dyDescent="0.3">
      <c r="C887" s="13"/>
    </row>
    <row r="888" spans="3:3" x14ac:dyDescent="0.3">
      <c r="C888" s="13"/>
    </row>
    <row r="889" spans="3:3" x14ac:dyDescent="0.3">
      <c r="C889" s="13"/>
    </row>
    <row r="890" spans="3:3" x14ac:dyDescent="0.3">
      <c r="C890" s="13"/>
    </row>
    <row r="891" spans="3:3" x14ac:dyDescent="0.3">
      <c r="C891" s="13"/>
    </row>
    <row r="892" spans="3:3" x14ac:dyDescent="0.3">
      <c r="C892" s="13"/>
    </row>
    <row r="893" spans="3:3" x14ac:dyDescent="0.3">
      <c r="C893" s="13"/>
    </row>
    <row r="894" spans="3:3" x14ac:dyDescent="0.3">
      <c r="C894" s="13"/>
    </row>
    <row r="895" spans="3:3" x14ac:dyDescent="0.3">
      <c r="C895" s="13"/>
    </row>
    <row r="896" spans="3:3" x14ac:dyDescent="0.3">
      <c r="C896" s="13"/>
    </row>
    <row r="897" spans="3:3" x14ac:dyDescent="0.3">
      <c r="C897" s="13"/>
    </row>
    <row r="898" spans="3:3" x14ac:dyDescent="0.3">
      <c r="C898" s="13"/>
    </row>
    <row r="899" spans="3:3" x14ac:dyDescent="0.3">
      <c r="C899" s="13"/>
    </row>
    <row r="900" spans="3:3" x14ac:dyDescent="0.3">
      <c r="C900" s="13"/>
    </row>
    <row r="901" spans="3:3" x14ac:dyDescent="0.3">
      <c r="C901" s="13"/>
    </row>
    <row r="902" spans="3:3" x14ac:dyDescent="0.3">
      <c r="C902" s="13"/>
    </row>
    <row r="903" spans="3:3" x14ac:dyDescent="0.3">
      <c r="C903" s="13"/>
    </row>
    <row r="904" spans="3:3" x14ac:dyDescent="0.3">
      <c r="C904" s="13"/>
    </row>
    <row r="905" spans="3:3" x14ac:dyDescent="0.3">
      <c r="C905" s="13"/>
    </row>
    <row r="906" spans="3:3" x14ac:dyDescent="0.3">
      <c r="C906" s="13"/>
    </row>
    <row r="907" spans="3:3" x14ac:dyDescent="0.3">
      <c r="C907" s="13"/>
    </row>
    <row r="908" spans="3:3" x14ac:dyDescent="0.3">
      <c r="C908" s="13"/>
    </row>
    <row r="909" spans="3:3" x14ac:dyDescent="0.3">
      <c r="C909" s="13"/>
    </row>
    <row r="910" spans="3:3" x14ac:dyDescent="0.3">
      <c r="C910" s="13"/>
    </row>
    <row r="911" spans="3:3" x14ac:dyDescent="0.3">
      <c r="C911" s="13"/>
    </row>
    <row r="912" spans="3:3" x14ac:dyDescent="0.3">
      <c r="C912" s="13"/>
    </row>
    <row r="913" spans="3:3" x14ac:dyDescent="0.3">
      <c r="C913" s="13"/>
    </row>
    <row r="914" spans="3:3" x14ac:dyDescent="0.3">
      <c r="C914" s="13"/>
    </row>
    <row r="915" spans="3:3" x14ac:dyDescent="0.3">
      <c r="C915" s="13"/>
    </row>
    <row r="916" spans="3:3" x14ac:dyDescent="0.3">
      <c r="C916" s="13"/>
    </row>
    <row r="917" spans="3:3" x14ac:dyDescent="0.3">
      <c r="C917" s="13"/>
    </row>
    <row r="918" spans="3:3" x14ac:dyDescent="0.3">
      <c r="C918" s="13"/>
    </row>
    <row r="919" spans="3:3" x14ac:dyDescent="0.3">
      <c r="C919" s="13"/>
    </row>
    <row r="920" spans="3:3" x14ac:dyDescent="0.3">
      <c r="C920" s="13"/>
    </row>
    <row r="921" spans="3:3" x14ac:dyDescent="0.3">
      <c r="C921" s="13"/>
    </row>
    <row r="922" spans="3:3" x14ac:dyDescent="0.3">
      <c r="C922" s="13"/>
    </row>
    <row r="923" spans="3:3" x14ac:dyDescent="0.3">
      <c r="C923" s="13"/>
    </row>
    <row r="924" spans="3:3" x14ac:dyDescent="0.3">
      <c r="C924" s="13"/>
    </row>
    <row r="925" spans="3:3" x14ac:dyDescent="0.3">
      <c r="C925" s="13"/>
    </row>
    <row r="926" spans="3:3" x14ac:dyDescent="0.3">
      <c r="C926" s="13"/>
    </row>
    <row r="927" spans="3:3" x14ac:dyDescent="0.3">
      <c r="C927" s="13"/>
    </row>
    <row r="928" spans="3:3" x14ac:dyDescent="0.3">
      <c r="C928" s="13"/>
    </row>
    <row r="929" spans="3:3" x14ac:dyDescent="0.3">
      <c r="C929" s="13"/>
    </row>
    <row r="930" spans="3:3" x14ac:dyDescent="0.3">
      <c r="C930" s="13"/>
    </row>
    <row r="931" spans="3:3" x14ac:dyDescent="0.3">
      <c r="C931" s="13"/>
    </row>
    <row r="932" spans="3:3" x14ac:dyDescent="0.3">
      <c r="C932" s="13"/>
    </row>
    <row r="933" spans="3:3" x14ac:dyDescent="0.3">
      <c r="C933" s="13"/>
    </row>
    <row r="934" spans="3:3" x14ac:dyDescent="0.3">
      <c r="C934" s="13"/>
    </row>
    <row r="935" spans="3:3" x14ac:dyDescent="0.3">
      <c r="C935" s="13"/>
    </row>
    <row r="936" spans="3:3" x14ac:dyDescent="0.3">
      <c r="C936" s="13"/>
    </row>
    <row r="937" spans="3:3" x14ac:dyDescent="0.3">
      <c r="C937" s="13"/>
    </row>
    <row r="938" spans="3:3" x14ac:dyDescent="0.3">
      <c r="C938" s="13"/>
    </row>
    <row r="939" spans="3:3" x14ac:dyDescent="0.3">
      <c r="C939" s="13"/>
    </row>
    <row r="940" spans="3:3" x14ac:dyDescent="0.3">
      <c r="C940" s="13"/>
    </row>
    <row r="941" spans="3:3" x14ac:dyDescent="0.3">
      <c r="C941" s="13"/>
    </row>
    <row r="942" spans="3:3" x14ac:dyDescent="0.3">
      <c r="C942" s="13"/>
    </row>
    <row r="943" spans="3:3" x14ac:dyDescent="0.3">
      <c r="C943" s="13"/>
    </row>
    <row r="944" spans="3:3" x14ac:dyDescent="0.3">
      <c r="C944" s="13"/>
    </row>
    <row r="945" spans="3:3" x14ac:dyDescent="0.3">
      <c r="C945" s="13"/>
    </row>
    <row r="946" spans="3:3" x14ac:dyDescent="0.3">
      <c r="C946" s="13"/>
    </row>
    <row r="947" spans="3:3" x14ac:dyDescent="0.3">
      <c r="C947" s="13"/>
    </row>
    <row r="948" spans="3:3" x14ac:dyDescent="0.3">
      <c r="C948" s="13"/>
    </row>
    <row r="949" spans="3:3" x14ac:dyDescent="0.3">
      <c r="C949" s="13"/>
    </row>
    <row r="950" spans="3:3" x14ac:dyDescent="0.3">
      <c r="C950" s="13"/>
    </row>
    <row r="951" spans="3:3" x14ac:dyDescent="0.3">
      <c r="C951" s="13"/>
    </row>
    <row r="952" spans="3:3" x14ac:dyDescent="0.3">
      <c r="C952" s="13"/>
    </row>
    <row r="953" spans="3:3" x14ac:dyDescent="0.3">
      <c r="C953" s="13"/>
    </row>
    <row r="954" spans="3:3" x14ac:dyDescent="0.3">
      <c r="C954" s="13"/>
    </row>
    <row r="955" spans="3:3" x14ac:dyDescent="0.3">
      <c r="C955" s="13"/>
    </row>
    <row r="956" spans="3:3" x14ac:dyDescent="0.3">
      <c r="C956" s="13"/>
    </row>
    <row r="957" spans="3:3" x14ac:dyDescent="0.3">
      <c r="C957" s="13"/>
    </row>
    <row r="958" spans="3:3" x14ac:dyDescent="0.3">
      <c r="C958" s="13"/>
    </row>
    <row r="959" spans="3:3" x14ac:dyDescent="0.3">
      <c r="C959" s="13"/>
    </row>
    <row r="960" spans="3:3" x14ac:dyDescent="0.3">
      <c r="C960" s="13"/>
    </row>
    <row r="961" spans="3:3" x14ac:dyDescent="0.3">
      <c r="C961" s="13"/>
    </row>
    <row r="962" spans="3:3" x14ac:dyDescent="0.3">
      <c r="C962" s="13"/>
    </row>
    <row r="963" spans="3:3" x14ac:dyDescent="0.3">
      <c r="C963" s="13"/>
    </row>
    <row r="964" spans="3:3" x14ac:dyDescent="0.3">
      <c r="C964" s="13"/>
    </row>
    <row r="965" spans="3:3" x14ac:dyDescent="0.3">
      <c r="C965" s="13"/>
    </row>
    <row r="966" spans="3:3" x14ac:dyDescent="0.3">
      <c r="C966" s="13"/>
    </row>
    <row r="967" spans="3:3" x14ac:dyDescent="0.3">
      <c r="C967" s="13"/>
    </row>
    <row r="968" spans="3:3" x14ac:dyDescent="0.3">
      <c r="C968" s="13"/>
    </row>
    <row r="969" spans="3:3" x14ac:dyDescent="0.3">
      <c r="C969" s="13"/>
    </row>
    <row r="970" spans="3:3" x14ac:dyDescent="0.3">
      <c r="C970" s="13"/>
    </row>
    <row r="971" spans="3:3" x14ac:dyDescent="0.3">
      <c r="C971" s="13"/>
    </row>
    <row r="972" spans="3:3" x14ac:dyDescent="0.3">
      <c r="C972" s="13"/>
    </row>
    <row r="973" spans="3:3" x14ac:dyDescent="0.3">
      <c r="C973" s="13"/>
    </row>
    <row r="974" spans="3:3" x14ac:dyDescent="0.3">
      <c r="C974" s="13"/>
    </row>
    <row r="975" spans="3:3" x14ac:dyDescent="0.3">
      <c r="C975" s="13"/>
    </row>
    <row r="976" spans="3:3" x14ac:dyDescent="0.3">
      <c r="C976" s="13"/>
    </row>
    <row r="977" spans="3:3" x14ac:dyDescent="0.3">
      <c r="C977" s="13"/>
    </row>
    <row r="978" spans="3:3" x14ac:dyDescent="0.3">
      <c r="C978" s="13"/>
    </row>
    <row r="979" spans="3:3" x14ac:dyDescent="0.3">
      <c r="C979" s="13"/>
    </row>
    <row r="980" spans="3:3" x14ac:dyDescent="0.3">
      <c r="C980" s="13"/>
    </row>
    <row r="981" spans="3:3" x14ac:dyDescent="0.3">
      <c r="C981" s="13"/>
    </row>
    <row r="982" spans="3:3" x14ac:dyDescent="0.3">
      <c r="C982" s="13"/>
    </row>
    <row r="983" spans="3:3" x14ac:dyDescent="0.3">
      <c r="C983" s="13"/>
    </row>
    <row r="984" spans="3:3" x14ac:dyDescent="0.3">
      <c r="C984" s="13"/>
    </row>
    <row r="985" spans="3:3" x14ac:dyDescent="0.3">
      <c r="C985" s="13"/>
    </row>
    <row r="986" spans="3:3" x14ac:dyDescent="0.3">
      <c r="C986" s="13"/>
    </row>
    <row r="987" spans="3:3" x14ac:dyDescent="0.3">
      <c r="C987" s="13"/>
    </row>
    <row r="988" spans="3:3" x14ac:dyDescent="0.3">
      <c r="C988" s="13"/>
    </row>
    <row r="989" spans="3:3" x14ac:dyDescent="0.3">
      <c r="C989" s="13"/>
    </row>
    <row r="990" spans="3:3" x14ac:dyDescent="0.3">
      <c r="C990" s="13"/>
    </row>
    <row r="991" spans="3:3" x14ac:dyDescent="0.3">
      <c r="C991" s="13"/>
    </row>
    <row r="992" spans="3:3" x14ac:dyDescent="0.3">
      <c r="C992" s="13"/>
    </row>
    <row r="993" spans="3:3" x14ac:dyDescent="0.3">
      <c r="C993" s="13"/>
    </row>
    <row r="994" spans="3:3" x14ac:dyDescent="0.3">
      <c r="C994" s="13"/>
    </row>
    <row r="995" spans="3:3" x14ac:dyDescent="0.3">
      <c r="C995" s="13"/>
    </row>
    <row r="996" spans="3:3" x14ac:dyDescent="0.3">
      <c r="C996" s="13"/>
    </row>
    <row r="997" spans="3:3" x14ac:dyDescent="0.3">
      <c r="C997" s="13"/>
    </row>
    <row r="998" spans="3:3" x14ac:dyDescent="0.3">
      <c r="C998" s="13"/>
    </row>
    <row r="999" spans="3:3" x14ac:dyDescent="0.3">
      <c r="C999" s="13"/>
    </row>
    <row r="1000" spans="3:3" x14ac:dyDescent="0.3">
      <c r="C1000" s="13"/>
    </row>
    <row r="1001" spans="3:3" x14ac:dyDescent="0.3">
      <c r="C1001" s="13"/>
    </row>
    <row r="1002" spans="3:3" x14ac:dyDescent="0.3">
      <c r="C1002" s="13"/>
    </row>
    <row r="1003" spans="3:3" x14ac:dyDescent="0.3">
      <c r="C1003" s="13"/>
    </row>
    <row r="1004" spans="3:3" x14ac:dyDescent="0.3">
      <c r="C1004" s="13"/>
    </row>
    <row r="1005" spans="3:3" x14ac:dyDescent="0.3">
      <c r="C1005" s="13"/>
    </row>
    <row r="1006" spans="3:3" x14ac:dyDescent="0.3">
      <c r="C1006" s="13"/>
    </row>
    <row r="1007" spans="3:3" x14ac:dyDescent="0.3">
      <c r="C1007" s="13"/>
    </row>
    <row r="1008" spans="3:3" x14ac:dyDescent="0.3">
      <c r="C1008" s="13"/>
    </row>
    <row r="1009" spans="3:3" x14ac:dyDescent="0.3">
      <c r="C1009" s="13"/>
    </row>
    <row r="1010" spans="3:3" x14ac:dyDescent="0.3">
      <c r="C1010" s="13"/>
    </row>
    <row r="1011" spans="3:3" x14ac:dyDescent="0.3">
      <c r="C1011" s="13"/>
    </row>
    <row r="1012" spans="3:3" x14ac:dyDescent="0.3">
      <c r="C1012" s="13"/>
    </row>
    <row r="1013" spans="3:3" x14ac:dyDescent="0.3">
      <c r="C1013" s="13"/>
    </row>
    <row r="1014" spans="3:3" x14ac:dyDescent="0.3">
      <c r="C1014" s="13"/>
    </row>
    <row r="1015" spans="3:3" x14ac:dyDescent="0.3">
      <c r="C1015" s="13"/>
    </row>
    <row r="1016" spans="3:3" x14ac:dyDescent="0.3">
      <c r="C1016" s="13"/>
    </row>
    <row r="1017" spans="3:3" x14ac:dyDescent="0.3">
      <c r="C1017" s="13"/>
    </row>
    <row r="1018" spans="3:3" x14ac:dyDescent="0.3">
      <c r="C1018" s="13"/>
    </row>
    <row r="1019" spans="3:3" x14ac:dyDescent="0.3">
      <c r="C1019" s="13"/>
    </row>
    <row r="1020" spans="3:3" x14ac:dyDescent="0.3">
      <c r="C1020" s="13"/>
    </row>
    <row r="1021" spans="3:3" x14ac:dyDescent="0.3">
      <c r="C1021" s="13"/>
    </row>
    <row r="1022" spans="3:3" x14ac:dyDescent="0.3">
      <c r="C1022" s="13"/>
    </row>
    <row r="1023" spans="3:3" x14ac:dyDescent="0.3">
      <c r="C1023" s="13"/>
    </row>
    <row r="1024" spans="3:3" x14ac:dyDescent="0.3">
      <c r="C1024" s="13"/>
    </row>
    <row r="1025" spans="3:3" x14ac:dyDescent="0.3">
      <c r="C1025" s="13"/>
    </row>
    <row r="1026" spans="3:3" x14ac:dyDescent="0.3">
      <c r="C1026" s="13"/>
    </row>
    <row r="1027" spans="3:3" x14ac:dyDescent="0.3">
      <c r="C1027" s="13"/>
    </row>
    <row r="1028" spans="3:3" x14ac:dyDescent="0.3">
      <c r="C1028" s="13"/>
    </row>
    <row r="1029" spans="3:3" x14ac:dyDescent="0.3">
      <c r="C1029" s="13"/>
    </row>
    <row r="1030" spans="3:3" x14ac:dyDescent="0.3">
      <c r="C1030" s="13"/>
    </row>
    <row r="1031" spans="3:3" x14ac:dyDescent="0.3">
      <c r="C1031" s="13"/>
    </row>
    <row r="1032" spans="3:3" x14ac:dyDescent="0.3">
      <c r="C1032" s="13"/>
    </row>
    <row r="1033" spans="3:3" x14ac:dyDescent="0.3">
      <c r="C1033" s="13"/>
    </row>
    <row r="1034" spans="3:3" x14ac:dyDescent="0.3">
      <c r="C1034" s="13"/>
    </row>
    <row r="1035" spans="3:3" x14ac:dyDescent="0.3">
      <c r="C1035" s="13"/>
    </row>
    <row r="1036" spans="3:3" x14ac:dyDescent="0.3">
      <c r="C1036" s="13"/>
    </row>
    <row r="1037" spans="3:3" x14ac:dyDescent="0.3">
      <c r="C1037" s="13"/>
    </row>
    <row r="1038" spans="3:3" x14ac:dyDescent="0.3">
      <c r="C1038" s="13"/>
    </row>
    <row r="1039" spans="3:3" x14ac:dyDescent="0.3">
      <c r="C1039" s="13"/>
    </row>
    <row r="1040" spans="3:3" x14ac:dyDescent="0.3">
      <c r="C1040" s="13"/>
    </row>
    <row r="1041" spans="3:3" x14ac:dyDescent="0.3">
      <c r="C1041" s="13"/>
    </row>
    <row r="1042" spans="3:3" x14ac:dyDescent="0.3">
      <c r="C1042" s="13"/>
    </row>
    <row r="1043" spans="3:3" x14ac:dyDescent="0.3">
      <c r="C1043" s="13"/>
    </row>
    <row r="1044" spans="3:3" x14ac:dyDescent="0.3">
      <c r="C1044" s="13"/>
    </row>
    <row r="1045" spans="3:3" x14ac:dyDescent="0.3">
      <c r="C1045" s="13"/>
    </row>
    <row r="1046" spans="3:3" x14ac:dyDescent="0.3">
      <c r="C1046" s="13"/>
    </row>
    <row r="1047" spans="3:3" x14ac:dyDescent="0.3">
      <c r="C1047" s="13"/>
    </row>
    <row r="1048" spans="3:3" x14ac:dyDescent="0.3">
      <c r="C1048" s="13"/>
    </row>
    <row r="1049" spans="3:3" x14ac:dyDescent="0.3">
      <c r="C1049" s="13"/>
    </row>
    <row r="1050" spans="3:3" x14ac:dyDescent="0.3">
      <c r="C1050" s="13"/>
    </row>
    <row r="1051" spans="3:3" x14ac:dyDescent="0.3">
      <c r="C1051" s="13"/>
    </row>
    <row r="1052" spans="3:3" x14ac:dyDescent="0.3">
      <c r="C1052" s="13"/>
    </row>
    <row r="1053" spans="3:3" x14ac:dyDescent="0.3">
      <c r="C1053" s="13"/>
    </row>
    <row r="1054" spans="3:3" x14ac:dyDescent="0.3">
      <c r="C1054" s="13"/>
    </row>
    <row r="1055" spans="3:3" x14ac:dyDescent="0.3">
      <c r="C1055" s="13"/>
    </row>
    <row r="1056" spans="3:3" x14ac:dyDescent="0.3">
      <c r="C1056" s="13"/>
    </row>
    <row r="1057" spans="3:3" x14ac:dyDescent="0.3">
      <c r="C1057" s="13"/>
    </row>
    <row r="1058" spans="3:3" x14ac:dyDescent="0.3">
      <c r="C1058" s="13"/>
    </row>
    <row r="1059" spans="3:3" x14ac:dyDescent="0.3">
      <c r="C1059" s="13"/>
    </row>
    <row r="1060" spans="3:3" x14ac:dyDescent="0.3">
      <c r="C1060" s="13"/>
    </row>
    <row r="1061" spans="3:3" x14ac:dyDescent="0.3">
      <c r="C1061" s="13"/>
    </row>
    <row r="1062" spans="3:3" x14ac:dyDescent="0.3">
      <c r="C1062" s="13"/>
    </row>
    <row r="1063" spans="3:3" x14ac:dyDescent="0.3">
      <c r="C1063" s="13"/>
    </row>
    <row r="1064" spans="3:3" x14ac:dyDescent="0.3">
      <c r="C1064" s="13"/>
    </row>
    <row r="1065" spans="3:3" x14ac:dyDescent="0.3">
      <c r="C1065" s="13"/>
    </row>
    <row r="1066" spans="3:3" x14ac:dyDescent="0.3">
      <c r="C1066" s="13"/>
    </row>
    <row r="1067" spans="3:3" x14ac:dyDescent="0.3">
      <c r="C1067" s="13"/>
    </row>
    <row r="1068" spans="3:3" x14ac:dyDescent="0.3">
      <c r="C1068" s="13"/>
    </row>
    <row r="1069" spans="3:3" x14ac:dyDescent="0.3">
      <c r="C1069" s="13"/>
    </row>
    <row r="1070" spans="3:3" x14ac:dyDescent="0.3">
      <c r="C1070" s="13"/>
    </row>
    <row r="1071" spans="3:3" x14ac:dyDescent="0.3">
      <c r="C1071" s="13"/>
    </row>
    <row r="1072" spans="3:3" x14ac:dyDescent="0.3">
      <c r="C1072" s="13"/>
    </row>
    <row r="1073" spans="3:3" x14ac:dyDescent="0.3">
      <c r="C1073" s="13"/>
    </row>
    <row r="1074" spans="3:3" x14ac:dyDescent="0.3">
      <c r="C1074" s="13"/>
    </row>
    <row r="1075" spans="3:3" x14ac:dyDescent="0.3">
      <c r="C1075" s="13"/>
    </row>
    <row r="1076" spans="3:3" x14ac:dyDescent="0.3">
      <c r="C1076" s="13"/>
    </row>
    <row r="1077" spans="3:3" x14ac:dyDescent="0.3">
      <c r="C1077" s="13"/>
    </row>
    <row r="1078" spans="3:3" x14ac:dyDescent="0.3">
      <c r="C1078" s="13"/>
    </row>
    <row r="1079" spans="3:3" x14ac:dyDescent="0.3">
      <c r="C1079" s="13"/>
    </row>
    <row r="1080" spans="3:3" x14ac:dyDescent="0.3">
      <c r="C1080" s="13"/>
    </row>
    <row r="1081" spans="3:3" x14ac:dyDescent="0.3">
      <c r="C1081" s="13"/>
    </row>
    <row r="1082" spans="3:3" x14ac:dyDescent="0.3">
      <c r="C1082" s="13"/>
    </row>
    <row r="1083" spans="3:3" x14ac:dyDescent="0.3">
      <c r="C1083" s="13"/>
    </row>
    <row r="1084" spans="3:3" x14ac:dyDescent="0.3">
      <c r="C1084" s="13"/>
    </row>
    <row r="1085" spans="3:3" x14ac:dyDescent="0.3">
      <c r="C1085" s="13"/>
    </row>
    <row r="1086" spans="3:3" x14ac:dyDescent="0.3">
      <c r="C1086" s="13"/>
    </row>
    <row r="1087" spans="3:3" x14ac:dyDescent="0.3">
      <c r="C1087" s="13"/>
    </row>
    <row r="1088" spans="3:3" x14ac:dyDescent="0.3">
      <c r="C1088" s="13"/>
    </row>
    <row r="1089" spans="3:3" x14ac:dyDescent="0.3">
      <c r="C1089" s="13"/>
    </row>
    <row r="1090" spans="3:3" x14ac:dyDescent="0.3">
      <c r="C1090" s="13"/>
    </row>
    <row r="1091" spans="3:3" x14ac:dyDescent="0.3">
      <c r="C1091" s="13"/>
    </row>
    <row r="1092" spans="3:3" x14ac:dyDescent="0.3">
      <c r="C1092" s="13"/>
    </row>
    <row r="1093" spans="3:3" x14ac:dyDescent="0.3">
      <c r="C1093" s="13"/>
    </row>
    <row r="1094" spans="3:3" x14ac:dyDescent="0.3">
      <c r="C1094" s="13"/>
    </row>
    <row r="1095" spans="3:3" x14ac:dyDescent="0.3">
      <c r="C1095" s="13"/>
    </row>
    <row r="1096" spans="3:3" x14ac:dyDescent="0.3">
      <c r="C1096" s="13"/>
    </row>
    <row r="1097" spans="3:3" x14ac:dyDescent="0.3">
      <c r="C1097" s="13"/>
    </row>
    <row r="1098" spans="3:3" x14ac:dyDescent="0.3">
      <c r="C1098" s="13"/>
    </row>
    <row r="1099" spans="3:3" x14ac:dyDescent="0.3">
      <c r="C1099" s="13"/>
    </row>
    <row r="1100" spans="3:3" x14ac:dyDescent="0.3">
      <c r="C1100" s="13"/>
    </row>
    <row r="1101" spans="3:3" x14ac:dyDescent="0.3">
      <c r="C1101" s="13"/>
    </row>
    <row r="1102" spans="3:3" x14ac:dyDescent="0.3">
      <c r="C1102" s="13"/>
    </row>
    <row r="1103" spans="3:3" x14ac:dyDescent="0.3">
      <c r="C1103" s="13"/>
    </row>
    <row r="1104" spans="3:3" x14ac:dyDescent="0.3">
      <c r="C1104" s="13"/>
    </row>
    <row r="1105" spans="3:3" x14ac:dyDescent="0.3">
      <c r="C1105" s="13"/>
    </row>
    <row r="1106" spans="3:3" x14ac:dyDescent="0.3">
      <c r="C1106" s="13"/>
    </row>
    <row r="1107" spans="3:3" x14ac:dyDescent="0.3">
      <c r="C1107" s="13"/>
    </row>
    <row r="1108" spans="3:3" x14ac:dyDescent="0.3">
      <c r="C1108" s="13"/>
    </row>
    <row r="1109" spans="3:3" x14ac:dyDescent="0.3">
      <c r="C1109" s="13"/>
    </row>
    <row r="1110" spans="3:3" x14ac:dyDescent="0.3">
      <c r="C1110" s="13"/>
    </row>
    <row r="1111" spans="3:3" x14ac:dyDescent="0.3">
      <c r="C1111" s="13"/>
    </row>
    <row r="1112" spans="3:3" x14ac:dyDescent="0.3">
      <c r="C1112" s="13"/>
    </row>
    <row r="1113" spans="3:3" x14ac:dyDescent="0.3">
      <c r="C1113" s="13"/>
    </row>
    <row r="1114" spans="3:3" x14ac:dyDescent="0.3">
      <c r="C1114" s="13"/>
    </row>
    <row r="1115" spans="3:3" x14ac:dyDescent="0.3">
      <c r="C1115" s="13"/>
    </row>
    <row r="1116" spans="3:3" x14ac:dyDescent="0.3">
      <c r="C1116" s="13"/>
    </row>
    <row r="1117" spans="3:3" x14ac:dyDescent="0.3">
      <c r="C1117" s="13"/>
    </row>
    <row r="1118" spans="3:3" x14ac:dyDescent="0.3">
      <c r="C1118" s="13"/>
    </row>
    <row r="1119" spans="3:3" x14ac:dyDescent="0.3">
      <c r="C1119" s="13"/>
    </row>
    <row r="1120" spans="3:3" x14ac:dyDescent="0.3">
      <c r="C1120" s="13"/>
    </row>
    <row r="1121" spans="3:3" x14ac:dyDescent="0.3">
      <c r="C1121" s="13"/>
    </row>
    <row r="1122" spans="3:3" x14ac:dyDescent="0.3">
      <c r="C1122" s="13"/>
    </row>
    <row r="1123" spans="3:3" x14ac:dyDescent="0.3">
      <c r="C1123" s="13"/>
    </row>
    <row r="1124" spans="3:3" x14ac:dyDescent="0.3">
      <c r="C1124" s="13"/>
    </row>
    <row r="1125" spans="3:3" x14ac:dyDescent="0.3">
      <c r="C1125" s="13"/>
    </row>
    <row r="1126" spans="3:3" x14ac:dyDescent="0.3">
      <c r="C1126" s="13"/>
    </row>
    <row r="1127" spans="3:3" x14ac:dyDescent="0.3">
      <c r="C1127" s="13"/>
    </row>
    <row r="1128" spans="3:3" x14ac:dyDescent="0.3">
      <c r="C1128" s="13"/>
    </row>
    <row r="1129" spans="3:3" x14ac:dyDescent="0.3">
      <c r="C1129" s="13"/>
    </row>
    <row r="1130" spans="3:3" x14ac:dyDescent="0.3">
      <c r="C1130" s="13"/>
    </row>
    <row r="1131" spans="3:3" x14ac:dyDescent="0.3">
      <c r="C1131" s="13"/>
    </row>
    <row r="1132" spans="3:3" x14ac:dyDescent="0.3">
      <c r="C1132" s="13"/>
    </row>
    <row r="1133" spans="3:3" x14ac:dyDescent="0.3">
      <c r="C1133" s="13"/>
    </row>
    <row r="1134" spans="3:3" x14ac:dyDescent="0.3">
      <c r="C1134" s="13"/>
    </row>
    <row r="1135" spans="3:3" x14ac:dyDescent="0.3">
      <c r="C1135" s="13"/>
    </row>
    <row r="1136" spans="3:3" x14ac:dyDescent="0.3">
      <c r="C1136" s="13"/>
    </row>
    <row r="1137" spans="3:3" x14ac:dyDescent="0.3">
      <c r="C1137" s="13"/>
    </row>
    <row r="1138" spans="3:3" x14ac:dyDescent="0.3">
      <c r="C1138" s="13"/>
    </row>
    <row r="1139" spans="3:3" x14ac:dyDescent="0.3">
      <c r="C1139" s="13"/>
    </row>
    <row r="1140" spans="3:3" x14ac:dyDescent="0.3">
      <c r="C1140" s="13"/>
    </row>
    <row r="1141" spans="3:3" x14ac:dyDescent="0.3">
      <c r="C1141" s="13"/>
    </row>
    <row r="1142" spans="3:3" x14ac:dyDescent="0.3">
      <c r="C1142" s="13"/>
    </row>
    <row r="1143" spans="3:3" x14ac:dyDescent="0.3">
      <c r="C1143" s="13"/>
    </row>
    <row r="1144" spans="3:3" x14ac:dyDescent="0.3">
      <c r="C1144" s="13"/>
    </row>
    <row r="1145" spans="3:3" x14ac:dyDescent="0.3">
      <c r="C1145" s="13"/>
    </row>
    <row r="1146" spans="3:3" x14ac:dyDescent="0.3">
      <c r="C1146" s="13"/>
    </row>
    <row r="1147" spans="3:3" x14ac:dyDescent="0.3">
      <c r="C1147" s="13"/>
    </row>
    <row r="1148" spans="3:3" x14ac:dyDescent="0.3">
      <c r="C1148" s="13"/>
    </row>
    <row r="1149" spans="3:3" x14ac:dyDescent="0.3">
      <c r="C1149" s="13"/>
    </row>
    <row r="1150" spans="3:3" x14ac:dyDescent="0.3">
      <c r="C1150" s="13"/>
    </row>
    <row r="1151" spans="3:3" x14ac:dyDescent="0.3">
      <c r="C1151" s="13"/>
    </row>
    <row r="1152" spans="3:3" x14ac:dyDescent="0.3">
      <c r="C1152" s="13"/>
    </row>
    <row r="1153" spans="3:3" x14ac:dyDescent="0.3">
      <c r="C1153" s="13"/>
    </row>
    <row r="1154" spans="3:3" x14ac:dyDescent="0.3">
      <c r="C1154" s="13"/>
    </row>
    <row r="1155" spans="3:3" x14ac:dyDescent="0.3">
      <c r="C1155" s="13"/>
    </row>
    <row r="1156" spans="3:3" x14ac:dyDescent="0.3">
      <c r="C1156" s="13"/>
    </row>
    <row r="1157" spans="3:3" x14ac:dyDescent="0.3">
      <c r="C1157" s="13"/>
    </row>
    <row r="1158" spans="3:3" x14ac:dyDescent="0.3">
      <c r="C1158" s="13"/>
    </row>
    <row r="1159" spans="3:3" x14ac:dyDescent="0.3">
      <c r="C1159" s="13"/>
    </row>
    <row r="1160" spans="3:3" x14ac:dyDescent="0.3">
      <c r="C1160" s="13"/>
    </row>
    <row r="1161" spans="3:3" x14ac:dyDescent="0.3">
      <c r="C1161" s="13"/>
    </row>
    <row r="1162" spans="3:3" x14ac:dyDescent="0.3">
      <c r="C1162" s="13"/>
    </row>
    <row r="1163" spans="3:3" x14ac:dyDescent="0.3">
      <c r="C1163" s="13"/>
    </row>
    <row r="1164" spans="3:3" x14ac:dyDescent="0.3">
      <c r="C1164" s="13"/>
    </row>
    <row r="1165" spans="3:3" x14ac:dyDescent="0.3">
      <c r="C1165" s="13"/>
    </row>
    <row r="1166" spans="3:3" x14ac:dyDescent="0.3">
      <c r="C1166" s="13"/>
    </row>
    <row r="1167" spans="3:3" x14ac:dyDescent="0.3">
      <c r="C1167" s="13"/>
    </row>
    <row r="1168" spans="3:3" x14ac:dyDescent="0.3">
      <c r="C1168" s="13"/>
    </row>
    <row r="1169" spans="3:3" x14ac:dyDescent="0.3">
      <c r="C1169" s="13"/>
    </row>
    <row r="1170" spans="3:3" x14ac:dyDescent="0.3">
      <c r="C1170" s="13"/>
    </row>
    <row r="1171" spans="3:3" x14ac:dyDescent="0.3">
      <c r="C1171" s="13"/>
    </row>
    <row r="1172" spans="3:3" x14ac:dyDescent="0.3">
      <c r="C1172" s="13"/>
    </row>
    <row r="1173" spans="3:3" x14ac:dyDescent="0.3">
      <c r="C1173" s="13"/>
    </row>
    <row r="1174" spans="3:3" x14ac:dyDescent="0.3">
      <c r="C1174" s="13"/>
    </row>
    <row r="1175" spans="3:3" x14ac:dyDescent="0.3">
      <c r="C1175" s="13"/>
    </row>
    <row r="1176" spans="3:3" x14ac:dyDescent="0.3">
      <c r="C1176" s="13"/>
    </row>
    <row r="1177" spans="3:3" x14ac:dyDescent="0.3">
      <c r="C1177" s="13"/>
    </row>
    <row r="1178" spans="3:3" x14ac:dyDescent="0.3">
      <c r="C1178" s="13"/>
    </row>
    <row r="1179" spans="3:3" x14ac:dyDescent="0.3">
      <c r="C1179" s="13"/>
    </row>
    <row r="1180" spans="3:3" x14ac:dyDescent="0.3">
      <c r="C1180" s="13"/>
    </row>
    <row r="1181" spans="3:3" x14ac:dyDescent="0.3">
      <c r="C1181" s="13"/>
    </row>
    <row r="1182" spans="3:3" x14ac:dyDescent="0.3">
      <c r="C1182" s="13"/>
    </row>
    <row r="1183" spans="3:3" x14ac:dyDescent="0.3">
      <c r="C1183" s="13"/>
    </row>
    <row r="1184" spans="3:3" x14ac:dyDescent="0.3">
      <c r="C1184" s="13"/>
    </row>
    <row r="1185" spans="3:3" x14ac:dyDescent="0.3">
      <c r="C1185" s="13"/>
    </row>
    <row r="1186" spans="3:3" x14ac:dyDescent="0.3">
      <c r="C1186" s="13"/>
    </row>
    <row r="1187" spans="3:3" x14ac:dyDescent="0.3">
      <c r="C1187" s="13"/>
    </row>
    <row r="1188" spans="3:3" x14ac:dyDescent="0.3">
      <c r="C1188" s="13"/>
    </row>
    <row r="1189" spans="3:3" x14ac:dyDescent="0.3">
      <c r="C1189" s="13"/>
    </row>
    <row r="1190" spans="3:3" x14ac:dyDescent="0.3">
      <c r="C1190" s="13"/>
    </row>
    <row r="1191" spans="3:3" x14ac:dyDescent="0.3">
      <c r="C1191" s="13"/>
    </row>
    <row r="1192" spans="3:3" x14ac:dyDescent="0.3">
      <c r="C1192" s="13"/>
    </row>
    <row r="1193" spans="3:3" x14ac:dyDescent="0.3">
      <c r="C1193" s="13"/>
    </row>
    <row r="1194" spans="3:3" x14ac:dyDescent="0.3">
      <c r="C1194" s="13"/>
    </row>
    <row r="1195" spans="3:3" x14ac:dyDescent="0.3">
      <c r="C1195" s="13"/>
    </row>
    <row r="1196" spans="3:3" x14ac:dyDescent="0.3">
      <c r="C1196" s="13"/>
    </row>
    <row r="1197" spans="3:3" x14ac:dyDescent="0.3">
      <c r="C1197" s="13"/>
    </row>
    <row r="1198" spans="3:3" x14ac:dyDescent="0.3">
      <c r="C1198" s="13"/>
    </row>
    <row r="1199" spans="3:3" x14ac:dyDescent="0.3">
      <c r="C1199" s="13"/>
    </row>
    <row r="1200" spans="3:3" x14ac:dyDescent="0.3">
      <c r="C1200" s="13"/>
    </row>
    <row r="1201" spans="3:3" x14ac:dyDescent="0.3">
      <c r="C1201" s="13"/>
    </row>
    <row r="1202" spans="3:3" x14ac:dyDescent="0.3">
      <c r="C1202" s="13"/>
    </row>
    <row r="1203" spans="3:3" x14ac:dyDescent="0.3">
      <c r="C1203" s="13"/>
    </row>
    <row r="1204" spans="3:3" x14ac:dyDescent="0.3">
      <c r="C1204" s="13"/>
    </row>
    <row r="1205" spans="3:3" x14ac:dyDescent="0.3">
      <c r="C1205" s="13"/>
    </row>
    <row r="1206" spans="3:3" x14ac:dyDescent="0.3">
      <c r="C1206" s="13"/>
    </row>
    <row r="1207" spans="3:3" x14ac:dyDescent="0.3">
      <c r="C1207" s="13"/>
    </row>
    <row r="1208" spans="3:3" x14ac:dyDescent="0.3">
      <c r="C1208" s="13"/>
    </row>
    <row r="1209" spans="3:3" x14ac:dyDescent="0.3">
      <c r="C1209" s="13"/>
    </row>
    <row r="1210" spans="3:3" x14ac:dyDescent="0.3">
      <c r="C1210" s="13"/>
    </row>
    <row r="1211" spans="3:3" x14ac:dyDescent="0.3">
      <c r="C1211" s="13"/>
    </row>
    <row r="1212" spans="3:3" x14ac:dyDescent="0.3">
      <c r="C1212" s="13"/>
    </row>
    <row r="1213" spans="3:3" x14ac:dyDescent="0.3">
      <c r="C1213" s="13"/>
    </row>
    <row r="1214" spans="3:3" x14ac:dyDescent="0.3">
      <c r="C1214" s="13"/>
    </row>
    <row r="1215" spans="3:3" x14ac:dyDescent="0.3">
      <c r="C1215" s="13"/>
    </row>
    <row r="1216" spans="3:3" x14ac:dyDescent="0.3">
      <c r="C1216" s="13"/>
    </row>
    <row r="1217" spans="3:3" x14ac:dyDescent="0.3">
      <c r="C1217" s="13"/>
    </row>
    <row r="1218" spans="3:3" x14ac:dyDescent="0.3">
      <c r="C1218" s="13"/>
    </row>
    <row r="1219" spans="3:3" x14ac:dyDescent="0.3">
      <c r="C1219" s="13"/>
    </row>
    <row r="1220" spans="3:3" x14ac:dyDescent="0.3">
      <c r="C1220" s="13"/>
    </row>
    <row r="1221" spans="3:3" x14ac:dyDescent="0.3">
      <c r="C1221" s="13"/>
    </row>
    <row r="1222" spans="3:3" x14ac:dyDescent="0.3">
      <c r="C1222" s="13"/>
    </row>
    <row r="1223" spans="3:3" x14ac:dyDescent="0.3">
      <c r="C1223" s="13"/>
    </row>
    <row r="1224" spans="3:3" x14ac:dyDescent="0.3">
      <c r="C1224" s="13"/>
    </row>
    <row r="1225" spans="3:3" x14ac:dyDescent="0.3">
      <c r="C1225" s="13"/>
    </row>
    <row r="1226" spans="3:3" x14ac:dyDescent="0.3">
      <c r="C1226" s="13"/>
    </row>
    <row r="1227" spans="3:3" x14ac:dyDescent="0.3">
      <c r="C1227" s="13"/>
    </row>
    <row r="1228" spans="3:3" x14ac:dyDescent="0.3">
      <c r="C1228" s="13"/>
    </row>
    <row r="1229" spans="3:3" x14ac:dyDescent="0.3">
      <c r="C1229" s="13"/>
    </row>
    <row r="1230" spans="3:3" x14ac:dyDescent="0.3">
      <c r="C1230" s="13"/>
    </row>
    <row r="1231" spans="3:3" x14ac:dyDescent="0.3">
      <c r="C1231" s="13"/>
    </row>
    <row r="1232" spans="3:3" x14ac:dyDescent="0.3">
      <c r="C1232" s="13"/>
    </row>
    <row r="1233" spans="3:3" x14ac:dyDescent="0.3">
      <c r="C1233" s="13"/>
    </row>
    <row r="1234" spans="3:3" x14ac:dyDescent="0.3">
      <c r="C1234" s="13"/>
    </row>
    <row r="1235" spans="3:3" x14ac:dyDescent="0.3">
      <c r="C1235" s="13"/>
    </row>
    <row r="1236" spans="3:3" x14ac:dyDescent="0.3">
      <c r="C1236" s="13"/>
    </row>
    <row r="1237" spans="3:3" x14ac:dyDescent="0.3">
      <c r="C1237" s="13"/>
    </row>
    <row r="1238" spans="3:3" x14ac:dyDescent="0.3">
      <c r="C1238" s="13"/>
    </row>
    <row r="1239" spans="3:3" x14ac:dyDescent="0.3">
      <c r="C1239" s="13"/>
    </row>
    <row r="1240" spans="3:3" x14ac:dyDescent="0.3">
      <c r="C1240" s="13"/>
    </row>
    <row r="1241" spans="3:3" x14ac:dyDescent="0.3">
      <c r="C1241" s="13"/>
    </row>
    <row r="1242" spans="3:3" x14ac:dyDescent="0.3">
      <c r="C1242" s="13"/>
    </row>
    <row r="1243" spans="3:3" x14ac:dyDescent="0.3">
      <c r="C1243" s="13"/>
    </row>
    <row r="1244" spans="3:3" x14ac:dyDescent="0.3">
      <c r="C1244" s="13"/>
    </row>
    <row r="1245" spans="3:3" x14ac:dyDescent="0.3">
      <c r="C1245" s="13"/>
    </row>
    <row r="1246" spans="3:3" x14ac:dyDescent="0.3">
      <c r="C1246" s="13"/>
    </row>
    <row r="1247" spans="3:3" x14ac:dyDescent="0.3">
      <c r="C1247" s="13"/>
    </row>
    <row r="1248" spans="3:3" x14ac:dyDescent="0.3">
      <c r="C1248" s="13"/>
    </row>
    <row r="1249" spans="3:3" x14ac:dyDescent="0.3">
      <c r="C1249" s="13"/>
    </row>
    <row r="1250" spans="3:3" x14ac:dyDescent="0.3">
      <c r="C1250" s="13"/>
    </row>
    <row r="1251" spans="3:3" x14ac:dyDescent="0.3">
      <c r="C1251" s="13"/>
    </row>
    <row r="1252" spans="3:3" x14ac:dyDescent="0.3">
      <c r="C1252" s="13"/>
    </row>
    <row r="1253" spans="3:3" x14ac:dyDescent="0.3">
      <c r="C1253" s="13"/>
    </row>
    <row r="1254" spans="3:3" x14ac:dyDescent="0.3">
      <c r="C1254" s="13"/>
    </row>
    <row r="1255" spans="3:3" x14ac:dyDescent="0.3">
      <c r="C1255" s="13"/>
    </row>
    <row r="1256" spans="3:3" x14ac:dyDescent="0.3">
      <c r="C1256" s="13"/>
    </row>
    <row r="1257" spans="3:3" x14ac:dyDescent="0.3">
      <c r="C1257" s="13"/>
    </row>
    <row r="1258" spans="3:3" x14ac:dyDescent="0.3">
      <c r="C1258" s="13"/>
    </row>
    <row r="1259" spans="3:3" x14ac:dyDescent="0.3">
      <c r="C1259" s="13"/>
    </row>
    <row r="1260" spans="3:3" x14ac:dyDescent="0.3">
      <c r="C1260" s="13"/>
    </row>
    <row r="1261" spans="3:3" x14ac:dyDescent="0.3">
      <c r="C1261" s="13"/>
    </row>
    <row r="1262" spans="3:3" x14ac:dyDescent="0.3">
      <c r="C1262" s="13"/>
    </row>
    <row r="1263" spans="3:3" x14ac:dyDescent="0.3">
      <c r="C1263" s="13"/>
    </row>
    <row r="1264" spans="3:3" x14ac:dyDescent="0.3">
      <c r="C1264" s="13"/>
    </row>
    <row r="1265" spans="3:3" x14ac:dyDescent="0.3">
      <c r="C1265" s="13"/>
    </row>
    <row r="1266" spans="3:3" x14ac:dyDescent="0.3">
      <c r="C1266" s="13"/>
    </row>
    <row r="1267" spans="3:3" x14ac:dyDescent="0.3">
      <c r="C1267" s="13"/>
    </row>
    <row r="1268" spans="3:3" x14ac:dyDescent="0.3">
      <c r="C1268" s="13"/>
    </row>
    <row r="1269" spans="3:3" x14ac:dyDescent="0.3">
      <c r="C1269" s="13"/>
    </row>
    <row r="1270" spans="3:3" x14ac:dyDescent="0.3">
      <c r="C1270" s="13"/>
    </row>
    <row r="1271" spans="3:3" x14ac:dyDescent="0.3">
      <c r="C1271" s="13"/>
    </row>
    <row r="1272" spans="3:3" x14ac:dyDescent="0.3">
      <c r="C1272" s="13"/>
    </row>
    <row r="1273" spans="3:3" x14ac:dyDescent="0.3">
      <c r="C1273" s="13"/>
    </row>
    <row r="1274" spans="3:3" x14ac:dyDescent="0.3">
      <c r="C1274" s="13"/>
    </row>
    <row r="1275" spans="3:3" x14ac:dyDescent="0.3">
      <c r="C1275" s="13"/>
    </row>
    <row r="1276" spans="3:3" x14ac:dyDescent="0.3">
      <c r="C1276" s="13"/>
    </row>
    <row r="1277" spans="3:3" x14ac:dyDescent="0.3">
      <c r="C1277" s="13"/>
    </row>
    <row r="1278" spans="3:3" x14ac:dyDescent="0.3">
      <c r="C1278" s="13"/>
    </row>
    <row r="1279" spans="3:3" x14ac:dyDescent="0.3">
      <c r="C1279" s="13"/>
    </row>
    <row r="1280" spans="3:3" x14ac:dyDescent="0.3">
      <c r="C1280" s="13"/>
    </row>
    <row r="1281" spans="3:3" x14ac:dyDescent="0.3">
      <c r="C1281" s="13"/>
    </row>
    <row r="1282" spans="3:3" x14ac:dyDescent="0.3">
      <c r="C1282" s="13"/>
    </row>
    <row r="1283" spans="3:3" x14ac:dyDescent="0.3">
      <c r="C1283" s="13"/>
    </row>
    <row r="1284" spans="3:3" x14ac:dyDescent="0.3">
      <c r="C1284" s="13"/>
    </row>
    <row r="1285" spans="3:3" x14ac:dyDescent="0.3">
      <c r="C1285" s="13"/>
    </row>
    <row r="1286" spans="3:3" x14ac:dyDescent="0.3">
      <c r="C1286" s="13"/>
    </row>
    <row r="1287" spans="3:3" x14ac:dyDescent="0.3">
      <c r="C1287" s="13"/>
    </row>
    <row r="1288" spans="3:3" x14ac:dyDescent="0.3">
      <c r="C1288" s="13"/>
    </row>
    <row r="1289" spans="3:3" x14ac:dyDescent="0.3">
      <c r="C1289" s="13"/>
    </row>
    <row r="1290" spans="3:3" x14ac:dyDescent="0.3">
      <c r="C1290" s="13"/>
    </row>
    <row r="1291" spans="3:3" x14ac:dyDescent="0.3">
      <c r="C1291" s="13"/>
    </row>
    <row r="1292" spans="3:3" x14ac:dyDescent="0.3">
      <c r="C1292" s="13"/>
    </row>
    <row r="1293" spans="3:3" x14ac:dyDescent="0.3">
      <c r="C1293" s="13"/>
    </row>
    <row r="1294" spans="3:3" x14ac:dyDescent="0.3">
      <c r="C1294" s="13"/>
    </row>
    <row r="1295" spans="3:3" x14ac:dyDescent="0.3">
      <c r="C1295" s="13"/>
    </row>
    <row r="1296" spans="3:3" x14ac:dyDescent="0.3">
      <c r="C1296" s="13"/>
    </row>
    <row r="1297" spans="3:3" x14ac:dyDescent="0.3">
      <c r="C1297" s="13"/>
    </row>
    <row r="1298" spans="3:3" x14ac:dyDescent="0.3">
      <c r="C1298" s="13"/>
    </row>
    <row r="1299" spans="3:3" x14ac:dyDescent="0.3">
      <c r="C1299" s="13"/>
    </row>
    <row r="1300" spans="3:3" x14ac:dyDescent="0.3">
      <c r="C1300" s="13"/>
    </row>
    <row r="1301" spans="3:3" x14ac:dyDescent="0.3">
      <c r="C1301" s="13"/>
    </row>
    <row r="1302" spans="3:3" x14ac:dyDescent="0.3">
      <c r="C1302" s="13"/>
    </row>
    <row r="1303" spans="3:3" x14ac:dyDescent="0.3">
      <c r="C1303" s="13"/>
    </row>
    <row r="1304" spans="3:3" x14ac:dyDescent="0.3">
      <c r="C1304" s="13"/>
    </row>
    <row r="1305" spans="3:3" x14ac:dyDescent="0.3">
      <c r="C1305" s="13"/>
    </row>
    <row r="1306" spans="3:3" x14ac:dyDescent="0.3">
      <c r="C1306" s="13"/>
    </row>
    <row r="1307" spans="3:3" x14ac:dyDescent="0.3">
      <c r="C1307" s="13"/>
    </row>
    <row r="1308" spans="3:3" x14ac:dyDescent="0.3">
      <c r="C1308" s="13"/>
    </row>
    <row r="1309" spans="3:3" x14ac:dyDescent="0.3">
      <c r="C1309" s="13"/>
    </row>
    <row r="1310" spans="3:3" x14ac:dyDescent="0.3">
      <c r="C1310" s="13"/>
    </row>
    <row r="1311" spans="3:3" x14ac:dyDescent="0.3">
      <c r="C1311" s="13"/>
    </row>
    <row r="1312" spans="3:3" x14ac:dyDescent="0.3">
      <c r="C1312" s="13"/>
    </row>
    <row r="1313" spans="3:3" x14ac:dyDescent="0.3">
      <c r="C1313" s="13"/>
    </row>
    <row r="1314" spans="3:3" x14ac:dyDescent="0.3">
      <c r="C1314" s="13"/>
    </row>
    <row r="1315" spans="3:3" x14ac:dyDescent="0.3">
      <c r="C1315" s="13"/>
    </row>
    <row r="1316" spans="3:3" x14ac:dyDescent="0.3">
      <c r="C1316" s="13"/>
    </row>
    <row r="1317" spans="3:3" x14ac:dyDescent="0.3">
      <c r="C1317" s="13"/>
    </row>
    <row r="1318" spans="3:3" x14ac:dyDescent="0.3">
      <c r="C1318" s="13"/>
    </row>
    <row r="1319" spans="3:3" x14ac:dyDescent="0.3">
      <c r="C1319" s="13"/>
    </row>
    <row r="1320" spans="3:3" x14ac:dyDescent="0.3">
      <c r="C1320" s="13"/>
    </row>
    <row r="1321" spans="3:3" x14ac:dyDescent="0.3">
      <c r="C1321" s="13"/>
    </row>
    <row r="1322" spans="3:3" x14ac:dyDescent="0.3">
      <c r="C1322" s="13"/>
    </row>
    <row r="1323" spans="3:3" x14ac:dyDescent="0.3">
      <c r="C1323" s="13"/>
    </row>
    <row r="1324" spans="3:3" x14ac:dyDescent="0.3">
      <c r="C1324" s="13"/>
    </row>
    <row r="1325" spans="3:3" x14ac:dyDescent="0.3">
      <c r="C1325" s="13"/>
    </row>
    <row r="1326" spans="3:3" x14ac:dyDescent="0.3">
      <c r="C1326" s="13"/>
    </row>
    <row r="1327" spans="3:3" x14ac:dyDescent="0.3">
      <c r="C1327" s="13"/>
    </row>
    <row r="1328" spans="3:3" x14ac:dyDescent="0.3">
      <c r="C1328" s="13"/>
    </row>
    <row r="1329" spans="3:3" x14ac:dyDescent="0.3">
      <c r="C1329" s="13"/>
    </row>
    <row r="1330" spans="3:3" x14ac:dyDescent="0.3">
      <c r="C1330" s="13"/>
    </row>
    <row r="1331" spans="3:3" x14ac:dyDescent="0.3">
      <c r="C1331" s="13"/>
    </row>
    <row r="1332" spans="3:3" x14ac:dyDescent="0.3">
      <c r="C1332" s="13"/>
    </row>
    <row r="1333" spans="3:3" x14ac:dyDescent="0.3">
      <c r="C1333" s="13"/>
    </row>
    <row r="1334" spans="3:3" x14ac:dyDescent="0.3">
      <c r="C1334" s="13"/>
    </row>
    <row r="1335" spans="3:3" x14ac:dyDescent="0.3">
      <c r="C1335" s="13"/>
    </row>
    <row r="1336" spans="3:3" x14ac:dyDescent="0.3">
      <c r="C1336" s="13"/>
    </row>
    <row r="1337" spans="3:3" x14ac:dyDescent="0.3">
      <c r="C1337" s="13"/>
    </row>
    <row r="1338" spans="3:3" x14ac:dyDescent="0.3">
      <c r="C1338" s="13"/>
    </row>
    <row r="1339" spans="3:3" x14ac:dyDescent="0.3">
      <c r="C1339" s="13"/>
    </row>
    <row r="1340" spans="3:3" x14ac:dyDescent="0.3">
      <c r="C1340" s="13"/>
    </row>
    <row r="1341" spans="3:3" x14ac:dyDescent="0.3">
      <c r="C1341" s="13"/>
    </row>
    <row r="1342" spans="3:3" x14ac:dyDescent="0.3">
      <c r="C1342" s="13"/>
    </row>
    <row r="1343" spans="3:3" x14ac:dyDescent="0.3">
      <c r="C1343" s="13"/>
    </row>
    <row r="1344" spans="3:3" x14ac:dyDescent="0.3">
      <c r="C1344" s="13"/>
    </row>
    <row r="1345" spans="3:3" x14ac:dyDescent="0.3">
      <c r="C1345" s="13"/>
    </row>
    <row r="1346" spans="3:3" x14ac:dyDescent="0.3">
      <c r="C1346" s="13"/>
    </row>
    <row r="1347" spans="3:3" x14ac:dyDescent="0.3">
      <c r="C1347" s="13"/>
    </row>
    <row r="1348" spans="3:3" x14ac:dyDescent="0.3">
      <c r="C1348" s="13"/>
    </row>
    <row r="1349" spans="3:3" x14ac:dyDescent="0.3">
      <c r="C1349" s="13"/>
    </row>
    <row r="1350" spans="3:3" x14ac:dyDescent="0.3">
      <c r="C1350" s="13"/>
    </row>
    <row r="1351" spans="3:3" x14ac:dyDescent="0.3">
      <c r="C1351" s="13"/>
    </row>
    <row r="1352" spans="3:3" x14ac:dyDescent="0.3">
      <c r="C1352" s="13"/>
    </row>
    <row r="1353" spans="3:3" x14ac:dyDescent="0.3">
      <c r="C1353" s="13"/>
    </row>
    <row r="1354" spans="3:3" x14ac:dyDescent="0.3">
      <c r="C1354" s="13"/>
    </row>
    <row r="1355" spans="3:3" x14ac:dyDescent="0.3">
      <c r="C1355" s="13"/>
    </row>
    <row r="1356" spans="3:3" x14ac:dyDescent="0.3">
      <c r="C1356" s="13"/>
    </row>
    <row r="1357" spans="3:3" x14ac:dyDescent="0.3">
      <c r="C1357" s="13"/>
    </row>
    <row r="1358" spans="3:3" x14ac:dyDescent="0.3">
      <c r="C1358" s="13"/>
    </row>
    <row r="1359" spans="3:3" x14ac:dyDescent="0.3">
      <c r="C1359" s="13"/>
    </row>
    <row r="1360" spans="3:3" x14ac:dyDescent="0.3">
      <c r="C1360" s="13"/>
    </row>
    <row r="1361" spans="3:3" x14ac:dyDescent="0.3">
      <c r="C1361" s="13"/>
    </row>
    <row r="1362" spans="3:3" x14ac:dyDescent="0.3">
      <c r="C1362" s="13"/>
    </row>
    <row r="1363" spans="3:3" x14ac:dyDescent="0.3">
      <c r="C1363" s="13"/>
    </row>
    <row r="1364" spans="3:3" x14ac:dyDescent="0.3">
      <c r="C1364" s="13"/>
    </row>
    <row r="1365" spans="3:3" x14ac:dyDescent="0.3">
      <c r="C1365" s="13"/>
    </row>
    <row r="1366" spans="3:3" x14ac:dyDescent="0.3">
      <c r="C1366" s="13"/>
    </row>
    <row r="1367" spans="3:3" x14ac:dyDescent="0.3">
      <c r="C1367" s="13"/>
    </row>
    <row r="1368" spans="3:3" x14ac:dyDescent="0.3">
      <c r="C1368" s="13"/>
    </row>
    <row r="1369" spans="3:3" x14ac:dyDescent="0.3">
      <c r="C1369" s="13"/>
    </row>
    <row r="1370" spans="3:3" x14ac:dyDescent="0.3">
      <c r="C1370" s="13"/>
    </row>
    <row r="1371" spans="3:3" x14ac:dyDescent="0.3">
      <c r="C1371" s="13"/>
    </row>
    <row r="1372" spans="3:3" x14ac:dyDescent="0.3">
      <c r="C1372" s="13"/>
    </row>
    <row r="1373" spans="3:3" x14ac:dyDescent="0.3">
      <c r="C1373" s="13"/>
    </row>
    <row r="1374" spans="3:3" x14ac:dyDescent="0.3">
      <c r="C1374" s="13"/>
    </row>
    <row r="1375" spans="3:3" x14ac:dyDescent="0.3">
      <c r="C1375" s="13"/>
    </row>
    <row r="1376" spans="3:3" x14ac:dyDescent="0.3">
      <c r="C1376" s="13"/>
    </row>
    <row r="1377" spans="3:3" x14ac:dyDescent="0.3">
      <c r="C1377" s="13"/>
    </row>
    <row r="1378" spans="3:3" x14ac:dyDescent="0.3">
      <c r="C1378" s="13"/>
    </row>
    <row r="1379" spans="3:3" x14ac:dyDescent="0.3">
      <c r="C1379" s="13"/>
    </row>
    <row r="1380" spans="3:3" x14ac:dyDescent="0.3">
      <c r="C1380" s="13"/>
    </row>
    <row r="1381" spans="3:3" x14ac:dyDescent="0.3">
      <c r="C1381" s="13"/>
    </row>
    <row r="1382" spans="3:3" x14ac:dyDescent="0.3">
      <c r="C1382" s="13"/>
    </row>
    <row r="1383" spans="3:3" x14ac:dyDescent="0.3">
      <c r="C1383" s="13"/>
    </row>
    <row r="1384" spans="3:3" x14ac:dyDescent="0.3">
      <c r="C1384" s="13"/>
    </row>
    <row r="1385" spans="3:3" x14ac:dyDescent="0.3">
      <c r="C1385" s="13"/>
    </row>
    <row r="1386" spans="3:3" x14ac:dyDescent="0.3">
      <c r="C1386" s="13"/>
    </row>
    <row r="1387" spans="3:3" x14ac:dyDescent="0.3">
      <c r="C1387" s="13"/>
    </row>
    <row r="1388" spans="3:3" x14ac:dyDescent="0.3">
      <c r="C1388" s="13"/>
    </row>
    <row r="1389" spans="3:3" x14ac:dyDescent="0.3">
      <c r="C1389" s="13"/>
    </row>
    <row r="1390" spans="3:3" x14ac:dyDescent="0.3">
      <c r="C1390" s="13"/>
    </row>
    <row r="1391" spans="3:3" x14ac:dyDescent="0.3">
      <c r="C1391" s="13"/>
    </row>
    <row r="1392" spans="3:3" x14ac:dyDescent="0.3">
      <c r="C1392" s="13"/>
    </row>
    <row r="1393" spans="3:3" x14ac:dyDescent="0.3">
      <c r="C1393" s="13"/>
    </row>
    <row r="1394" spans="3:3" x14ac:dyDescent="0.3">
      <c r="C1394" s="13"/>
    </row>
    <row r="1395" spans="3:3" x14ac:dyDescent="0.3">
      <c r="C1395" s="13"/>
    </row>
    <row r="1396" spans="3:3" x14ac:dyDescent="0.3">
      <c r="C1396" s="13"/>
    </row>
    <row r="1397" spans="3:3" x14ac:dyDescent="0.3">
      <c r="C1397" s="13"/>
    </row>
    <row r="1398" spans="3:3" x14ac:dyDescent="0.3">
      <c r="C1398" s="13"/>
    </row>
    <row r="1399" spans="3:3" x14ac:dyDescent="0.3">
      <c r="C1399" s="13"/>
    </row>
    <row r="1400" spans="3:3" x14ac:dyDescent="0.3">
      <c r="C1400" s="13"/>
    </row>
    <row r="1401" spans="3:3" x14ac:dyDescent="0.3">
      <c r="C1401" s="13"/>
    </row>
    <row r="1402" spans="3:3" x14ac:dyDescent="0.3">
      <c r="C1402" s="13"/>
    </row>
    <row r="1403" spans="3:3" x14ac:dyDescent="0.3">
      <c r="C1403" s="13"/>
    </row>
    <row r="1404" spans="3:3" x14ac:dyDescent="0.3">
      <c r="C1404" s="13"/>
    </row>
    <row r="1405" spans="3:3" x14ac:dyDescent="0.3">
      <c r="C1405" s="13"/>
    </row>
    <row r="1406" spans="3:3" x14ac:dyDescent="0.3">
      <c r="C1406" s="13"/>
    </row>
    <row r="1407" spans="3:3" x14ac:dyDescent="0.3">
      <c r="C1407" s="13"/>
    </row>
    <row r="1408" spans="3:3" x14ac:dyDescent="0.3">
      <c r="C1408" s="13"/>
    </row>
    <row r="1409" spans="3:3" x14ac:dyDescent="0.3">
      <c r="C1409" s="13"/>
    </row>
    <row r="1410" spans="3:3" x14ac:dyDescent="0.3">
      <c r="C1410" s="13"/>
    </row>
    <row r="1411" spans="3:3" x14ac:dyDescent="0.3">
      <c r="C1411" s="13"/>
    </row>
    <row r="1412" spans="3:3" x14ac:dyDescent="0.3">
      <c r="C1412" s="13"/>
    </row>
    <row r="1413" spans="3:3" x14ac:dyDescent="0.3">
      <c r="C1413" s="13"/>
    </row>
    <row r="1414" spans="3:3" x14ac:dyDescent="0.3">
      <c r="C1414" s="13"/>
    </row>
    <row r="1415" spans="3:3" x14ac:dyDescent="0.3">
      <c r="C1415" s="13"/>
    </row>
    <row r="1416" spans="3:3" x14ac:dyDescent="0.3">
      <c r="C1416" s="13"/>
    </row>
    <row r="1417" spans="3:3" x14ac:dyDescent="0.3">
      <c r="C1417" s="13"/>
    </row>
    <row r="1418" spans="3:3" x14ac:dyDescent="0.3">
      <c r="C1418" s="13"/>
    </row>
    <row r="1419" spans="3:3" x14ac:dyDescent="0.3">
      <c r="C1419" s="13"/>
    </row>
    <row r="1420" spans="3:3" x14ac:dyDescent="0.3">
      <c r="C1420" s="13"/>
    </row>
    <row r="1421" spans="3:3" x14ac:dyDescent="0.3">
      <c r="C1421" s="13"/>
    </row>
    <row r="1422" spans="3:3" x14ac:dyDescent="0.3">
      <c r="C1422" s="13"/>
    </row>
    <row r="1423" spans="3:3" x14ac:dyDescent="0.3">
      <c r="C1423" s="13"/>
    </row>
    <row r="1424" spans="3:3" x14ac:dyDescent="0.3">
      <c r="C1424" s="13"/>
    </row>
    <row r="1425" spans="3:3" x14ac:dyDescent="0.3">
      <c r="C1425" s="13"/>
    </row>
    <row r="1426" spans="3:3" x14ac:dyDescent="0.3">
      <c r="C1426" s="13"/>
    </row>
    <row r="1427" spans="3:3" x14ac:dyDescent="0.3">
      <c r="C1427" s="13"/>
    </row>
    <row r="1428" spans="3:3" x14ac:dyDescent="0.3">
      <c r="C1428" s="13"/>
    </row>
    <row r="1429" spans="3:3" x14ac:dyDescent="0.3">
      <c r="C1429" s="13"/>
    </row>
    <row r="1430" spans="3:3" x14ac:dyDescent="0.3">
      <c r="C1430" s="13"/>
    </row>
    <row r="1431" spans="3:3" x14ac:dyDescent="0.3">
      <c r="C1431" s="13"/>
    </row>
    <row r="1432" spans="3:3" x14ac:dyDescent="0.3">
      <c r="C1432" s="13"/>
    </row>
    <row r="1433" spans="3:3" x14ac:dyDescent="0.3">
      <c r="C1433" s="13"/>
    </row>
    <row r="1434" spans="3:3" x14ac:dyDescent="0.3">
      <c r="C1434" s="13"/>
    </row>
    <row r="1435" spans="3:3" x14ac:dyDescent="0.3">
      <c r="C1435" s="13"/>
    </row>
    <row r="1436" spans="3:3" x14ac:dyDescent="0.3">
      <c r="C1436" s="13"/>
    </row>
    <row r="1437" spans="3:3" x14ac:dyDescent="0.3">
      <c r="C1437" s="13"/>
    </row>
    <row r="1438" spans="3:3" x14ac:dyDescent="0.3">
      <c r="C1438" s="13"/>
    </row>
    <row r="1439" spans="3:3" x14ac:dyDescent="0.3">
      <c r="C1439" s="13"/>
    </row>
    <row r="1440" spans="3:3" x14ac:dyDescent="0.3">
      <c r="C1440" s="13"/>
    </row>
    <row r="1441" spans="3:3" x14ac:dyDescent="0.3">
      <c r="C1441" s="13"/>
    </row>
    <row r="1442" spans="3:3" x14ac:dyDescent="0.3">
      <c r="C1442" s="13"/>
    </row>
    <row r="1443" spans="3:3" x14ac:dyDescent="0.3">
      <c r="C1443" s="13"/>
    </row>
    <row r="1444" spans="3:3" x14ac:dyDescent="0.3">
      <c r="C1444" s="13"/>
    </row>
    <row r="1445" spans="3:3" x14ac:dyDescent="0.3">
      <c r="C1445" s="13"/>
    </row>
    <row r="1446" spans="3:3" x14ac:dyDescent="0.3">
      <c r="C1446" s="13"/>
    </row>
    <row r="1447" spans="3:3" x14ac:dyDescent="0.3">
      <c r="C1447" s="13"/>
    </row>
    <row r="1448" spans="3:3" x14ac:dyDescent="0.3">
      <c r="C1448" s="13"/>
    </row>
    <row r="1449" spans="3:3" x14ac:dyDescent="0.3">
      <c r="C1449" s="13"/>
    </row>
    <row r="1450" spans="3:3" x14ac:dyDescent="0.3">
      <c r="C1450" s="13"/>
    </row>
    <row r="1451" spans="3:3" x14ac:dyDescent="0.3">
      <c r="C1451" s="13"/>
    </row>
    <row r="1452" spans="3:3" x14ac:dyDescent="0.3">
      <c r="C1452" s="13"/>
    </row>
    <row r="1453" spans="3:3" x14ac:dyDescent="0.3">
      <c r="C1453" s="13"/>
    </row>
    <row r="1454" spans="3:3" x14ac:dyDescent="0.3">
      <c r="C1454" s="13"/>
    </row>
    <row r="1455" spans="3:3" x14ac:dyDescent="0.3">
      <c r="C1455" s="13"/>
    </row>
    <row r="1456" spans="3:3" x14ac:dyDescent="0.3">
      <c r="C1456" s="13"/>
    </row>
    <row r="1457" spans="3:3" x14ac:dyDescent="0.3">
      <c r="C1457" s="13"/>
    </row>
    <row r="1458" spans="3:3" x14ac:dyDescent="0.3">
      <c r="C1458" s="13"/>
    </row>
    <row r="1459" spans="3:3" x14ac:dyDescent="0.3">
      <c r="C1459" s="13"/>
    </row>
    <row r="1460" spans="3:3" x14ac:dyDescent="0.3">
      <c r="C1460" s="13"/>
    </row>
    <row r="1461" spans="3:3" x14ac:dyDescent="0.3">
      <c r="C1461" s="13"/>
    </row>
    <row r="1462" spans="3:3" x14ac:dyDescent="0.3">
      <c r="C1462" s="13"/>
    </row>
    <row r="1463" spans="3:3" x14ac:dyDescent="0.3">
      <c r="C1463" s="13"/>
    </row>
    <row r="1464" spans="3:3" x14ac:dyDescent="0.3">
      <c r="C1464" s="13"/>
    </row>
    <row r="1465" spans="3:3" x14ac:dyDescent="0.3">
      <c r="C1465" s="13"/>
    </row>
    <row r="1466" spans="3:3" x14ac:dyDescent="0.3">
      <c r="C1466" s="13"/>
    </row>
    <row r="1467" spans="3:3" x14ac:dyDescent="0.3">
      <c r="C1467" s="13"/>
    </row>
    <row r="1468" spans="3:3" x14ac:dyDescent="0.3">
      <c r="C1468" s="13"/>
    </row>
    <row r="1469" spans="3:3" x14ac:dyDescent="0.3">
      <c r="C1469" s="13"/>
    </row>
    <row r="1470" spans="3:3" x14ac:dyDescent="0.3">
      <c r="C1470" s="13"/>
    </row>
    <row r="1471" spans="3:3" x14ac:dyDescent="0.3">
      <c r="C1471" s="13"/>
    </row>
    <row r="1472" spans="3:3" x14ac:dyDescent="0.3">
      <c r="C1472" s="13"/>
    </row>
    <row r="1473" spans="3:3" x14ac:dyDescent="0.3">
      <c r="C1473" s="13"/>
    </row>
    <row r="1474" spans="3:3" x14ac:dyDescent="0.3">
      <c r="C1474" s="13"/>
    </row>
    <row r="1475" spans="3:3" x14ac:dyDescent="0.3">
      <c r="C1475" s="13"/>
    </row>
    <row r="1476" spans="3:3" x14ac:dyDescent="0.3">
      <c r="C1476" s="13"/>
    </row>
    <row r="1477" spans="3:3" x14ac:dyDescent="0.3">
      <c r="C1477" s="13"/>
    </row>
    <row r="1478" spans="3:3" x14ac:dyDescent="0.3">
      <c r="C1478" s="13"/>
    </row>
    <row r="1479" spans="3:3" x14ac:dyDescent="0.3">
      <c r="C1479" s="13"/>
    </row>
    <row r="1480" spans="3:3" x14ac:dyDescent="0.3">
      <c r="C1480" s="13"/>
    </row>
    <row r="1481" spans="3:3" x14ac:dyDescent="0.3">
      <c r="C1481" s="13"/>
    </row>
    <row r="1482" spans="3:3" x14ac:dyDescent="0.3">
      <c r="C1482" s="13"/>
    </row>
    <row r="1483" spans="3:3" x14ac:dyDescent="0.3">
      <c r="C1483" s="13"/>
    </row>
    <row r="1484" spans="3:3" x14ac:dyDescent="0.3">
      <c r="C1484" s="13"/>
    </row>
    <row r="1485" spans="3:3" x14ac:dyDescent="0.3">
      <c r="C1485" s="13"/>
    </row>
    <row r="1486" spans="3:3" x14ac:dyDescent="0.3">
      <c r="C1486" s="13"/>
    </row>
    <row r="1487" spans="3:3" x14ac:dyDescent="0.3">
      <c r="C1487" s="13"/>
    </row>
    <row r="1488" spans="3:3" x14ac:dyDescent="0.3">
      <c r="C1488" s="13"/>
    </row>
    <row r="1489" spans="3:3" x14ac:dyDescent="0.3">
      <c r="C1489" s="13"/>
    </row>
    <row r="1490" spans="3:3" x14ac:dyDescent="0.3">
      <c r="C1490" s="13"/>
    </row>
    <row r="1491" spans="3:3" x14ac:dyDescent="0.3">
      <c r="C1491" s="13"/>
    </row>
    <row r="1492" spans="3:3" x14ac:dyDescent="0.3">
      <c r="C1492" s="13"/>
    </row>
    <row r="1493" spans="3:3" x14ac:dyDescent="0.3">
      <c r="C1493" s="13"/>
    </row>
    <row r="1494" spans="3:3" x14ac:dyDescent="0.3">
      <c r="C1494" s="13"/>
    </row>
    <row r="1495" spans="3:3" x14ac:dyDescent="0.3">
      <c r="C1495" s="13"/>
    </row>
    <row r="1496" spans="3:3" x14ac:dyDescent="0.3">
      <c r="C1496" s="13"/>
    </row>
    <row r="1497" spans="3:3" x14ac:dyDescent="0.3">
      <c r="C1497" s="13"/>
    </row>
    <row r="1498" spans="3:3" x14ac:dyDescent="0.3">
      <c r="C1498" s="13"/>
    </row>
    <row r="1499" spans="3:3" x14ac:dyDescent="0.3">
      <c r="C1499" s="13"/>
    </row>
    <row r="1500" spans="3:3" x14ac:dyDescent="0.3">
      <c r="C1500" s="13"/>
    </row>
    <row r="1501" spans="3:3" x14ac:dyDescent="0.3">
      <c r="C1501" s="13"/>
    </row>
    <row r="1502" spans="3:3" x14ac:dyDescent="0.3">
      <c r="C1502" s="13"/>
    </row>
    <row r="1503" spans="3:3" x14ac:dyDescent="0.3">
      <c r="C1503" s="13"/>
    </row>
    <row r="1504" spans="3:3" x14ac:dyDescent="0.3">
      <c r="C1504" s="13"/>
    </row>
    <row r="1505" spans="3:3" x14ac:dyDescent="0.3">
      <c r="C1505" s="13"/>
    </row>
    <row r="1506" spans="3:3" x14ac:dyDescent="0.3">
      <c r="C1506" s="13"/>
    </row>
    <row r="1507" spans="3:3" x14ac:dyDescent="0.3">
      <c r="C1507" s="13"/>
    </row>
    <row r="1508" spans="3:3" x14ac:dyDescent="0.3">
      <c r="C1508" s="13"/>
    </row>
    <row r="1509" spans="3:3" x14ac:dyDescent="0.3">
      <c r="C1509" s="13"/>
    </row>
    <row r="1510" spans="3:3" x14ac:dyDescent="0.3">
      <c r="C1510" s="13"/>
    </row>
    <row r="1511" spans="3:3" x14ac:dyDescent="0.3">
      <c r="C1511" s="13"/>
    </row>
    <row r="1512" spans="3:3" x14ac:dyDescent="0.3">
      <c r="C1512" s="13"/>
    </row>
    <row r="1513" spans="3:3" x14ac:dyDescent="0.3">
      <c r="C1513" s="13"/>
    </row>
    <row r="1514" spans="3:3" x14ac:dyDescent="0.3">
      <c r="C1514" s="13"/>
    </row>
    <row r="1515" spans="3:3" x14ac:dyDescent="0.3">
      <c r="C1515" s="13"/>
    </row>
    <row r="1516" spans="3:3" x14ac:dyDescent="0.3">
      <c r="C1516" s="13"/>
    </row>
    <row r="1517" spans="3:3" x14ac:dyDescent="0.3">
      <c r="C1517" s="13"/>
    </row>
    <row r="1518" spans="3:3" x14ac:dyDescent="0.3">
      <c r="C1518" s="13"/>
    </row>
    <row r="1519" spans="3:3" x14ac:dyDescent="0.3">
      <c r="C1519" s="13"/>
    </row>
    <row r="1520" spans="3:3" x14ac:dyDescent="0.3">
      <c r="C1520" s="13"/>
    </row>
    <row r="1521" spans="3:3" x14ac:dyDescent="0.3">
      <c r="C1521" s="13"/>
    </row>
    <row r="1522" spans="3:3" x14ac:dyDescent="0.3">
      <c r="C1522" s="13"/>
    </row>
    <row r="1523" spans="3:3" x14ac:dyDescent="0.3">
      <c r="C1523" s="13"/>
    </row>
    <row r="1524" spans="3:3" x14ac:dyDescent="0.3">
      <c r="C1524" s="13"/>
    </row>
    <row r="1525" spans="3:3" x14ac:dyDescent="0.3">
      <c r="C1525" s="13"/>
    </row>
    <row r="1526" spans="3:3" x14ac:dyDescent="0.3">
      <c r="C1526" s="13"/>
    </row>
    <row r="1527" spans="3:3" x14ac:dyDescent="0.3">
      <c r="C1527" s="13"/>
    </row>
    <row r="1528" spans="3:3" x14ac:dyDescent="0.3">
      <c r="C1528" s="13"/>
    </row>
    <row r="1529" spans="3:3" x14ac:dyDescent="0.3">
      <c r="C1529" s="13"/>
    </row>
    <row r="1530" spans="3:3" x14ac:dyDescent="0.3">
      <c r="C1530" s="13"/>
    </row>
    <row r="1531" spans="3:3" x14ac:dyDescent="0.3">
      <c r="C1531" s="13"/>
    </row>
    <row r="1532" spans="3:3" x14ac:dyDescent="0.3">
      <c r="C1532" s="13"/>
    </row>
    <row r="1533" spans="3:3" x14ac:dyDescent="0.3">
      <c r="C1533" s="13"/>
    </row>
    <row r="1534" spans="3:3" x14ac:dyDescent="0.3">
      <c r="C1534" s="13"/>
    </row>
    <row r="1535" spans="3:3" x14ac:dyDescent="0.3">
      <c r="C1535" s="13"/>
    </row>
    <row r="1536" spans="3:3" x14ac:dyDescent="0.3">
      <c r="C1536" s="13"/>
    </row>
    <row r="1537" spans="3:3" x14ac:dyDescent="0.3">
      <c r="C1537" s="13"/>
    </row>
    <row r="1538" spans="3:3" x14ac:dyDescent="0.3">
      <c r="C1538" s="13"/>
    </row>
    <row r="1539" spans="3:3" x14ac:dyDescent="0.3">
      <c r="C1539" s="13"/>
    </row>
    <row r="1540" spans="3:3" x14ac:dyDescent="0.3">
      <c r="C1540" s="13"/>
    </row>
    <row r="1541" spans="3:3" x14ac:dyDescent="0.3">
      <c r="C1541" s="13"/>
    </row>
    <row r="1542" spans="3:3" x14ac:dyDescent="0.3">
      <c r="C1542" s="13"/>
    </row>
    <row r="1543" spans="3:3" x14ac:dyDescent="0.3">
      <c r="C1543" s="13"/>
    </row>
    <row r="1544" spans="3:3" x14ac:dyDescent="0.3">
      <c r="C1544" s="13"/>
    </row>
    <row r="1545" spans="3:3" x14ac:dyDescent="0.3">
      <c r="C1545" s="13"/>
    </row>
    <row r="1546" spans="3:3" x14ac:dyDescent="0.3">
      <c r="C1546" s="13"/>
    </row>
    <row r="1547" spans="3:3" x14ac:dyDescent="0.3">
      <c r="C1547" s="13"/>
    </row>
    <row r="1548" spans="3:3" x14ac:dyDescent="0.3">
      <c r="C1548" s="13"/>
    </row>
    <row r="1549" spans="3:3" x14ac:dyDescent="0.3">
      <c r="C1549" s="13"/>
    </row>
    <row r="1550" spans="3:3" x14ac:dyDescent="0.3">
      <c r="C1550" s="13"/>
    </row>
    <row r="1551" spans="3:3" x14ac:dyDescent="0.3">
      <c r="C1551" s="13"/>
    </row>
    <row r="1552" spans="3:3" x14ac:dyDescent="0.3">
      <c r="C1552" s="13"/>
    </row>
    <row r="1553" spans="3:3" x14ac:dyDescent="0.3">
      <c r="C1553" s="13"/>
    </row>
    <row r="1554" spans="3:3" x14ac:dyDescent="0.3">
      <c r="C1554" s="13"/>
    </row>
    <row r="1555" spans="3:3" x14ac:dyDescent="0.3">
      <c r="C1555" s="13"/>
    </row>
    <row r="1556" spans="3:3" x14ac:dyDescent="0.3">
      <c r="C1556" s="13"/>
    </row>
    <row r="1557" spans="3:3" x14ac:dyDescent="0.3">
      <c r="C1557" s="13"/>
    </row>
    <row r="1558" spans="3:3" x14ac:dyDescent="0.3">
      <c r="C1558" s="13"/>
    </row>
    <row r="1559" spans="3:3" x14ac:dyDescent="0.3">
      <c r="C1559" s="13"/>
    </row>
    <row r="1560" spans="3:3" x14ac:dyDescent="0.3">
      <c r="C1560" s="13"/>
    </row>
    <row r="1561" spans="3:3" x14ac:dyDescent="0.3">
      <c r="C1561" s="13"/>
    </row>
    <row r="1562" spans="3:3" x14ac:dyDescent="0.3">
      <c r="C1562" s="13"/>
    </row>
    <row r="1563" spans="3:3" x14ac:dyDescent="0.3">
      <c r="C1563" s="13"/>
    </row>
    <row r="1564" spans="3:3" x14ac:dyDescent="0.3">
      <c r="C1564" s="13"/>
    </row>
    <row r="1565" spans="3:3" x14ac:dyDescent="0.3">
      <c r="C1565" s="13"/>
    </row>
    <row r="1566" spans="3:3" x14ac:dyDescent="0.3">
      <c r="C1566" s="13"/>
    </row>
    <row r="1567" spans="3:3" x14ac:dyDescent="0.3">
      <c r="C1567" s="13"/>
    </row>
    <row r="1568" spans="3:3" x14ac:dyDescent="0.3">
      <c r="C1568" s="13"/>
    </row>
    <row r="1569" spans="3:3" x14ac:dyDescent="0.3">
      <c r="C1569" s="13"/>
    </row>
    <row r="1570" spans="3:3" x14ac:dyDescent="0.3">
      <c r="C1570" s="13"/>
    </row>
    <row r="1571" spans="3:3" x14ac:dyDescent="0.3">
      <c r="C1571" s="13"/>
    </row>
    <row r="1572" spans="3:3" x14ac:dyDescent="0.3">
      <c r="C1572" s="13"/>
    </row>
    <row r="1573" spans="3:3" x14ac:dyDescent="0.3">
      <c r="C1573" s="13"/>
    </row>
    <row r="1574" spans="3:3" x14ac:dyDescent="0.3">
      <c r="C1574" s="13"/>
    </row>
    <row r="1575" spans="3:3" x14ac:dyDescent="0.3">
      <c r="C1575" s="13"/>
    </row>
    <row r="1576" spans="3:3" x14ac:dyDescent="0.3">
      <c r="C1576" s="13"/>
    </row>
    <row r="1577" spans="3:3" x14ac:dyDescent="0.3">
      <c r="C1577" s="13"/>
    </row>
    <row r="1578" spans="3:3" x14ac:dyDescent="0.3">
      <c r="C1578" s="13"/>
    </row>
    <row r="1579" spans="3:3" x14ac:dyDescent="0.3">
      <c r="C1579" s="13"/>
    </row>
    <row r="1580" spans="3:3" x14ac:dyDescent="0.3">
      <c r="C1580" s="13"/>
    </row>
    <row r="1581" spans="3:3" x14ac:dyDescent="0.3">
      <c r="C1581" s="13"/>
    </row>
    <row r="1582" spans="3:3" x14ac:dyDescent="0.3">
      <c r="C1582" s="13"/>
    </row>
    <row r="1583" spans="3:3" x14ac:dyDescent="0.3">
      <c r="C1583" s="13"/>
    </row>
    <row r="1584" spans="3:3" x14ac:dyDescent="0.3">
      <c r="C1584" s="13"/>
    </row>
    <row r="1585" spans="3:3" x14ac:dyDescent="0.3">
      <c r="C1585" s="13"/>
    </row>
    <row r="1586" spans="3:3" x14ac:dyDescent="0.3">
      <c r="C1586" s="13"/>
    </row>
    <row r="1587" spans="3:3" x14ac:dyDescent="0.3">
      <c r="C1587" s="13"/>
    </row>
    <row r="1588" spans="3:3" x14ac:dyDescent="0.3">
      <c r="C1588" s="13"/>
    </row>
    <row r="1589" spans="3:3" x14ac:dyDescent="0.3">
      <c r="C1589" s="13"/>
    </row>
    <row r="1590" spans="3:3" x14ac:dyDescent="0.3">
      <c r="C1590" s="13"/>
    </row>
    <row r="1591" spans="3:3" x14ac:dyDescent="0.3">
      <c r="C1591" s="13"/>
    </row>
    <row r="1592" spans="3:3" x14ac:dyDescent="0.3">
      <c r="C1592" s="13"/>
    </row>
    <row r="1593" spans="3:3" x14ac:dyDescent="0.3">
      <c r="C1593" s="13"/>
    </row>
    <row r="1594" spans="3:3" x14ac:dyDescent="0.3">
      <c r="C1594" s="13"/>
    </row>
    <row r="1595" spans="3:3" x14ac:dyDescent="0.3">
      <c r="C1595" s="13"/>
    </row>
    <row r="1596" spans="3:3" x14ac:dyDescent="0.3">
      <c r="C1596" s="13"/>
    </row>
    <row r="1597" spans="3:3" x14ac:dyDescent="0.3">
      <c r="C1597" s="13"/>
    </row>
    <row r="1598" spans="3:3" x14ac:dyDescent="0.3">
      <c r="C1598" s="13"/>
    </row>
    <row r="1599" spans="3:3" x14ac:dyDescent="0.3">
      <c r="C1599" s="13"/>
    </row>
    <row r="1600" spans="3:3" x14ac:dyDescent="0.3">
      <c r="C1600" s="13"/>
    </row>
    <row r="1601" spans="3:3" x14ac:dyDescent="0.3">
      <c r="C1601" s="13"/>
    </row>
    <row r="1602" spans="3:3" x14ac:dyDescent="0.3">
      <c r="C1602" s="13"/>
    </row>
    <row r="1603" spans="3:3" x14ac:dyDescent="0.3">
      <c r="C1603" s="13"/>
    </row>
    <row r="1604" spans="3:3" x14ac:dyDescent="0.3">
      <c r="C1604" s="13"/>
    </row>
    <row r="1605" spans="3:3" x14ac:dyDescent="0.3">
      <c r="C1605" s="13"/>
    </row>
    <row r="1606" spans="3:3" x14ac:dyDescent="0.3">
      <c r="C1606" s="13"/>
    </row>
    <row r="1607" spans="3:3" x14ac:dyDescent="0.3">
      <c r="C1607" s="13"/>
    </row>
    <row r="1608" spans="3:3" x14ac:dyDescent="0.3">
      <c r="C1608" s="13"/>
    </row>
    <row r="1609" spans="3:3" x14ac:dyDescent="0.3">
      <c r="C1609" s="13"/>
    </row>
    <row r="1610" spans="3:3" x14ac:dyDescent="0.3">
      <c r="C1610" s="13"/>
    </row>
    <row r="1611" spans="3:3" x14ac:dyDescent="0.3">
      <c r="C1611" s="13"/>
    </row>
    <row r="1612" spans="3:3" x14ac:dyDescent="0.3">
      <c r="C1612" s="13"/>
    </row>
    <row r="1613" spans="3:3" x14ac:dyDescent="0.3">
      <c r="C1613" s="13"/>
    </row>
    <row r="1614" spans="3:3" x14ac:dyDescent="0.3">
      <c r="C1614" s="13"/>
    </row>
    <row r="1615" spans="3:3" x14ac:dyDescent="0.3">
      <c r="C1615" s="13"/>
    </row>
    <row r="1616" spans="3:3" x14ac:dyDescent="0.3">
      <c r="C1616" s="13"/>
    </row>
    <row r="1617" spans="3:3" x14ac:dyDescent="0.3">
      <c r="C1617" s="13"/>
    </row>
    <row r="1618" spans="3:3" x14ac:dyDescent="0.3">
      <c r="C1618" s="13"/>
    </row>
    <row r="1619" spans="3:3" x14ac:dyDescent="0.3">
      <c r="C1619" s="13"/>
    </row>
    <row r="1620" spans="3:3" x14ac:dyDescent="0.3">
      <c r="C1620" s="13"/>
    </row>
    <row r="1621" spans="3:3" x14ac:dyDescent="0.3">
      <c r="C1621" s="13"/>
    </row>
    <row r="1622" spans="3:3" x14ac:dyDescent="0.3">
      <c r="C1622" s="13"/>
    </row>
    <row r="1623" spans="3:3" x14ac:dyDescent="0.3">
      <c r="C1623" s="13"/>
    </row>
    <row r="1624" spans="3:3" x14ac:dyDescent="0.3">
      <c r="C1624" s="13"/>
    </row>
    <row r="1625" spans="3:3" x14ac:dyDescent="0.3">
      <c r="C1625" s="13"/>
    </row>
    <row r="1626" spans="3:3" x14ac:dyDescent="0.3">
      <c r="C1626" s="13"/>
    </row>
    <row r="1627" spans="3:3" x14ac:dyDescent="0.3">
      <c r="C1627" s="13"/>
    </row>
    <row r="1628" spans="3:3" x14ac:dyDescent="0.3">
      <c r="C1628" s="13"/>
    </row>
    <row r="1629" spans="3:3" x14ac:dyDescent="0.3">
      <c r="C1629" s="13"/>
    </row>
    <row r="1630" spans="3:3" x14ac:dyDescent="0.3">
      <c r="C1630" s="13"/>
    </row>
    <row r="1631" spans="3:3" x14ac:dyDescent="0.3">
      <c r="C1631" s="13"/>
    </row>
    <row r="1632" spans="3:3" x14ac:dyDescent="0.3">
      <c r="C1632" s="13"/>
    </row>
    <row r="1633" spans="3:3" x14ac:dyDescent="0.3">
      <c r="C1633" s="13"/>
    </row>
    <row r="1634" spans="3:3" x14ac:dyDescent="0.3">
      <c r="C1634" s="13"/>
    </row>
    <row r="1635" spans="3:3" x14ac:dyDescent="0.3">
      <c r="C1635" s="13"/>
    </row>
    <row r="1636" spans="3:3" x14ac:dyDescent="0.3">
      <c r="C1636" s="13"/>
    </row>
    <row r="1637" spans="3:3" x14ac:dyDescent="0.3">
      <c r="C1637" s="13"/>
    </row>
    <row r="1638" spans="3:3" x14ac:dyDescent="0.3">
      <c r="C1638" s="13"/>
    </row>
    <row r="1639" spans="3:3" x14ac:dyDescent="0.3">
      <c r="C1639" s="13"/>
    </row>
    <row r="1640" spans="3:3" x14ac:dyDescent="0.3">
      <c r="C1640" s="13"/>
    </row>
    <row r="1641" spans="3:3" x14ac:dyDescent="0.3">
      <c r="C1641" s="13"/>
    </row>
    <row r="1642" spans="3:3" x14ac:dyDescent="0.3">
      <c r="C1642" s="13"/>
    </row>
    <row r="1643" spans="3:3" x14ac:dyDescent="0.3">
      <c r="C1643" s="13"/>
    </row>
    <row r="1644" spans="3:3" x14ac:dyDescent="0.3">
      <c r="C1644" s="13"/>
    </row>
    <row r="1645" spans="3:3" x14ac:dyDescent="0.3">
      <c r="C1645" s="13"/>
    </row>
    <row r="1646" spans="3:3" x14ac:dyDescent="0.3">
      <c r="C1646" s="13"/>
    </row>
    <row r="1647" spans="3:3" x14ac:dyDescent="0.3">
      <c r="C1647" s="13"/>
    </row>
    <row r="1648" spans="3:3" x14ac:dyDescent="0.3">
      <c r="C1648" s="13"/>
    </row>
    <row r="1649" spans="3:3" x14ac:dyDescent="0.3">
      <c r="C1649" s="13"/>
    </row>
    <row r="1650" spans="3:3" x14ac:dyDescent="0.3">
      <c r="C1650" s="13"/>
    </row>
    <row r="1651" spans="3:3" x14ac:dyDescent="0.3">
      <c r="C1651" s="13"/>
    </row>
    <row r="1652" spans="3:3" x14ac:dyDescent="0.3">
      <c r="C1652" s="13"/>
    </row>
    <row r="1653" spans="3:3" x14ac:dyDescent="0.3">
      <c r="C1653" s="13"/>
    </row>
    <row r="1654" spans="3:3" x14ac:dyDescent="0.3">
      <c r="C1654" s="13"/>
    </row>
    <row r="1655" spans="3:3" x14ac:dyDescent="0.3">
      <c r="C1655" s="13"/>
    </row>
    <row r="1656" spans="3:3" x14ac:dyDescent="0.3">
      <c r="C1656" s="13"/>
    </row>
    <row r="1657" spans="3:3" x14ac:dyDescent="0.3">
      <c r="C1657" s="13"/>
    </row>
    <row r="1658" spans="3:3" x14ac:dyDescent="0.3">
      <c r="C1658" s="13"/>
    </row>
    <row r="1659" spans="3:3" x14ac:dyDescent="0.3">
      <c r="C1659" s="13"/>
    </row>
    <row r="1660" spans="3:3" x14ac:dyDescent="0.3">
      <c r="C1660" s="13"/>
    </row>
    <row r="1661" spans="3:3" x14ac:dyDescent="0.3">
      <c r="C1661" s="13"/>
    </row>
    <row r="1662" spans="3:3" x14ac:dyDescent="0.3">
      <c r="C1662" s="13"/>
    </row>
    <row r="1663" spans="3:3" x14ac:dyDescent="0.3">
      <c r="C1663" s="13"/>
    </row>
    <row r="1664" spans="3:3" x14ac:dyDescent="0.3">
      <c r="C1664" s="13"/>
    </row>
    <row r="1665" spans="3:3" x14ac:dyDescent="0.3">
      <c r="C1665" s="13"/>
    </row>
    <row r="1666" spans="3:3" x14ac:dyDescent="0.3">
      <c r="C1666" s="13"/>
    </row>
    <row r="1667" spans="3:3" x14ac:dyDescent="0.3">
      <c r="C1667" s="13"/>
    </row>
    <row r="1668" spans="3:3" x14ac:dyDescent="0.3">
      <c r="C1668" s="13"/>
    </row>
    <row r="1669" spans="3:3" x14ac:dyDescent="0.3">
      <c r="C1669" s="13"/>
    </row>
    <row r="1670" spans="3:3" x14ac:dyDescent="0.3">
      <c r="C1670" s="13"/>
    </row>
    <row r="1671" spans="3:3" x14ac:dyDescent="0.3">
      <c r="C1671" s="13"/>
    </row>
    <row r="1672" spans="3:3" x14ac:dyDescent="0.3">
      <c r="C1672" s="13"/>
    </row>
    <row r="1673" spans="3:3" x14ac:dyDescent="0.3">
      <c r="C1673" s="13"/>
    </row>
    <row r="1674" spans="3:3" x14ac:dyDescent="0.3">
      <c r="C1674" s="13"/>
    </row>
    <row r="1675" spans="3:3" x14ac:dyDescent="0.3">
      <c r="C1675" s="13"/>
    </row>
    <row r="1676" spans="3:3" x14ac:dyDescent="0.3">
      <c r="C1676" s="13"/>
    </row>
    <row r="1677" spans="3:3" x14ac:dyDescent="0.3">
      <c r="C1677" s="13"/>
    </row>
    <row r="1678" spans="3:3" x14ac:dyDescent="0.3">
      <c r="C1678" s="13"/>
    </row>
    <row r="1679" spans="3:3" x14ac:dyDescent="0.3">
      <c r="C1679" s="13"/>
    </row>
    <row r="1680" spans="3:3" x14ac:dyDescent="0.3">
      <c r="C1680" s="13"/>
    </row>
    <row r="1681" spans="3:3" x14ac:dyDescent="0.3">
      <c r="C1681" s="13"/>
    </row>
    <row r="1682" spans="3:3" x14ac:dyDescent="0.3">
      <c r="C1682" s="13"/>
    </row>
    <row r="1683" spans="3:3" x14ac:dyDescent="0.3">
      <c r="C1683" s="13"/>
    </row>
    <row r="1684" spans="3:3" x14ac:dyDescent="0.3">
      <c r="C1684" s="13"/>
    </row>
    <row r="1685" spans="3:3" x14ac:dyDescent="0.3">
      <c r="C1685" s="13"/>
    </row>
    <row r="1686" spans="3:3" x14ac:dyDescent="0.3">
      <c r="C1686" s="13"/>
    </row>
    <row r="1687" spans="3:3" x14ac:dyDescent="0.3">
      <c r="C1687" s="13"/>
    </row>
    <row r="1688" spans="3:3" x14ac:dyDescent="0.3">
      <c r="C1688" s="13"/>
    </row>
    <row r="1689" spans="3:3" x14ac:dyDescent="0.3">
      <c r="C1689" s="13"/>
    </row>
    <row r="1690" spans="3:3" x14ac:dyDescent="0.3">
      <c r="C1690" s="13"/>
    </row>
    <row r="1691" spans="3:3" x14ac:dyDescent="0.3">
      <c r="C1691" s="13"/>
    </row>
    <row r="1692" spans="3:3" x14ac:dyDescent="0.3">
      <c r="C1692" s="13"/>
    </row>
    <row r="1693" spans="3:3" x14ac:dyDescent="0.3">
      <c r="C1693" s="13"/>
    </row>
    <row r="1694" spans="3:3" x14ac:dyDescent="0.3">
      <c r="C1694" s="13"/>
    </row>
    <row r="1695" spans="3:3" x14ac:dyDescent="0.3">
      <c r="C1695" s="13"/>
    </row>
    <row r="1696" spans="3:3" x14ac:dyDescent="0.3">
      <c r="C1696" s="13"/>
    </row>
    <row r="1697" spans="3:3" x14ac:dyDescent="0.3">
      <c r="C1697" s="13"/>
    </row>
    <row r="1698" spans="3:3" x14ac:dyDescent="0.3">
      <c r="C1698" s="13"/>
    </row>
    <row r="1699" spans="3:3" x14ac:dyDescent="0.3">
      <c r="C1699" s="13"/>
    </row>
    <row r="1700" spans="3:3" x14ac:dyDescent="0.3">
      <c r="C1700" s="13"/>
    </row>
    <row r="1701" spans="3:3" x14ac:dyDescent="0.3">
      <c r="C1701" s="13"/>
    </row>
    <row r="1702" spans="3:3" x14ac:dyDescent="0.3">
      <c r="C1702" s="13"/>
    </row>
    <row r="1703" spans="3:3" x14ac:dyDescent="0.3">
      <c r="C1703" s="13"/>
    </row>
    <row r="1704" spans="3:3" x14ac:dyDescent="0.3">
      <c r="C1704" s="13"/>
    </row>
    <row r="1705" spans="3:3" x14ac:dyDescent="0.3">
      <c r="C1705" s="13"/>
    </row>
    <row r="1706" spans="3:3" x14ac:dyDescent="0.3">
      <c r="C1706" s="13"/>
    </row>
    <row r="1707" spans="3:3" x14ac:dyDescent="0.3">
      <c r="C1707" s="13"/>
    </row>
    <row r="1708" spans="3:3" x14ac:dyDescent="0.3">
      <c r="C1708" s="13"/>
    </row>
    <row r="1709" spans="3:3" x14ac:dyDescent="0.3">
      <c r="C1709" s="13"/>
    </row>
    <row r="1710" spans="3:3" x14ac:dyDescent="0.3">
      <c r="C1710" s="13"/>
    </row>
    <row r="1711" spans="3:3" x14ac:dyDescent="0.3">
      <c r="C1711" s="13"/>
    </row>
    <row r="1712" spans="3:3" x14ac:dyDescent="0.3">
      <c r="C1712" s="13"/>
    </row>
    <row r="1713" spans="3:3" x14ac:dyDescent="0.3">
      <c r="C1713" s="13"/>
    </row>
    <row r="1714" spans="3:3" x14ac:dyDescent="0.3">
      <c r="C1714" s="13"/>
    </row>
    <row r="1715" spans="3:3" x14ac:dyDescent="0.3">
      <c r="C1715" s="13"/>
    </row>
    <row r="1716" spans="3:3" x14ac:dyDescent="0.3">
      <c r="C1716" s="13"/>
    </row>
    <row r="1717" spans="3:3" x14ac:dyDescent="0.3">
      <c r="C1717" s="13"/>
    </row>
    <row r="1718" spans="3:3" x14ac:dyDescent="0.3">
      <c r="C1718" s="13"/>
    </row>
    <row r="1719" spans="3:3" x14ac:dyDescent="0.3">
      <c r="C1719" s="13"/>
    </row>
    <row r="1720" spans="3:3" x14ac:dyDescent="0.3">
      <c r="C1720" s="13"/>
    </row>
    <row r="1721" spans="3:3" x14ac:dyDescent="0.3">
      <c r="C1721" s="13"/>
    </row>
    <row r="1722" spans="3:3" x14ac:dyDescent="0.3">
      <c r="C1722" s="13"/>
    </row>
    <row r="1723" spans="3:3" x14ac:dyDescent="0.3">
      <c r="C1723" s="13"/>
    </row>
    <row r="1724" spans="3:3" x14ac:dyDescent="0.3">
      <c r="C1724" s="13"/>
    </row>
    <row r="1725" spans="3:3" x14ac:dyDescent="0.3">
      <c r="C1725" s="13"/>
    </row>
    <row r="1726" spans="3:3" x14ac:dyDescent="0.3">
      <c r="C1726" s="13"/>
    </row>
    <row r="1727" spans="3:3" x14ac:dyDescent="0.3">
      <c r="C1727" s="13"/>
    </row>
    <row r="1728" spans="3:3" x14ac:dyDescent="0.3">
      <c r="C1728" s="13"/>
    </row>
    <row r="1729" spans="3:3" x14ac:dyDescent="0.3">
      <c r="C1729" s="13"/>
    </row>
    <row r="1730" spans="3:3" x14ac:dyDescent="0.3">
      <c r="C1730" s="13"/>
    </row>
    <row r="1731" spans="3:3" x14ac:dyDescent="0.3">
      <c r="C1731" s="13"/>
    </row>
    <row r="1732" spans="3:3" x14ac:dyDescent="0.3">
      <c r="C1732" s="13"/>
    </row>
    <row r="1733" spans="3:3" x14ac:dyDescent="0.3">
      <c r="C1733" s="13"/>
    </row>
    <row r="1734" spans="3:3" x14ac:dyDescent="0.3">
      <c r="C1734" s="13"/>
    </row>
    <row r="1735" spans="3:3" x14ac:dyDescent="0.3">
      <c r="C1735" s="13"/>
    </row>
    <row r="1736" spans="3:3" x14ac:dyDescent="0.3">
      <c r="C1736" s="13"/>
    </row>
    <row r="1737" spans="3:3" x14ac:dyDescent="0.3">
      <c r="C1737" s="13"/>
    </row>
    <row r="1738" spans="3:3" x14ac:dyDescent="0.3">
      <c r="C1738" s="13"/>
    </row>
    <row r="1739" spans="3:3" x14ac:dyDescent="0.3">
      <c r="C1739" s="13"/>
    </row>
    <row r="1740" spans="3:3" x14ac:dyDescent="0.3">
      <c r="C1740" s="13"/>
    </row>
    <row r="1741" spans="3:3" x14ac:dyDescent="0.3">
      <c r="C1741" s="13"/>
    </row>
    <row r="1742" spans="3:3" x14ac:dyDescent="0.3">
      <c r="C1742" s="13"/>
    </row>
    <row r="1743" spans="3:3" x14ac:dyDescent="0.3">
      <c r="C1743" s="13"/>
    </row>
    <row r="1744" spans="3:3" x14ac:dyDescent="0.3">
      <c r="C1744" s="13"/>
    </row>
    <row r="1745" spans="3:3" x14ac:dyDescent="0.3">
      <c r="C1745" s="13"/>
    </row>
    <row r="1746" spans="3:3" x14ac:dyDescent="0.3">
      <c r="C1746" s="13"/>
    </row>
    <row r="1747" spans="3:3" x14ac:dyDescent="0.3">
      <c r="C1747" s="13"/>
    </row>
    <row r="1748" spans="3:3" x14ac:dyDescent="0.3">
      <c r="C1748" s="13"/>
    </row>
    <row r="1749" spans="3:3" x14ac:dyDescent="0.3">
      <c r="C1749" s="13"/>
    </row>
    <row r="1750" spans="3:3" x14ac:dyDescent="0.3">
      <c r="C1750" s="13"/>
    </row>
    <row r="1751" spans="3:3" x14ac:dyDescent="0.3">
      <c r="C1751" s="13"/>
    </row>
    <row r="1752" spans="3:3" x14ac:dyDescent="0.3">
      <c r="C1752" s="13"/>
    </row>
    <row r="1753" spans="3:3" x14ac:dyDescent="0.3">
      <c r="C1753" s="13"/>
    </row>
    <row r="1754" spans="3:3" x14ac:dyDescent="0.3">
      <c r="C1754" s="13"/>
    </row>
    <row r="1755" spans="3:3" x14ac:dyDescent="0.3">
      <c r="C1755" s="13"/>
    </row>
    <row r="1756" spans="3:3" x14ac:dyDescent="0.3">
      <c r="C1756" s="13"/>
    </row>
    <row r="1757" spans="3:3" x14ac:dyDescent="0.3">
      <c r="C1757" s="13"/>
    </row>
    <row r="1758" spans="3:3" x14ac:dyDescent="0.3">
      <c r="C1758" s="13"/>
    </row>
    <row r="1759" spans="3:3" x14ac:dyDescent="0.3">
      <c r="C1759" s="13"/>
    </row>
    <row r="1760" spans="3:3" x14ac:dyDescent="0.3">
      <c r="C1760" s="13"/>
    </row>
    <row r="1761" spans="3:3" x14ac:dyDescent="0.3">
      <c r="C1761" s="13"/>
    </row>
    <row r="1762" spans="3:3" x14ac:dyDescent="0.3">
      <c r="C1762" s="13"/>
    </row>
    <row r="1763" spans="3:3" x14ac:dyDescent="0.3">
      <c r="C1763" s="13"/>
    </row>
    <row r="1764" spans="3:3" x14ac:dyDescent="0.3">
      <c r="C1764" s="13"/>
    </row>
    <row r="1765" spans="3:3" x14ac:dyDescent="0.3">
      <c r="C1765" s="13"/>
    </row>
    <row r="1766" spans="3:3" x14ac:dyDescent="0.3">
      <c r="C1766" s="13"/>
    </row>
    <row r="1767" spans="3:3" x14ac:dyDescent="0.3">
      <c r="C1767" s="13"/>
    </row>
    <row r="1768" spans="3:3" x14ac:dyDescent="0.3">
      <c r="C1768" s="13"/>
    </row>
    <row r="1769" spans="3:3" x14ac:dyDescent="0.3">
      <c r="C1769" s="13"/>
    </row>
    <row r="1770" spans="3:3" x14ac:dyDescent="0.3">
      <c r="C1770" s="13"/>
    </row>
    <row r="1771" spans="3:3" x14ac:dyDescent="0.3">
      <c r="C1771" s="13"/>
    </row>
    <row r="1772" spans="3:3" x14ac:dyDescent="0.3">
      <c r="C1772" s="13"/>
    </row>
    <row r="1773" spans="3:3" x14ac:dyDescent="0.3">
      <c r="C1773" s="13"/>
    </row>
    <row r="1774" spans="3:3" x14ac:dyDescent="0.3">
      <c r="C1774" s="13"/>
    </row>
    <row r="1775" spans="3:3" x14ac:dyDescent="0.3">
      <c r="C1775" s="13"/>
    </row>
    <row r="1776" spans="3:3" x14ac:dyDescent="0.3">
      <c r="C1776" s="13"/>
    </row>
    <row r="1777" spans="3:3" x14ac:dyDescent="0.3">
      <c r="C1777" s="13"/>
    </row>
    <row r="1778" spans="3:3" x14ac:dyDescent="0.3">
      <c r="C1778" s="13"/>
    </row>
    <row r="1779" spans="3:3" x14ac:dyDescent="0.3">
      <c r="C1779" s="13"/>
    </row>
    <row r="1780" spans="3:3" x14ac:dyDescent="0.3">
      <c r="C1780" s="13"/>
    </row>
    <row r="1781" spans="3:3" x14ac:dyDescent="0.3">
      <c r="C1781" s="13"/>
    </row>
    <row r="1782" spans="3:3" x14ac:dyDescent="0.3">
      <c r="C1782" s="13"/>
    </row>
    <row r="1783" spans="3:3" x14ac:dyDescent="0.3">
      <c r="C1783" s="13"/>
    </row>
    <row r="1784" spans="3:3" x14ac:dyDescent="0.3">
      <c r="C1784" s="13"/>
    </row>
    <row r="1785" spans="3:3" x14ac:dyDescent="0.3">
      <c r="C1785" s="13"/>
    </row>
    <row r="1786" spans="3:3" x14ac:dyDescent="0.3">
      <c r="C1786" s="13"/>
    </row>
    <row r="1787" spans="3:3" x14ac:dyDescent="0.3">
      <c r="C1787" s="13"/>
    </row>
    <row r="1788" spans="3:3" x14ac:dyDescent="0.3">
      <c r="C1788" s="13"/>
    </row>
    <row r="1789" spans="3:3" x14ac:dyDescent="0.3">
      <c r="C1789" s="13"/>
    </row>
    <row r="1790" spans="3:3" x14ac:dyDescent="0.3">
      <c r="C1790" s="13"/>
    </row>
    <row r="1791" spans="3:3" x14ac:dyDescent="0.3">
      <c r="C1791" s="13"/>
    </row>
    <row r="1792" spans="3:3" x14ac:dyDescent="0.3">
      <c r="C1792" s="13"/>
    </row>
    <row r="1793" spans="3:3" x14ac:dyDescent="0.3">
      <c r="C1793" s="13"/>
    </row>
    <row r="1794" spans="3:3" x14ac:dyDescent="0.3">
      <c r="C1794" s="13"/>
    </row>
    <row r="1795" spans="3:3" x14ac:dyDescent="0.3">
      <c r="C1795" s="13"/>
    </row>
    <row r="1796" spans="3:3" x14ac:dyDescent="0.3">
      <c r="C1796" s="13"/>
    </row>
    <row r="1797" spans="3:3" x14ac:dyDescent="0.3">
      <c r="C1797" s="13"/>
    </row>
    <row r="1798" spans="3:3" x14ac:dyDescent="0.3">
      <c r="C1798" s="13"/>
    </row>
    <row r="1799" spans="3:3" x14ac:dyDescent="0.3">
      <c r="C1799" s="13"/>
    </row>
    <row r="1800" spans="3:3" x14ac:dyDescent="0.3">
      <c r="C1800" s="13"/>
    </row>
    <row r="1801" spans="3:3" x14ac:dyDescent="0.3">
      <c r="C1801" s="13"/>
    </row>
    <row r="1802" spans="3:3" x14ac:dyDescent="0.3">
      <c r="C1802" s="13"/>
    </row>
    <row r="1803" spans="3:3" x14ac:dyDescent="0.3">
      <c r="C1803" s="13"/>
    </row>
    <row r="1804" spans="3:3" x14ac:dyDescent="0.3">
      <c r="C1804" s="13"/>
    </row>
    <row r="1805" spans="3:3" x14ac:dyDescent="0.3">
      <c r="C1805" s="13"/>
    </row>
    <row r="1806" spans="3:3" x14ac:dyDescent="0.3">
      <c r="C1806" s="13"/>
    </row>
    <row r="1807" spans="3:3" x14ac:dyDescent="0.3">
      <c r="C1807" s="13"/>
    </row>
    <row r="1808" spans="3:3" x14ac:dyDescent="0.3">
      <c r="C1808" s="13"/>
    </row>
    <row r="1809" spans="3:3" x14ac:dyDescent="0.3">
      <c r="C1809" s="13"/>
    </row>
    <row r="1810" spans="3:3" x14ac:dyDescent="0.3">
      <c r="C1810" s="13"/>
    </row>
    <row r="1811" spans="3:3" x14ac:dyDescent="0.3">
      <c r="C1811" s="13"/>
    </row>
    <row r="1812" spans="3:3" x14ac:dyDescent="0.3">
      <c r="C1812" s="13"/>
    </row>
    <row r="1813" spans="3:3" x14ac:dyDescent="0.3">
      <c r="C1813" s="13"/>
    </row>
    <row r="1814" spans="3:3" x14ac:dyDescent="0.3">
      <c r="C1814" s="13"/>
    </row>
    <row r="1815" spans="3:3" x14ac:dyDescent="0.3">
      <c r="C1815" s="13"/>
    </row>
    <row r="1816" spans="3:3" x14ac:dyDescent="0.3">
      <c r="C1816" s="13"/>
    </row>
    <row r="1817" spans="3:3" x14ac:dyDescent="0.3">
      <c r="C1817" s="13"/>
    </row>
    <row r="1818" spans="3:3" x14ac:dyDescent="0.3">
      <c r="C1818" s="13"/>
    </row>
    <row r="1819" spans="3:3" x14ac:dyDescent="0.3">
      <c r="C1819" s="13"/>
    </row>
    <row r="1820" spans="3:3" x14ac:dyDescent="0.3">
      <c r="C1820" s="13"/>
    </row>
    <row r="1821" spans="3:3" x14ac:dyDescent="0.3">
      <c r="C1821" s="13"/>
    </row>
    <row r="1822" spans="3:3" x14ac:dyDescent="0.3">
      <c r="C1822" s="13"/>
    </row>
    <row r="1823" spans="3:3" x14ac:dyDescent="0.3">
      <c r="C1823" s="13"/>
    </row>
    <row r="1824" spans="3:3" x14ac:dyDescent="0.3">
      <c r="C1824" s="13"/>
    </row>
    <row r="1825" spans="3:3" x14ac:dyDescent="0.3">
      <c r="C1825" s="13"/>
    </row>
    <row r="1826" spans="3:3" x14ac:dyDescent="0.3">
      <c r="C1826" s="13"/>
    </row>
    <row r="1827" spans="3:3" x14ac:dyDescent="0.3">
      <c r="C1827" s="13"/>
    </row>
    <row r="1828" spans="3:3" x14ac:dyDescent="0.3">
      <c r="C1828" s="13"/>
    </row>
    <row r="1829" spans="3:3" x14ac:dyDescent="0.3">
      <c r="C1829" s="13"/>
    </row>
    <row r="1830" spans="3:3" x14ac:dyDescent="0.3">
      <c r="C1830" s="13"/>
    </row>
    <row r="1831" spans="3:3" x14ac:dyDescent="0.3">
      <c r="C1831" s="13"/>
    </row>
    <row r="1832" spans="3:3" x14ac:dyDescent="0.3">
      <c r="C1832" s="13"/>
    </row>
    <row r="1833" spans="3:3" x14ac:dyDescent="0.3">
      <c r="C1833" s="13"/>
    </row>
    <row r="1834" spans="3:3" x14ac:dyDescent="0.3">
      <c r="C1834" s="13"/>
    </row>
    <row r="1835" spans="3:3" x14ac:dyDescent="0.3">
      <c r="C1835" s="13"/>
    </row>
    <row r="1836" spans="3:3" x14ac:dyDescent="0.3">
      <c r="C1836" s="13"/>
    </row>
    <row r="1837" spans="3:3" x14ac:dyDescent="0.3">
      <c r="C1837" s="13"/>
    </row>
    <row r="1838" spans="3:3" x14ac:dyDescent="0.3">
      <c r="C1838" s="13"/>
    </row>
    <row r="1839" spans="3:3" x14ac:dyDescent="0.3">
      <c r="C1839" s="13"/>
    </row>
    <row r="1840" spans="3:3" x14ac:dyDescent="0.3">
      <c r="C1840" s="13"/>
    </row>
    <row r="1841" spans="3:3" x14ac:dyDescent="0.3">
      <c r="C1841" s="13"/>
    </row>
    <row r="1842" spans="3:3" x14ac:dyDescent="0.3">
      <c r="C1842" s="13"/>
    </row>
    <row r="1843" spans="3:3" x14ac:dyDescent="0.3">
      <c r="C1843" s="13"/>
    </row>
    <row r="1844" spans="3:3" x14ac:dyDescent="0.3">
      <c r="C1844" s="13"/>
    </row>
    <row r="1845" spans="3:3" x14ac:dyDescent="0.3">
      <c r="C1845" s="13"/>
    </row>
    <row r="1846" spans="3:3" x14ac:dyDescent="0.3">
      <c r="C1846" s="13"/>
    </row>
    <row r="1847" spans="3:3" x14ac:dyDescent="0.3">
      <c r="C1847" s="13"/>
    </row>
    <row r="1848" spans="3:3" x14ac:dyDescent="0.3">
      <c r="C1848" s="13"/>
    </row>
    <row r="1849" spans="3:3" x14ac:dyDescent="0.3">
      <c r="C1849" s="13"/>
    </row>
    <row r="1850" spans="3:3" x14ac:dyDescent="0.3">
      <c r="C1850" s="13"/>
    </row>
    <row r="1851" spans="3:3" x14ac:dyDescent="0.3">
      <c r="C1851" s="13"/>
    </row>
    <row r="1852" spans="3:3" x14ac:dyDescent="0.3">
      <c r="C1852" s="13"/>
    </row>
    <row r="1853" spans="3:3" x14ac:dyDescent="0.3">
      <c r="C1853" s="13"/>
    </row>
    <row r="1854" spans="3:3" x14ac:dyDescent="0.3">
      <c r="C1854" s="13"/>
    </row>
    <row r="1855" spans="3:3" x14ac:dyDescent="0.3">
      <c r="C1855" s="13"/>
    </row>
    <row r="1856" spans="3:3" x14ac:dyDescent="0.3">
      <c r="C1856" s="13"/>
    </row>
    <row r="1857" spans="3:3" x14ac:dyDescent="0.3">
      <c r="C1857" s="13"/>
    </row>
    <row r="1858" spans="3:3" x14ac:dyDescent="0.3">
      <c r="C1858" s="13"/>
    </row>
    <row r="1859" spans="3:3" x14ac:dyDescent="0.3">
      <c r="C1859" s="13"/>
    </row>
    <row r="1860" spans="3:3" x14ac:dyDescent="0.3">
      <c r="C1860" s="13"/>
    </row>
    <row r="1861" spans="3:3" x14ac:dyDescent="0.3">
      <c r="C1861" s="13"/>
    </row>
    <row r="1862" spans="3:3" x14ac:dyDescent="0.3">
      <c r="C1862" s="13"/>
    </row>
    <row r="1863" spans="3:3" x14ac:dyDescent="0.3">
      <c r="C1863" s="13"/>
    </row>
    <row r="1864" spans="3:3" x14ac:dyDescent="0.3">
      <c r="C1864" s="13"/>
    </row>
    <row r="1865" spans="3:3" x14ac:dyDescent="0.3">
      <c r="C1865" s="13"/>
    </row>
    <row r="1866" spans="3:3" x14ac:dyDescent="0.3">
      <c r="C1866" s="13"/>
    </row>
    <row r="1867" spans="3:3" x14ac:dyDescent="0.3">
      <c r="C1867" s="13"/>
    </row>
    <row r="1868" spans="3:3" x14ac:dyDescent="0.3">
      <c r="C1868" s="13"/>
    </row>
    <row r="1869" spans="3:3" x14ac:dyDescent="0.3">
      <c r="C1869" s="13"/>
    </row>
    <row r="1870" spans="3:3" x14ac:dyDescent="0.3">
      <c r="C1870" s="13"/>
    </row>
    <row r="1871" spans="3:3" x14ac:dyDescent="0.3">
      <c r="C1871" s="13"/>
    </row>
    <row r="1872" spans="3:3" x14ac:dyDescent="0.3">
      <c r="C1872" s="13"/>
    </row>
    <row r="1873" spans="3:3" x14ac:dyDescent="0.3">
      <c r="C1873" s="13"/>
    </row>
    <row r="1874" spans="3:3" x14ac:dyDescent="0.3">
      <c r="C1874" s="13"/>
    </row>
    <row r="1875" spans="3:3" x14ac:dyDescent="0.3">
      <c r="C1875" s="13"/>
    </row>
    <row r="1876" spans="3:3" x14ac:dyDescent="0.3">
      <c r="C1876" s="13"/>
    </row>
    <row r="1877" spans="3:3" x14ac:dyDescent="0.3">
      <c r="C1877" s="13"/>
    </row>
    <row r="1878" spans="3:3" x14ac:dyDescent="0.3">
      <c r="C1878" s="13"/>
    </row>
    <row r="1879" spans="3:3" x14ac:dyDescent="0.3">
      <c r="C1879" s="13"/>
    </row>
    <row r="1880" spans="3:3" x14ac:dyDescent="0.3">
      <c r="C1880" s="13"/>
    </row>
    <row r="1881" spans="3:3" x14ac:dyDescent="0.3">
      <c r="C1881" s="13"/>
    </row>
    <row r="1882" spans="3:3" x14ac:dyDescent="0.3">
      <c r="C1882" s="13"/>
    </row>
    <row r="1883" spans="3:3" x14ac:dyDescent="0.3">
      <c r="C1883" s="13"/>
    </row>
    <row r="1884" spans="3:3" x14ac:dyDescent="0.3">
      <c r="C1884" s="13"/>
    </row>
    <row r="1885" spans="3:3" x14ac:dyDescent="0.3">
      <c r="C1885" s="13"/>
    </row>
    <row r="1886" spans="3:3" x14ac:dyDescent="0.3">
      <c r="C1886" s="13"/>
    </row>
    <row r="1887" spans="3:3" x14ac:dyDescent="0.3">
      <c r="C1887" s="13"/>
    </row>
    <row r="1888" spans="3:3" x14ac:dyDescent="0.3">
      <c r="C1888" s="13"/>
    </row>
    <row r="1889" spans="3:3" x14ac:dyDescent="0.3">
      <c r="C1889" s="13"/>
    </row>
    <row r="1890" spans="3:3" x14ac:dyDescent="0.3">
      <c r="C1890" s="13"/>
    </row>
    <row r="1891" spans="3:3" x14ac:dyDescent="0.3">
      <c r="C1891" s="13"/>
    </row>
    <row r="1892" spans="3:3" x14ac:dyDescent="0.3">
      <c r="C1892" s="13"/>
    </row>
    <row r="1893" spans="3:3" x14ac:dyDescent="0.3">
      <c r="C1893" s="13"/>
    </row>
    <row r="1894" spans="3:3" x14ac:dyDescent="0.3">
      <c r="C1894" s="13"/>
    </row>
    <row r="1895" spans="3:3" x14ac:dyDescent="0.3">
      <c r="C1895" s="13"/>
    </row>
    <row r="1896" spans="3:3" x14ac:dyDescent="0.3">
      <c r="C1896" s="13"/>
    </row>
    <row r="1897" spans="3:3" x14ac:dyDescent="0.3">
      <c r="C1897" s="13"/>
    </row>
    <row r="1898" spans="3:3" x14ac:dyDescent="0.3">
      <c r="C1898" s="13"/>
    </row>
    <row r="1899" spans="3:3" x14ac:dyDescent="0.3">
      <c r="C1899" s="13"/>
    </row>
    <row r="1900" spans="3:3" x14ac:dyDescent="0.3">
      <c r="C1900" s="13"/>
    </row>
    <row r="1901" spans="3:3" x14ac:dyDescent="0.3">
      <c r="C1901" s="13"/>
    </row>
    <row r="1902" spans="3:3" x14ac:dyDescent="0.3">
      <c r="C1902" s="13"/>
    </row>
    <row r="1903" spans="3:3" x14ac:dyDescent="0.3">
      <c r="C1903" s="13"/>
    </row>
    <row r="1904" spans="3:3" x14ac:dyDescent="0.3">
      <c r="C1904" s="13"/>
    </row>
    <row r="1905" spans="3:3" x14ac:dyDescent="0.3">
      <c r="C1905" s="13"/>
    </row>
    <row r="1906" spans="3:3" x14ac:dyDescent="0.3">
      <c r="C1906" s="13"/>
    </row>
    <row r="1907" spans="3:3" x14ac:dyDescent="0.3">
      <c r="C1907" s="13"/>
    </row>
    <row r="1908" spans="3:3" x14ac:dyDescent="0.3">
      <c r="C1908" s="13"/>
    </row>
    <row r="1909" spans="3:3" x14ac:dyDescent="0.3">
      <c r="C1909" s="13"/>
    </row>
    <row r="1910" spans="3:3" x14ac:dyDescent="0.3">
      <c r="C1910" s="13"/>
    </row>
    <row r="1911" spans="3:3" x14ac:dyDescent="0.3">
      <c r="C1911" s="13"/>
    </row>
    <row r="1912" spans="3:3" x14ac:dyDescent="0.3">
      <c r="C1912" s="13"/>
    </row>
    <row r="1913" spans="3:3" x14ac:dyDescent="0.3">
      <c r="C1913" s="13"/>
    </row>
    <row r="1914" spans="3:3" x14ac:dyDescent="0.3">
      <c r="C1914" s="13"/>
    </row>
    <row r="1915" spans="3:3" x14ac:dyDescent="0.3">
      <c r="C1915" s="13"/>
    </row>
    <row r="1916" spans="3:3" x14ac:dyDescent="0.3">
      <c r="C1916" s="13"/>
    </row>
    <row r="1917" spans="3:3" x14ac:dyDescent="0.3">
      <c r="C1917" s="13"/>
    </row>
    <row r="1918" spans="3:3" x14ac:dyDescent="0.3">
      <c r="C1918" s="13"/>
    </row>
    <row r="1919" spans="3:3" x14ac:dyDescent="0.3">
      <c r="C1919" s="13"/>
    </row>
    <row r="1920" spans="3:3" x14ac:dyDescent="0.3">
      <c r="C1920" s="13"/>
    </row>
    <row r="1921" spans="3:3" x14ac:dyDescent="0.3">
      <c r="C1921" s="13"/>
    </row>
    <row r="1922" spans="3:3" x14ac:dyDescent="0.3">
      <c r="C1922" s="13"/>
    </row>
    <row r="1923" spans="3:3" x14ac:dyDescent="0.3">
      <c r="C1923" s="13"/>
    </row>
    <row r="1924" spans="3:3" x14ac:dyDescent="0.3">
      <c r="C1924" s="13"/>
    </row>
    <row r="1925" spans="3:3" x14ac:dyDescent="0.3">
      <c r="C1925" s="13"/>
    </row>
    <row r="1926" spans="3:3" x14ac:dyDescent="0.3">
      <c r="C1926" s="13"/>
    </row>
    <row r="1927" spans="3:3" x14ac:dyDescent="0.3">
      <c r="C1927" s="13"/>
    </row>
    <row r="1928" spans="3:3" x14ac:dyDescent="0.3">
      <c r="C1928" s="13"/>
    </row>
    <row r="1929" spans="3:3" x14ac:dyDescent="0.3">
      <c r="C1929" s="13"/>
    </row>
    <row r="1930" spans="3:3" x14ac:dyDescent="0.3">
      <c r="C1930" s="13"/>
    </row>
    <row r="1931" spans="3:3" x14ac:dyDescent="0.3">
      <c r="C1931" s="13"/>
    </row>
    <row r="1932" spans="3:3" x14ac:dyDescent="0.3">
      <c r="C1932" s="13"/>
    </row>
    <row r="1933" spans="3:3" x14ac:dyDescent="0.3">
      <c r="C1933" s="13"/>
    </row>
    <row r="1934" spans="3:3" x14ac:dyDescent="0.3">
      <c r="C1934" s="13"/>
    </row>
    <row r="1935" spans="3:3" x14ac:dyDescent="0.3">
      <c r="C1935" s="13"/>
    </row>
    <row r="1936" spans="3:3" x14ac:dyDescent="0.3">
      <c r="C1936" s="13"/>
    </row>
    <row r="1937" spans="3:3" x14ac:dyDescent="0.3">
      <c r="C1937" s="13"/>
    </row>
    <row r="1938" spans="3:3" x14ac:dyDescent="0.3">
      <c r="C1938" s="13"/>
    </row>
    <row r="1939" spans="3:3" x14ac:dyDescent="0.3">
      <c r="C1939" s="13"/>
    </row>
    <row r="1940" spans="3:3" x14ac:dyDescent="0.3">
      <c r="C1940" s="13"/>
    </row>
    <row r="1941" spans="3:3" x14ac:dyDescent="0.3">
      <c r="C1941" s="13"/>
    </row>
    <row r="1942" spans="3:3" x14ac:dyDescent="0.3">
      <c r="C1942" s="13"/>
    </row>
    <row r="1943" spans="3:3" x14ac:dyDescent="0.3">
      <c r="C1943" s="13"/>
    </row>
    <row r="1944" spans="3:3" x14ac:dyDescent="0.3">
      <c r="C1944" s="13"/>
    </row>
    <row r="1945" spans="3:3" x14ac:dyDescent="0.3">
      <c r="C1945" s="13"/>
    </row>
    <row r="1946" spans="3:3" x14ac:dyDescent="0.3">
      <c r="C1946" s="13"/>
    </row>
    <row r="1947" spans="3:3" x14ac:dyDescent="0.3">
      <c r="C1947" s="13"/>
    </row>
    <row r="1948" spans="3:3" x14ac:dyDescent="0.3">
      <c r="C1948" s="13"/>
    </row>
    <row r="1949" spans="3:3" x14ac:dyDescent="0.3">
      <c r="C1949" s="13"/>
    </row>
    <row r="1950" spans="3:3" x14ac:dyDescent="0.3">
      <c r="C1950" s="13"/>
    </row>
    <row r="1951" spans="3:3" x14ac:dyDescent="0.3">
      <c r="C1951" s="13"/>
    </row>
    <row r="1952" spans="3:3" x14ac:dyDescent="0.3">
      <c r="C1952" s="13"/>
    </row>
    <row r="1953" spans="3:3" x14ac:dyDescent="0.3">
      <c r="C1953" s="13"/>
    </row>
    <row r="1954" spans="3:3" x14ac:dyDescent="0.3">
      <c r="C1954" s="13"/>
    </row>
    <row r="1955" spans="3:3" x14ac:dyDescent="0.3">
      <c r="C1955" s="13"/>
    </row>
    <row r="1956" spans="3:3" x14ac:dyDescent="0.3">
      <c r="C1956" s="13"/>
    </row>
    <row r="1957" spans="3:3" x14ac:dyDescent="0.3">
      <c r="C1957" s="13"/>
    </row>
    <row r="1958" spans="3:3" x14ac:dyDescent="0.3">
      <c r="C1958" s="13"/>
    </row>
    <row r="1959" spans="3:3" x14ac:dyDescent="0.3">
      <c r="C1959" s="13"/>
    </row>
    <row r="1960" spans="3:3" x14ac:dyDescent="0.3">
      <c r="C1960" s="13"/>
    </row>
    <row r="1961" spans="3:3" x14ac:dyDescent="0.3">
      <c r="C1961" s="13"/>
    </row>
    <row r="1962" spans="3:3" x14ac:dyDescent="0.3">
      <c r="C1962" s="13"/>
    </row>
    <row r="1963" spans="3:3" x14ac:dyDescent="0.3">
      <c r="C1963" s="13"/>
    </row>
    <row r="1964" spans="3:3" x14ac:dyDescent="0.3">
      <c r="C1964" s="13"/>
    </row>
    <row r="1965" spans="3:3" x14ac:dyDescent="0.3">
      <c r="C1965" s="13"/>
    </row>
    <row r="1966" spans="3:3" x14ac:dyDescent="0.3">
      <c r="C1966" s="13"/>
    </row>
    <row r="1967" spans="3:3" x14ac:dyDescent="0.3">
      <c r="C1967" s="13"/>
    </row>
    <row r="1968" spans="3:3" x14ac:dyDescent="0.3">
      <c r="C1968" s="13"/>
    </row>
    <row r="1969" spans="3:3" x14ac:dyDescent="0.3">
      <c r="C1969" s="13"/>
    </row>
    <row r="1970" spans="3:3" x14ac:dyDescent="0.3">
      <c r="C1970" s="13"/>
    </row>
    <row r="1971" spans="3:3" x14ac:dyDescent="0.3">
      <c r="C1971" s="13"/>
    </row>
    <row r="1972" spans="3:3" x14ac:dyDescent="0.3">
      <c r="C1972" s="13"/>
    </row>
    <row r="1973" spans="3:3" x14ac:dyDescent="0.3">
      <c r="C1973" s="13"/>
    </row>
    <row r="1974" spans="3:3" x14ac:dyDescent="0.3">
      <c r="C1974" s="13"/>
    </row>
    <row r="1975" spans="3:3" x14ac:dyDescent="0.3">
      <c r="C1975" s="13"/>
    </row>
    <row r="1976" spans="3:3" x14ac:dyDescent="0.3">
      <c r="C1976" s="13"/>
    </row>
    <row r="1977" spans="3:3" x14ac:dyDescent="0.3">
      <c r="C1977" s="13"/>
    </row>
    <row r="1978" spans="3:3" x14ac:dyDescent="0.3">
      <c r="C1978" s="13"/>
    </row>
    <row r="1979" spans="3:3" x14ac:dyDescent="0.3">
      <c r="C1979" s="13"/>
    </row>
    <row r="1980" spans="3:3" x14ac:dyDescent="0.3">
      <c r="C1980" s="13"/>
    </row>
    <row r="1981" spans="3:3" x14ac:dyDescent="0.3">
      <c r="C1981" s="13"/>
    </row>
    <row r="1982" spans="3:3" x14ac:dyDescent="0.3">
      <c r="C1982" s="13"/>
    </row>
    <row r="1983" spans="3:3" x14ac:dyDescent="0.3">
      <c r="C1983" s="13"/>
    </row>
    <row r="1984" spans="3:3" x14ac:dyDescent="0.3">
      <c r="C1984" s="13"/>
    </row>
    <row r="1985" spans="3:3" x14ac:dyDescent="0.3">
      <c r="C1985" s="13"/>
    </row>
    <row r="1986" spans="3:3" x14ac:dyDescent="0.3">
      <c r="C1986" s="13"/>
    </row>
    <row r="1987" spans="3:3" x14ac:dyDescent="0.3">
      <c r="C1987" s="13"/>
    </row>
    <row r="1988" spans="3:3" x14ac:dyDescent="0.3">
      <c r="C1988" s="13"/>
    </row>
    <row r="1989" spans="3:3" x14ac:dyDescent="0.3">
      <c r="C1989" s="13"/>
    </row>
    <row r="1990" spans="3:3" x14ac:dyDescent="0.3">
      <c r="C1990" s="13"/>
    </row>
    <row r="1991" spans="3:3" x14ac:dyDescent="0.3">
      <c r="C1991" s="13"/>
    </row>
    <row r="1992" spans="3:3" x14ac:dyDescent="0.3">
      <c r="C1992" s="13"/>
    </row>
    <row r="1993" spans="3:3" x14ac:dyDescent="0.3">
      <c r="C1993" s="13"/>
    </row>
    <row r="1994" spans="3:3" x14ac:dyDescent="0.3">
      <c r="C1994" s="13"/>
    </row>
    <row r="1995" spans="3:3" x14ac:dyDescent="0.3">
      <c r="C1995" s="13"/>
    </row>
    <row r="1996" spans="3:3" x14ac:dyDescent="0.3">
      <c r="C1996" s="13"/>
    </row>
    <row r="1997" spans="3:3" x14ac:dyDescent="0.3">
      <c r="C1997" s="13"/>
    </row>
    <row r="1998" spans="3:3" x14ac:dyDescent="0.3">
      <c r="C1998" s="13"/>
    </row>
    <row r="1999" spans="3:3" x14ac:dyDescent="0.3">
      <c r="C1999" s="13"/>
    </row>
    <row r="2000" spans="3:3" x14ac:dyDescent="0.3">
      <c r="C2000" s="13"/>
    </row>
    <row r="2001" spans="3:3" x14ac:dyDescent="0.3">
      <c r="C2001" s="13"/>
    </row>
    <row r="2002" spans="3:3" x14ac:dyDescent="0.3">
      <c r="C2002" s="13"/>
    </row>
    <row r="2003" spans="3:3" x14ac:dyDescent="0.3">
      <c r="C2003" s="13"/>
    </row>
    <row r="2004" spans="3:3" x14ac:dyDescent="0.3">
      <c r="C2004" s="13"/>
    </row>
    <row r="2005" spans="3:3" x14ac:dyDescent="0.3">
      <c r="C2005" s="13"/>
    </row>
    <row r="2006" spans="3:3" x14ac:dyDescent="0.3">
      <c r="C2006" s="13"/>
    </row>
    <row r="2007" spans="3:3" x14ac:dyDescent="0.3">
      <c r="C2007" s="13"/>
    </row>
    <row r="2008" spans="3:3" x14ac:dyDescent="0.3">
      <c r="C2008" s="13"/>
    </row>
    <row r="2009" spans="3:3" x14ac:dyDescent="0.3">
      <c r="C2009" s="13"/>
    </row>
    <row r="2010" spans="3:3" x14ac:dyDescent="0.3">
      <c r="C2010" s="13"/>
    </row>
    <row r="2011" spans="3:3" x14ac:dyDescent="0.3">
      <c r="C2011" s="13"/>
    </row>
    <row r="2012" spans="3:3" x14ac:dyDescent="0.3">
      <c r="C2012" s="13"/>
    </row>
    <row r="2013" spans="3:3" x14ac:dyDescent="0.3">
      <c r="C2013" s="13"/>
    </row>
    <row r="2014" spans="3:3" x14ac:dyDescent="0.3">
      <c r="C2014" s="13"/>
    </row>
    <row r="2015" spans="3:3" x14ac:dyDescent="0.3">
      <c r="C2015" s="13"/>
    </row>
    <row r="2016" spans="3:3" x14ac:dyDescent="0.3">
      <c r="C2016" s="13"/>
    </row>
    <row r="2017" spans="3:3" x14ac:dyDescent="0.3">
      <c r="C2017" s="13"/>
    </row>
    <row r="2018" spans="3:3" x14ac:dyDescent="0.3">
      <c r="C2018" s="13"/>
    </row>
    <row r="2019" spans="3:3" x14ac:dyDescent="0.3">
      <c r="C2019" s="13"/>
    </row>
    <row r="2020" spans="3:3" x14ac:dyDescent="0.3">
      <c r="C2020" s="13"/>
    </row>
    <row r="2021" spans="3:3" x14ac:dyDescent="0.3">
      <c r="C2021" s="13"/>
    </row>
    <row r="2022" spans="3:3" x14ac:dyDescent="0.3">
      <c r="C2022" s="13"/>
    </row>
    <row r="2023" spans="3:3" x14ac:dyDescent="0.3">
      <c r="C2023" s="13"/>
    </row>
    <row r="2024" spans="3:3" x14ac:dyDescent="0.3">
      <c r="C2024" s="13"/>
    </row>
    <row r="2025" spans="3:3" x14ac:dyDescent="0.3">
      <c r="C2025" s="13"/>
    </row>
    <row r="2026" spans="3:3" x14ac:dyDescent="0.3">
      <c r="C2026" s="13"/>
    </row>
    <row r="2027" spans="3:3" x14ac:dyDescent="0.3">
      <c r="C2027" s="13"/>
    </row>
    <row r="2028" spans="3:3" x14ac:dyDescent="0.3">
      <c r="C2028" s="13"/>
    </row>
    <row r="2029" spans="3:3" x14ac:dyDescent="0.3">
      <c r="C2029" s="13"/>
    </row>
    <row r="2030" spans="3:3" x14ac:dyDescent="0.3">
      <c r="C2030" s="13"/>
    </row>
    <row r="2031" spans="3:3" x14ac:dyDescent="0.3">
      <c r="C2031" s="13"/>
    </row>
    <row r="2032" spans="3:3" x14ac:dyDescent="0.3">
      <c r="C2032" s="13"/>
    </row>
    <row r="2033" spans="3:3" x14ac:dyDescent="0.3">
      <c r="C2033" s="13"/>
    </row>
    <row r="2034" spans="3:3" x14ac:dyDescent="0.3">
      <c r="C2034" s="13"/>
    </row>
    <row r="2035" spans="3:3" x14ac:dyDescent="0.3">
      <c r="C2035" s="13"/>
    </row>
    <row r="2036" spans="3:3" x14ac:dyDescent="0.3">
      <c r="C2036" s="13"/>
    </row>
    <row r="2037" spans="3:3" x14ac:dyDescent="0.3">
      <c r="C2037" s="13"/>
    </row>
    <row r="2038" spans="3:3" x14ac:dyDescent="0.3">
      <c r="C2038" s="13"/>
    </row>
    <row r="2039" spans="3:3" x14ac:dyDescent="0.3">
      <c r="C2039" s="13"/>
    </row>
    <row r="2040" spans="3:3" x14ac:dyDescent="0.3">
      <c r="C2040" s="13"/>
    </row>
    <row r="2041" spans="3:3" x14ac:dyDescent="0.3">
      <c r="C2041" s="13"/>
    </row>
    <row r="2042" spans="3:3" x14ac:dyDescent="0.3">
      <c r="C2042" s="13"/>
    </row>
    <row r="2043" spans="3:3" x14ac:dyDescent="0.3">
      <c r="C2043" s="13"/>
    </row>
    <row r="2044" spans="3:3" x14ac:dyDescent="0.3">
      <c r="C2044" s="13"/>
    </row>
    <row r="2045" spans="3:3" x14ac:dyDescent="0.3">
      <c r="C2045" s="13"/>
    </row>
    <row r="2046" spans="3:3" x14ac:dyDescent="0.3">
      <c r="C2046" s="13"/>
    </row>
    <row r="2047" spans="3:3" x14ac:dyDescent="0.3">
      <c r="C2047" s="13"/>
    </row>
    <row r="2048" spans="3:3" x14ac:dyDescent="0.3">
      <c r="C2048" s="13"/>
    </row>
    <row r="2049" spans="3:3" x14ac:dyDescent="0.3">
      <c r="C2049" s="13"/>
    </row>
    <row r="2050" spans="3:3" x14ac:dyDescent="0.3">
      <c r="C2050" s="13"/>
    </row>
    <row r="2051" spans="3:3" x14ac:dyDescent="0.3">
      <c r="C2051" s="13"/>
    </row>
    <row r="2052" spans="3:3" x14ac:dyDescent="0.3">
      <c r="C2052" s="13"/>
    </row>
    <row r="2053" spans="3:3" x14ac:dyDescent="0.3">
      <c r="C2053" s="13"/>
    </row>
    <row r="2054" spans="3:3" x14ac:dyDescent="0.3">
      <c r="C2054" s="13"/>
    </row>
    <row r="2055" spans="3:3" x14ac:dyDescent="0.3">
      <c r="C2055" s="13"/>
    </row>
    <row r="2056" spans="3:3" x14ac:dyDescent="0.3">
      <c r="C2056" s="13"/>
    </row>
    <row r="2057" spans="3:3" x14ac:dyDescent="0.3">
      <c r="C2057" s="13"/>
    </row>
    <row r="2058" spans="3:3" x14ac:dyDescent="0.3">
      <c r="C2058" s="13"/>
    </row>
    <row r="2059" spans="3:3" x14ac:dyDescent="0.3">
      <c r="C2059" s="13"/>
    </row>
    <row r="2060" spans="3:3" x14ac:dyDescent="0.3">
      <c r="C2060" s="13"/>
    </row>
    <row r="2061" spans="3:3" x14ac:dyDescent="0.3">
      <c r="C2061" s="13"/>
    </row>
    <row r="2062" spans="3:3" x14ac:dyDescent="0.3">
      <c r="C2062" s="13"/>
    </row>
    <row r="2063" spans="3:3" x14ac:dyDescent="0.3">
      <c r="C2063" s="13"/>
    </row>
    <row r="2064" spans="3:3" x14ac:dyDescent="0.3">
      <c r="C2064" s="13"/>
    </row>
    <row r="2065" spans="3:3" x14ac:dyDescent="0.3">
      <c r="C2065" s="13"/>
    </row>
    <row r="2066" spans="3:3" x14ac:dyDescent="0.3">
      <c r="C2066" s="13"/>
    </row>
    <row r="2067" spans="3:3" x14ac:dyDescent="0.3">
      <c r="C2067" s="13"/>
    </row>
    <row r="2068" spans="3:3" x14ac:dyDescent="0.3">
      <c r="C2068" s="13"/>
    </row>
    <row r="2069" spans="3:3" x14ac:dyDescent="0.3">
      <c r="C2069" s="13"/>
    </row>
    <row r="2070" spans="3:3" x14ac:dyDescent="0.3">
      <c r="C2070" s="13"/>
    </row>
    <row r="2071" spans="3:3" x14ac:dyDescent="0.3">
      <c r="C2071" s="13"/>
    </row>
    <row r="2072" spans="3:3" x14ac:dyDescent="0.3">
      <c r="C2072" s="13"/>
    </row>
    <row r="2073" spans="3:3" x14ac:dyDescent="0.3">
      <c r="C2073" s="13"/>
    </row>
    <row r="2074" spans="3:3" x14ac:dyDescent="0.3">
      <c r="C2074" s="13"/>
    </row>
    <row r="2075" spans="3:3" x14ac:dyDescent="0.3">
      <c r="C2075" s="13"/>
    </row>
    <row r="2076" spans="3:3" x14ac:dyDescent="0.3">
      <c r="C2076" s="13"/>
    </row>
    <row r="2077" spans="3:3" x14ac:dyDescent="0.3">
      <c r="C2077" s="13"/>
    </row>
    <row r="2078" spans="3:3" x14ac:dyDescent="0.3">
      <c r="C2078" s="13"/>
    </row>
    <row r="2079" spans="3:3" x14ac:dyDescent="0.3">
      <c r="C2079" s="13"/>
    </row>
    <row r="2080" spans="3:3" x14ac:dyDescent="0.3">
      <c r="C2080" s="13"/>
    </row>
    <row r="2081" spans="3:3" x14ac:dyDescent="0.3">
      <c r="C2081" s="13"/>
    </row>
    <row r="2082" spans="3:3" x14ac:dyDescent="0.3">
      <c r="C2082" s="13"/>
    </row>
    <row r="2083" spans="3:3" x14ac:dyDescent="0.3">
      <c r="C2083" s="13"/>
    </row>
    <row r="2084" spans="3:3" x14ac:dyDescent="0.3">
      <c r="C2084" s="13"/>
    </row>
    <row r="2085" spans="3:3" x14ac:dyDescent="0.3">
      <c r="C2085" s="13"/>
    </row>
    <row r="2086" spans="3:3" x14ac:dyDescent="0.3">
      <c r="C2086" s="13"/>
    </row>
    <row r="2087" spans="3:3" x14ac:dyDescent="0.3">
      <c r="C2087" s="13"/>
    </row>
    <row r="2088" spans="3:3" x14ac:dyDescent="0.3">
      <c r="C2088" s="13"/>
    </row>
    <row r="2089" spans="3:3" x14ac:dyDescent="0.3">
      <c r="C2089" s="13"/>
    </row>
    <row r="2090" spans="3:3" x14ac:dyDescent="0.3">
      <c r="C2090" s="13"/>
    </row>
    <row r="2091" spans="3:3" x14ac:dyDescent="0.3">
      <c r="C2091" s="13"/>
    </row>
    <row r="2092" spans="3:3" x14ac:dyDescent="0.3">
      <c r="C2092" s="13"/>
    </row>
    <row r="2093" spans="3:3" x14ac:dyDescent="0.3">
      <c r="C2093" s="13"/>
    </row>
    <row r="2094" spans="3:3" x14ac:dyDescent="0.3">
      <c r="C2094" s="13"/>
    </row>
    <row r="2095" spans="3:3" x14ac:dyDescent="0.3">
      <c r="C2095" s="13"/>
    </row>
    <row r="2096" spans="3:3" x14ac:dyDescent="0.3">
      <c r="C2096" s="13"/>
    </row>
    <row r="2097" spans="3:3" x14ac:dyDescent="0.3">
      <c r="C2097" s="13"/>
    </row>
    <row r="2098" spans="3:3" x14ac:dyDescent="0.3">
      <c r="C2098" s="13"/>
    </row>
    <row r="2099" spans="3:3" x14ac:dyDescent="0.3">
      <c r="C2099" s="13"/>
    </row>
    <row r="2100" spans="3:3" x14ac:dyDescent="0.3">
      <c r="C2100" s="13"/>
    </row>
    <row r="2101" spans="3:3" x14ac:dyDescent="0.3">
      <c r="C2101" s="13"/>
    </row>
    <row r="2102" spans="3:3" x14ac:dyDescent="0.3">
      <c r="C2102" s="13"/>
    </row>
    <row r="2103" spans="3:3" x14ac:dyDescent="0.3">
      <c r="C2103" s="13"/>
    </row>
    <row r="2104" spans="3:3" x14ac:dyDescent="0.3">
      <c r="C2104" s="13"/>
    </row>
    <row r="2105" spans="3:3" x14ac:dyDescent="0.3">
      <c r="C2105" s="13"/>
    </row>
    <row r="2106" spans="3:3" x14ac:dyDescent="0.3">
      <c r="C2106" s="13"/>
    </row>
    <row r="2107" spans="3:3" x14ac:dyDescent="0.3">
      <c r="C2107" s="13"/>
    </row>
    <row r="2108" spans="3:3" x14ac:dyDescent="0.3">
      <c r="C2108" s="13"/>
    </row>
    <row r="2109" spans="3:3" x14ac:dyDescent="0.3">
      <c r="C2109" s="13"/>
    </row>
    <row r="2110" spans="3:3" x14ac:dyDescent="0.3">
      <c r="C2110" s="13"/>
    </row>
    <row r="2111" spans="3:3" x14ac:dyDescent="0.3">
      <c r="C2111" s="13"/>
    </row>
    <row r="2112" spans="3:3" x14ac:dyDescent="0.3">
      <c r="C2112" s="13"/>
    </row>
    <row r="2113" spans="3:3" x14ac:dyDescent="0.3">
      <c r="C2113" s="13"/>
    </row>
    <row r="2114" spans="3:3" x14ac:dyDescent="0.3">
      <c r="C2114" s="13"/>
    </row>
    <row r="2115" spans="3:3" x14ac:dyDescent="0.3">
      <c r="C2115" s="13"/>
    </row>
    <row r="2116" spans="3:3" x14ac:dyDescent="0.3">
      <c r="C2116" s="13"/>
    </row>
    <row r="2117" spans="3:3" x14ac:dyDescent="0.3">
      <c r="C2117" s="13"/>
    </row>
    <row r="2118" spans="3:3" x14ac:dyDescent="0.3">
      <c r="C2118" s="13"/>
    </row>
    <row r="2119" spans="3:3" x14ac:dyDescent="0.3">
      <c r="C2119" s="13"/>
    </row>
    <row r="2120" spans="3:3" x14ac:dyDescent="0.3">
      <c r="C2120" s="13"/>
    </row>
    <row r="2121" spans="3:3" x14ac:dyDescent="0.3">
      <c r="C2121" s="13"/>
    </row>
    <row r="2122" spans="3:3" x14ac:dyDescent="0.3">
      <c r="C2122" s="13"/>
    </row>
    <row r="2123" spans="3:3" x14ac:dyDescent="0.3">
      <c r="C2123" s="13"/>
    </row>
    <row r="2124" spans="3:3" x14ac:dyDescent="0.3">
      <c r="C2124" s="13"/>
    </row>
    <row r="2125" spans="3:3" x14ac:dyDescent="0.3">
      <c r="C2125" s="13"/>
    </row>
    <row r="2126" spans="3:3" x14ac:dyDescent="0.3">
      <c r="C2126" s="13"/>
    </row>
    <row r="2127" spans="3:3" x14ac:dyDescent="0.3">
      <c r="C2127" s="13"/>
    </row>
    <row r="2128" spans="3:3" x14ac:dyDescent="0.3">
      <c r="C2128" s="13"/>
    </row>
    <row r="2129" spans="3:3" x14ac:dyDescent="0.3">
      <c r="C2129" s="13"/>
    </row>
    <row r="2130" spans="3:3" x14ac:dyDescent="0.3">
      <c r="C2130" s="13"/>
    </row>
    <row r="2131" spans="3:3" x14ac:dyDescent="0.3">
      <c r="C2131" s="13"/>
    </row>
    <row r="2132" spans="3:3" x14ac:dyDescent="0.3">
      <c r="C2132" s="13"/>
    </row>
    <row r="2133" spans="3:3" x14ac:dyDescent="0.3">
      <c r="C2133" s="13"/>
    </row>
    <row r="2134" spans="3:3" x14ac:dyDescent="0.3">
      <c r="C2134" s="13"/>
    </row>
    <row r="2135" spans="3:3" x14ac:dyDescent="0.3">
      <c r="C2135" s="13"/>
    </row>
    <row r="2136" spans="3:3" x14ac:dyDescent="0.3">
      <c r="C2136" s="13"/>
    </row>
    <row r="2137" spans="3:3" x14ac:dyDescent="0.3">
      <c r="C2137" s="13"/>
    </row>
    <row r="2138" spans="3:3" x14ac:dyDescent="0.3">
      <c r="C2138" s="13"/>
    </row>
    <row r="2139" spans="3:3" x14ac:dyDescent="0.3">
      <c r="C2139" s="13"/>
    </row>
    <row r="2140" spans="3:3" x14ac:dyDescent="0.3">
      <c r="C2140" s="13"/>
    </row>
    <row r="2141" spans="3:3" x14ac:dyDescent="0.3">
      <c r="C2141" s="13"/>
    </row>
    <row r="2142" spans="3:3" x14ac:dyDescent="0.3">
      <c r="C2142" s="13"/>
    </row>
    <row r="2143" spans="3:3" x14ac:dyDescent="0.3">
      <c r="C2143" s="13"/>
    </row>
    <row r="2144" spans="3:3" x14ac:dyDescent="0.3">
      <c r="C2144" s="13"/>
    </row>
    <row r="2145" spans="3:3" x14ac:dyDescent="0.3">
      <c r="C2145" s="13"/>
    </row>
    <row r="2146" spans="3:3" x14ac:dyDescent="0.3">
      <c r="C2146" s="13"/>
    </row>
    <row r="2147" spans="3:3" x14ac:dyDescent="0.3">
      <c r="C2147" s="13"/>
    </row>
    <row r="2148" spans="3:3" x14ac:dyDescent="0.3">
      <c r="C2148" s="13"/>
    </row>
    <row r="2149" spans="3:3" x14ac:dyDescent="0.3">
      <c r="C2149" s="13"/>
    </row>
    <row r="2150" spans="3:3" x14ac:dyDescent="0.3">
      <c r="C2150" s="13"/>
    </row>
    <row r="2151" spans="3:3" x14ac:dyDescent="0.3">
      <c r="C2151" s="13"/>
    </row>
    <row r="2152" spans="3:3" x14ac:dyDescent="0.3">
      <c r="C2152" s="13"/>
    </row>
    <row r="2153" spans="3:3" x14ac:dyDescent="0.3">
      <c r="C2153" s="13"/>
    </row>
    <row r="2154" spans="3:3" x14ac:dyDescent="0.3">
      <c r="C2154" s="13"/>
    </row>
    <row r="2155" spans="3:3" x14ac:dyDescent="0.3">
      <c r="C2155" s="13"/>
    </row>
    <row r="2156" spans="3:3" x14ac:dyDescent="0.3">
      <c r="C2156" s="13"/>
    </row>
    <row r="2157" spans="3:3" x14ac:dyDescent="0.3">
      <c r="C2157" s="13"/>
    </row>
    <row r="2158" spans="3:3" x14ac:dyDescent="0.3">
      <c r="C2158" s="13"/>
    </row>
    <row r="2159" spans="3:3" x14ac:dyDescent="0.3">
      <c r="C2159" s="13"/>
    </row>
    <row r="2160" spans="3:3" x14ac:dyDescent="0.3">
      <c r="C2160" s="13"/>
    </row>
    <row r="2161" spans="3:3" x14ac:dyDescent="0.3">
      <c r="C2161" s="13"/>
    </row>
    <row r="2162" spans="3:3" x14ac:dyDescent="0.3">
      <c r="C2162" s="13"/>
    </row>
    <row r="2163" spans="3:3" x14ac:dyDescent="0.3">
      <c r="C2163" s="13"/>
    </row>
    <row r="2164" spans="3:3" x14ac:dyDescent="0.3">
      <c r="C2164" s="13"/>
    </row>
    <row r="2165" spans="3:3" x14ac:dyDescent="0.3">
      <c r="C2165" s="13"/>
    </row>
    <row r="2166" spans="3:3" x14ac:dyDescent="0.3">
      <c r="C2166" s="13"/>
    </row>
    <row r="2167" spans="3:3" x14ac:dyDescent="0.3">
      <c r="C2167" s="13"/>
    </row>
    <row r="2168" spans="3:3" x14ac:dyDescent="0.3">
      <c r="C2168" s="13"/>
    </row>
    <row r="2169" spans="3:3" x14ac:dyDescent="0.3">
      <c r="C2169" s="13"/>
    </row>
    <row r="2170" spans="3:3" x14ac:dyDescent="0.3">
      <c r="C2170" s="13"/>
    </row>
    <row r="2171" spans="3:3" x14ac:dyDescent="0.3">
      <c r="C2171" s="13"/>
    </row>
    <row r="2172" spans="3:3" x14ac:dyDescent="0.3">
      <c r="C2172" s="13"/>
    </row>
    <row r="2173" spans="3:3" x14ac:dyDescent="0.3">
      <c r="C2173" s="13"/>
    </row>
    <row r="2174" spans="3:3" x14ac:dyDescent="0.3">
      <c r="C2174" s="13"/>
    </row>
    <row r="2175" spans="3:3" x14ac:dyDescent="0.3">
      <c r="C2175" s="13"/>
    </row>
    <row r="2176" spans="3:3" x14ac:dyDescent="0.3">
      <c r="C2176" s="13"/>
    </row>
    <row r="2177" spans="3:3" x14ac:dyDescent="0.3">
      <c r="C2177" s="13"/>
    </row>
    <row r="2178" spans="3:3" x14ac:dyDescent="0.3">
      <c r="C2178" s="13"/>
    </row>
    <row r="2179" spans="3:3" x14ac:dyDescent="0.3">
      <c r="C2179" s="13"/>
    </row>
    <row r="2180" spans="3:3" x14ac:dyDescent="0.3">
      <c r="C2180" s="13"/>
    </row>
    <row r="2181" spans="3:3" x14ac:dyDescent="0.3">
      <c r="C2181" s="13"/>
    </row>
    <row r="2182" spans="3:3" x14ac:dyDescent="0.3">
      <c r="C2182" s="13"/>
    </row>
    <row r="2183" spans="3:3" x14ac:dyDescent="0.3">
      <c r="C2183" s="13"/>
    </row>
    <row r="2184" spans="3:3" x14ac:dyDescent="0.3">
      <c r="C2184" s="13"/>
    </row>
    <row r="2185" spans="3:3" x14ac:dyDescent="0.3">
      <c r="C2185" s="13"/>
    </row>
    <row r="2186" spans="3:3" x14ac:dyDescent="0.3">
      <c r="C2186" s="13"/>
    </row>
    <row r="2187" spans="3:3" x14ac:dyDescent="0.3">
      <c r="C2187" s="13"/>
    </row>
    <row r="2188" spans="3:3" x14ac:dyDescent="0.3">
      <c r="C2188" s="13"/>
    </row>
    <row r="2189" spans="3:3" x14ac:dyDescent="0.3">
      <c r="C2189" s="13"/>
    </row>
    <row r="2190" spans="3:3" x14ac:dyDescent="0.3">
      <c r="C2190" s="13"/>
    </row>
    <row r="2191" spans="3:3" x14ac:dyDescent="0.3">
      <c r="C2191" s="13"/>
    </row>
    <row r="2192" spans="3:3" x14ac:dyDescent="0.3">
      <c r="C2192" s="13"/>
    </row>
    <row r="2193" spans="3:3" x14ac:dyDescent="0.3">
      <c r="C2193" s="13"/>
    </row>
    <row r="2194" spans="3:3" x14ac:dyDescent="0.3">
      <c r="C2194" s="13"/>
    </row>
    <row r="2195" spans="3:3" x14ac:dyDescent="0.3">
      <c r="C2195" s="13"/>
    </row>
    <row r="2196" spans="3:3" x14ac:dyDescent="0.3">
      <c r="C2196" s="13"/>
    </row>
    <row r="2197" spans="3:3" x14ac:dyDescent="0.3">
      <c r="C2197" s="13"/>
    </row>
    <row r="2198" spans="3:3" x14ac:dyDescent="0.3">
      <c r="C2198" s="13"/>
    </row>
    <row r="2199" spans="3:3" x14ac:dyDescent="0.3">
      <c r="C2199" s="13"/>
    </row>
    <row r="2200" spans="3:3" x14ac:dyDescent="0.3">
      <c r="C2200" s="13"/>
    </row>
    <row r="2201" spans="3:3" x14ac:dyDescent="0.3">
      <c r="C2201" s="13"/>
    </row>
    <row r="2202" spans="3:3" x14ac:dyDescent="0.3">
      <c r="C2202" s="13"/>
    </row>
    <row r="2203" spans="3:3" x14ac:dyDescent="0.3">
      <c r="C2203" s="13"/>
    </row>
    <row r="2204" spans="3:3" x14ac:dyDescent="0.3">
      <c r="C2204" s="13"/>
    </row>
    <row r="2205" spans="3:3" x14ac:dyDescent="0.3">
      <c r="C2205" s="13"/>
    </row>
    <row r="2206" spans="3:3" x14ac:dyDescent="0.3">
      <c r="C2206" s="13"/>
    </row>
    <row r="2207" spans="3:3" x14ac:dyDescent="0.3">
      <c r="C2207" s="13"/>
    </row>
    <row r="2208" spans="3:3" x14ac:dyDescent="0.3">
      <c r="C2208" s="13"/>
    </row>
    <row r="2209" spans="3:3" x14ac:dyDescent="0.3">
      <c r="C2209" s="13"/>
    </row>
    <row r="2210" spans="3:3" x14ac:dyDescent="0.3">
      <c r="C2210" s="13"/>
    </row>
    <row r="2211" spans="3:3" x14ac:dyDescent="0.3">
      <c r="C2211" s="13"/>
    </row>
    <row r="2212" spans="3:3" x14ac:dyDescent="0.3">
      <c r="C2212" s="13"/>
    </row>
    <row r="2213" spans="3:3" x14ac:dyDescent="0.3">
      <c r="C2213" s="13"/>
    </row>
    <row r="2214" spans="3:3" x14ac:dyDescent="0.3">
      <c r="C2214" s="13"/>
    </row>
    <row r="2215" spans="3:3" x14ac:dyDescent="0.3">
      <c r="C2215" s="13"/>
    </row>
    <row r="2216" spans="3:3" x14ac:dyDescent="0.3">
      <c r="C2216" s="13"/>
    </row>
    <row r="2217" spans="3:3" x14ac:dyDescent="0.3">
      <c r="C2217" s="13"/>
    </row>
    <row r="2218" spans="3:3" x14ac:dyDescent="0.3">
      <c r="C2218" s="13"/>
    </row>
    <row r="2219" spans="3:3" x14ac:dyDescent="0.3">
      <c r="C2219" s="13"/>
    </row>
    <row r="2220" spans="3:3" x14ac:dyDescent="0.3">
      <c r="C2220" s="13"/>
    </row>
    <row r="2221" spans="3:3" x14ac:dyDescent="0.3">
      <c r="C2221" s="13"/>
    </row>
    <row r="2222" spans="3:3" x14ac:dyDescent="0.3">
      <c r="C2222" s="13"/>
    </row>
    <row r="2223" spans="3:3" x14ac:dyDescent="0.3">
      <c r="C2223" s="13"/>
    </row>
    <row r="2224" spans="3:3" x14ac:dyDescent="0.3">
      <c r="C2224" s="13"/>
    </row>
    <row r="2225" spans="3:3" x14ac:dyDescent="0.3">
      <c r="C2225" s="13"/>
    </row>
    <row r="2226" spans="3:3" x14ac:dyDescent="0.3">
      <c r="C2226" s="13"/>
    </row>
    <row r="2227" spans="3:3" x14ac:dyDescent="0.3">
      <c r="C2227" s="13"/>
    </row>
    <row r="2228" spans="3:3" x14ac:dyDescent="0.3">
      <c r="C2228" s="13"/>
    </row>
    <row r="2229" spans="3:3" x14ac:dyDescent="0.3">
      <c r="C2229" s="13"/>
    </row>
    <row r="2230" spans="3:3" x14ac:dyDescent="0.3">
      <c r="C2230" s="13"/>
    </row>
    <row r="2231" spans="3:3" x14ac:dyDescent="0.3">
      <c r="C2231" s="13"/>
    </row>
    <row r="2232" spans="3:3" x14ac:dyDescent="0.3">
      <c r="C2232" s="13"/>
    </row>
    <row r="2233" spans="3:3" x14ac:dyDescent="0.3">
      <c r="C2233" s="13"/>
    </row>
    <row r="2234" spans="3:3" x14ac:dyDescent="0.3">
      <c r="C2234" s="13"/>
    </row>
    <row r="2235" spans="3:3" x14ac:dyDescent="0.3">
      <c r="C2235" s="13"/>
    </row>
    <row r="2236" spans="3:3" x14ac:dyDescent="0.3">
      <c r="C2236" s="13"/>
    </row>
    <row r="2237" spans="3:3" x14ac:dyDescent="0.3">
      <c r="C2237" s="13"/>
    </row>
    <row r="2238" spans="3:3" x14ac:dyDescent="0.3">
      <c r="C2238" s="13"/>
    </row>
    <row r="2239" spans="3:3" x14ac:dyDescent="0.3">
      <c r="C2239" s="13"/>
    </row>
    <row r="2240" spans="3:3" x14ac:dyDescent="0.3">
      <c r="C2240" s="13"/>
    </row>
    <row r="2241" spans="3:3" x14ac:dyDescent="0.3">
      <c r="C2241" s="13"/>
    </row>
    <row r="2242" spans="3:3" x14ac:dyDescent="0.3">
      <c r="C2242" s="13"/>
    </row>
    <row r="2243" spans="3:3" x14ac:dyDescent="0.3">
      <c r="C2243" s="13"/>
    </row>
    <row r="2244" spans="3:3" x14ac:dyDescent="0.3">
      <c r="C2244" s="13"/>
    </row>
    <row r="2245" spans="3:3" x14ac:dyDescent="0.3">
      <c r="C2245" s="13"/>
    </row>
    <row r="2246" spans="3:3" x14ac:dyDescent="0.3">
      <c r="C2246" s="13"/>
    </row>
    <row r="2247" spans="3:3" x14ac:dyDescent="0.3">
      <c r="C2247" s="13"/>
    </row>
    <row r="2248" spans="3:3" x14ac:dyDescent="0.3">
      <c r="C2248" s="13"/>
    </row>
    <row r="2249" spans="3:3" x14ac:dyDescent="0.3">
      <c r="C2249" s="13"/>
    </row>
    <row r="2250" spans="3:3" x14ac:dyDescent="0.3">
      <c r="C2250" s="13"/>
    </row>
    <row r="2251" spans="3:3" x14ac:dyDescent="0.3">
      <c r="C2251" s="13"/>
    </row>
    <row r="2252" spans="3:3" x14ac:dyDescent="0.3">
      <c r="C2252" s="13"/>
    </row>
    <row r="2253" spans="3:3" x14ac:dyDescent="0.3">
      <c r="C2253" s="13"/>
    </row>
    <row r="2254" spans="3:3" x14ac:dyDescent="0.3">
      <c r="C2254" s="13"/>
    </row>
    <row r="2255" spans="3:3" x14ac:dyDescent="0.3">
      <c r="C2255" s="13"/>
    </row>
    <row r="2256" spans="3:3" x14ac:dyDescent="0.3">
      <c r="C2256" s="13"/>
    </row>
    <row r="2257" spans="3:3" x14ac:dyDescent="0.3">
      <c r="C2257" s="13"/>
    </row>
    <row r="2258" spans="3:3" x14ac:dyDescent="0.3">
      <c r="C2258" s="13"/>
    </row>
    <row r="2259" spans="3:3" x14ac:dyDescent="0.3">
      <c r="C2259" s="13"/>
    </row>
    <row r="2260" spans="3:3" x14ac:dyDescent="0.3">
      <c r="C2260" s="13"/>
    </row>
    <row r="2261" spans="3:3" x14ac:dyDescent="0.3">
      <c r="C2261" s="13"/>
    </row>
    <row r="2262" spans="3:3" x14ac:dyDescent="0.3">
      <c r="C2262" s="13"/>
    </row>
    <row r="2263" spans="3:3" x14ac:dyDescent="0.3">
      <c r="C2263" s="13"/>
    </row>
    <row r="2264" spans="3:3" x14ac:dyDescent="0.3">
      <c r="C2264" s="13"/>
    </row>
    <row r="2265" spans="3:3" x14ac:dyDescent="0.3">
      <c r="C2265" s="13"/>
    </row>
    <row r="2266" spans="3:3" x14ac:dyDescent="0.3">
      <c r="C2266" s="13"/>
    </row>
    <row r="2267" spans="3:3" x14ac:dyDescent="0.3">
      <c r="C2267" s="13"/>
    </row>
    <row r="2268" spans="3:3" x14ac:dyDescent="0.3">
      <c r="C2268" s="13"/>
    </row>
    <row r="2269" spans="3:3" x14ac:dyDescent="0.3">
      <c r="C2269" s="13"/>
    </row>
    <row r="2270" spans="3:3" x14ac:dyDescent="0.3">
      <c r="C2270" s="13"/>
    </row>
    <row r="2271" spans="3:3" x14ac:dyDescent="0.3">
      <c r="C2271" s="13"/>
    </row>
    <row r="2272" spans="3:3" x14ac:dyDescent="0.3">
      <c r="C2272" s="13"/>
    </row>
    <row r="2273" spans="3:3" x14ac:dyDescent="0.3">
      <c r="C2273" s="13"/>
    </row>
    <row r="2274" spans="3:3" x14ac:dyDescent="0.3">
      <c r="C2274" s="13"/>
    </row>
    <row r="2275" spans="3:3" x14ac:dyDescent="0.3">
      <c r="C2275" s="13"/>
    </row>
    <row r="2276" spans="3:3" x14ac:dyDescent="0.3">
      <c r="C2276" s="13"/>
    </row>
    <row r="2277" spans="3:3" x14ac:dyDescent="0.3">
      <c r="C2277" s="13"/>
    </row>
    <row r="2278" spans="3:3" x14ac:dyDescent="0.3">
      <c r="C2278" s="13"/>
    </row>
    <row r="2279" spans="3:3" x14ac:dyDescent="0.3">
      <c r="C2279" s="13"/>
    </row>
    <row r="2280" spans="3:3" x14ac:dyDescent="0.3">
      <c r="C2280" s="13"/>
    </row>
    <row r="2281" spans="3:3" x14ac:dyDescent="0.3">
      <c r="C2281" s="13"/>
    </row>
    <row r="2282" spans="3:3" x14ac:dyDescent="0.3">
      <c r="C2282" s="13"/>
    </row>
    <row r="2283" spans="3:3" x14ac:dyDescent="0.3">
      <c r="C2283" s="13"/>
    </row>
    <row r="2284" spans="3:3" x14ac:dyDescent="0.3">
      <c r="C2284" s="13"/>
    </row>
    <row r="2285" spans="3:3" x14ac:dyDescent="0.3">
      <c r="C2285" s="13"/>
    </row>
    <row r="2286" spans="3:3" x14ac:dyDescent="0.3">
      <c r="C2286" s="13"/>
    </row>
    <row r="2287" spans="3:3" x14ac:dyDescent="0.3">
      <c r="C2287" s="13"/>
    </row>
    <row r="2288" spans="3:3" x14ac:dyDescent="0.3">
      <c r="C2288" s="13"/>
    </row>
    <row r="2289" spans="3:3" x14ac:dyDescent="0.3">
      <c r="C2289" s="13"/>
    </row>
    <row r="2290" spans="3:3" x14ac:dyDescent="0.3">
      <c r="C2290" s="13"/>
    </row>
    <row r="2291" spans="3:3" x14ac:dyDescent="0.3">
      <c r="C2291" s="13"/>
    </row>
    <row r="2292" spans="3:3" x14ac:dyDescent="0.3">
      <c r="C2292" s="13"/>
    </row>
    <row r="2293" spans="3:3" x14ac:dyDescent="0.3">
      <c r="C2293" s="13"/>
    </row>
    <row r="2294" spans="3:3" x14ac:dyDescent="0.3">
      <c r="C2294" s="13"/>
    </row>
    <row r="2295" spans="3:3" x14ac:dyDescent="0.3">
      <c r="C2295" s="13"/>
    </row>
    <row r="2296" spans="3:3" x14ac:dyDescent="0.3">
      <c r="C2296" s="13"/>
    </row>
    <row r="2297" spans="3:3" x14ac:dyDescent="0.3">
      <c r="C2297" s="13"/>
    </row>
    <row r="2298" spans="3:3" x14ac:dyDescent="0.3">
      <c r="C2298" s="13"/>
    </row>
    <row r="2299" spans="3:3" x14ac:dyDescent="0.3">
      <c r="C2299" s="13"/>
    </row>
    <row r="2300" spans="3:3" x14ac:dyDescent="0.3">
      <c r="C2300" s="13"/>
    </row>
    <row r="2301" spans="3:3" x14ac:dyDescent="0.3">
      <c r="C2301" s="13"/>
    </row>
    <row r="2302" spans="3:3" x14ac:dyDescent="0.3">
      <c r="C2302" s="13"/>
    </row>
    <row r="2303" spans="3:3" x14ac:dyDescent="0.3">
      <c r="C2303" s="13"/>
    </row>
    <row r="2304" spans="3:3" x14ac:dyDescent="0.3">
      <c r="C2304" s="13"/>
    </row>
    <row r="2305" spans="3:3" x14ac:dyDescent="0.3">
      <c r="C2305" s="13"/>
    </row>
    <row r="2306" spans="3:3" x14ac:dyDescent="0.3">
      <c r="C2306" s="13"/>
    </row>
    <row r="2307" spans="3:3" x14ac:dyDescent="0.3">
      <c r="C2307" s="13"/>
    </row>
    <row r="2308" spans="3:3" x14ac:dyDescent="0.3">
      <c r="C2308" s="13"/>
    </row>
    <row r="2309" spans="3:3" x14ac:dyDescent="0.3">
      <c r="C2309" s="13"/>
    </row>
    <row r="2310" spans="3:3" x14ac:dyDescent="0.3">
      <c r="C2310" s="13"/>
    </row>
    <row r="2311" spans="3:3" x14ac:dyDescent="0.3">
      <c r="C2311" s="13"/>
    </row>
    <row r="2312" spans="3:3" x14ac:dyDescent="0.3">
      <c r="C2312" s="13"/>
    </row>
    <row r="2313" spans="3:3" x14ac:dyDescent="0.3">
      <c r="C2313" s="13"/>
    </row>
    <row r="2314" spans="3:3" x14ac:dyDescent="0.3">
      <c r="C2314" s="13"/>
    </row>
    <row r="2315" spans="3:3" x14ac:dyDescent="0.3">
      <c r="C2315" s="13"/>
    </row>
    <row r="2316" spans="3:3" x14ac:dyDescent="0.3">
      <c r="C2316" s="13"/>
    </row>
    <row r="2317" spans="3:3" x14ac:dyDescent="0.3">
      <c r="C2317" s="13"/>
    </row>
    <row r="2318" spans="3:3" x14ac:dyDescent="0.3">
      <c r="C2318" s="13"/>
    </row>
    <row r="2319" spans="3:3" x14ac:dyDescent="0.3">
      <c r="C2319" s="13"/>
    </row>
    <row r="2320" spans="3:3" x14ac:dyDescent="0.3">
      <c r="C2320" s="13"/>
    </row>
    <row r="2321" spans="3:3" x14ac:dyDescent="0.3">
      <c r="C2321" s="13"/>
    </row>
    <row r="2322" spans="3:3" x14ac:dyDescent="0.3">
      <c r="C2322" s="13"/>
    </row>
    <row r="2323" spans="3:3" x14ac:dyDescent="0.3">
      <c r="C2323" s="13"/>
    </row>
    <row r="2324" spans="3:3" x14ac:dyDescent="0.3">
      <c r="C2324" s="13"/>
    </row>
    <row r="2325" spans="3:3" x14ac:dyDescent="0.3">
      <c r="C2325" s="13"/>
    </row>
    <row r="2326" spans="3:3" x14ac:dyDescent="0.3">
      <c r="C2326" s="13"/>
    </row>
    <row r="2327" spans="3:3" x14ac:dyDescent="0.3">
      <c r="C2327" s="13"/>
    </row>
    <row r="2328" spans="3:3" x14ac:dyDescent="0.3">
      <c r="C2328" s="13"/>
    </row>
    <row r="2329" spans="3:3" x14ac:dyDescent="0.3">
      <c r="C2329" s="13"/>
    </row>
    <row r="2330" spans="3:3" x14ac:dyDescent="0.3">
      <c r="C2330" s="13"/>
    </row>
    <row r="2331" spans="3:3" x14ac:dyDescent="0.3">
      <c r="C2331" s="13"/>
    </row>
    <row r="2332" spans="3:3" x14ac:dyDescent="0.3">
      <c r="C2332" s="13"/>
    </row>
    <row r="2333" spans="3:3" x14ac:dyDescent="0.3">
      <c r="C2333" s="13"/>
    </row>
    <row r="2334" spans="3:3" x14ac:dyDescent="0.3">
      <c r="C2334" s="13"/>
    </row>
    <row r="2335" spans="3:3" x14ac:dyDescent="0.3">
      <c r="C2335" s="13"/>
    </row>
    <row r="2336" spans="3:3" x14ac:dyDescent="0.3">
      <c r="C2336" s="13"/>
    </row>
    <row r="2337" spans="3:3" x14ac:dyDescent="0.3">
      <c r="C2337" s="13"/>
    </row>
    <row r="2338" spans="3:3" x14ac:dyDescent="0.3">
      <c r="C2338" s="13"/>
    </row>
    <row r="2339" spans="3:3" x14ac:dyDescent="0.3">
      <c r="C2339" s="13"/>
    </row>
    <row r="2340" spans="3:3" x14ac:dyDescent="0.3">
      <c r="C2340" s="13"/>
    </row>
    <row r="2341" spans="3:3" x14ac:dyDescent="0.3">
      <c r="C2341" s="13"/>
    </row>
    <row r="2342" spans="3:3" x14ac:dyDescent="0.3">
      <c r="C2342" s="13"/>
    </row>
    <row r="2343" spans="3:3" x14ac:dyDescent="0.3">
      <c r="C2343" s="13"/>
    </row>
    <row r="2344" spans="3:3" x14ac:dyDescent="0.3">
      <c r="C2344" s="13"/>
    </row>
    <row r="2345" spans="3:3" x14ac:dyDescent="0.3">
      <c r="C2345" s="13"/>
    </row>
    <row r="2346" spans="3:3" x14ac:dyDescent="0.3">
      <c r="C2346" s="13"/>
    </row>
    <row r="2347" spans="3:3" x14ac:dyDescent="0.3">
      <c r="C2347" s="13"/>
    </row>
    <row r="2348" spans="3:3" x14ac:dyDescent="0.3">
      <c r="C2348" s="13"/>
    </row>
    <row r="2349" spans="3:3" x14ac:dyDescent="0.3">
      <c r="C2349" s="13"/>
    </row>
    <row r="2350" spans="3:3" x14ac:dyDescent="0.3">
      <c r="C2350" s="13"/>
    </row>
    <row r="2351" spans="3:3" x14ac:dyDescent="0.3">
      <c r="C2351" s="13"/>
    </row>
    <row r="2352" spans="3:3" x14ac:dyDescent="0.3">
      <c r="C2352" s="13"/>
    </row>
    <row r="2353" spans="3:3" x14ac:dyDescent="0.3">
      <c r="C2353" s="13"/>
    </row>
    <row r="2354" spans="3:3" x14ac:dyDescent="0.3">
      <c r="C2354" s="13"/>
    </row>
    <row r="2355" spans="3:3" x14ac:dyDescent="0.3">
      <c r="C2355" s="13"/>
    </row>
    <row r="2356" spans="3:3" x14ac:dyDescent="0.3">
      <c r="C2356" s="13"/>
    </row>
    <row r="2357" spans="3:3" x14ac:dyDescent="0.3">
      <c r="C2357" s="13"/>
    </row>
    <row r="2358" spans="3:3" x14ac:dyDescent="0.3">
      <c r="C2358" s="13"/>
    </row>
    <row r="2359" spans="3:3" x14ac:dyDescent="0.3">
      <c r="C2359" s="13"/>
    </row>
    <row r="2360" spans="3:3" x14ac:dyDescent="0.3">
      <c r="C2360" s="13"/>
    </row>
    <row r="2361" spans="3:3" x14ac:dyDescent="0.3">
      <c r="C2361" s="13"/>
    </row>
    <row r="2362" spans="3:3" x14ac:dyDescent="0.3">
      <c r="C2362" s="13"/>
    </row>
    <row r="2363" spans="3:3" x14ac:dyDescent="0.3">
      <c r="C2363" s="13"/>
    </row>
    <row r="2364" spans="3:3" x14ac:dyDescent="0.3">
      <c r="C2364" s="13"/>
    </row>
    <row r="2365" spans="3:3" x14ac:dyDescent="0.3">
      <c r="C2365" s="13"/>
    </row>
    <row r="2366" spans="3:3" x14ac:dyDescent="0.3">
      <c r="C2366" s="13"/>
    </row>
    <row r="2367" spans="3:3" x14ac:dyDescent="0.3">
      <c r="C2367" s="13"/>
    </row>
    <row r="2368" spans="3:3" x14ac:dyDescent="0.3">
      <c r="C2368" s="13"/>
    </row>
    <row r="2369" spans="3:3" x14ac:dyDescent="0.3">
      <c r="C2369" s="13"/>
    </row>
    <row r="2370" spans="3:3" x14ac:dyDescent="0.3">
      <c r="C2370" s="13"/>
    </row>
    <row r="2371" spans="3:3" x14ac:dyDescent="0.3">
      <c r="C2371" s="13"/>
    </row>
    <row r="2372" spans="3:3" x14ac:dyDescent="0.3">
      <c r="C2372" s="13"/>
    </row>
    <row r="2373" spans="3:3" x14ac:dyDescent="0.3">
      <c r="C2373" s="13"/>
    </row>
    <row r="2374" spans="3:3" x14ac:dyDescent="0.3">
      <c r="C2374" s="13"/>
    </row>
    <row r="2375" spans="3:3" x14ac:dyDescent="0.3">
      <c r="C2375" s="13"/>
    </row>
    <row r="2376" spans="3:3" x14ac:dyDescent="0.3">
      <c r="C2376" s="13"/>
    </row>
    <row r="2377" spans="3:3" x14ac:dyDescent="0.3">
      <c r="C2377" s="13"/>
    </row>
    <row r="2378" spans="3:3" x14ac:dyDescent="0.3">
      <c r="C2378" s="13"/>
    </row>
    <row r="2379" spans="3:3" x14ac:dyDescent="0.3">
      <c r="C2379" s="13"/>
    </row>
    <row r="2380" spans="3:3" x14ac:dyDescent="0.3">
      <c r="C2380" s="13"/>
    </row>
    <row r="2381" spans="3:3" x14ac:dyDescent="0.3">
      <c r="C2381" s="13"/>
    </row>
    <row r="2382" spans="3:3" x14ac:dyDescent="0.3">
      <c r="C2382" s="13"/>
    </row>
    <row r="2383" spans="3:3" x14ac:dyDescent="0.3">
      <c r="C2383" s="13"/>
    </row>
    <row r="2384" spans="3:3" x14ac:dyDescent="0.3">
      <c r="C2384" s="13"/>
    </row>
    <row r="2385" spans="3:3" x14ac:dyDescent="0.3">
      <c r="C2385" s="13"/>
    </row>
    <row r="2386" spans="3:3" x14ac:dyDescent="0.3">
      <c r="C2386" s="13"/>
    </row>
    <row r="2387" spans="3:3" x14ac:dyDescent="0.3">
      <c r="C2387" s="13"/>
    </row>
    <row r="2388" spans="3:3" x14ac:dyDescent="0.3">
      <c r="C2388" s="13"/>
    </row>
    <row r="2389" spans="3:3" x14ac:dyDescent="0.3">
      <c r="C2389" s="13"/>
    </row>
    <row r="2390" spans="3:3" x14ac:dyDescent="0.3">
      <c r="C2390" s="13"/>
    </row>
    <row r="2391" spans="3:3" x14ac:dyDescent="0.3">
      <c r="C2391" s="13"/>
    </row>
    <row r="2392" spans="3:3" x14ac:dyDescent="0.3">
      <c r="C2392" s="13"/>
    </row>
    <row r="2393" spans="3:3" x14ac:dyDescent="0.3">
      <c r="C2393" s="13"/>
    </row>
    <row r="2394" spans="3:3" x14ac:dyDescent="0.3">
      <c r="C2394" s="13"/>
    </row>
    <row r="2395" spans="3:3" x14ac:dyDescent="0.3">
      <c r="C2395" s="13"/>
    </row>
    <row r="2396" spans="3:3" x14ac:dyDescent="0.3">
      <c r="C2396" s="13"/>
    </row>
    <row r="2397" spans="3:3" x14ac:dyDescent="0.3">
      <c r="C2397" s="13"/>
    </row>
    <row r="2398" spans="3:3" x14ac:dyDescent="0.3">
      <c r="C2398" s="13"/>
    </row>
    <row r="2399" spans="3:3" x14ac:dyDescent="0.3">
      <c r="C2399" s="13"/>
    </row>
    <row r="2400" spans="3:3" x14ac:dyDescent="0.3">
      <c r="C2400" s="13"/>
    </row>
    <row r="2401" spans="3:3" x14ac:dyDescent="0.3">
      <c r="C2401" s="13"/>
    </row>
    <row r="2402" spans="3:3" x14ac:dyDescent="0.3">
      <c r="C2402" s="13"/>
    </row>
    <row r="2403" spans="3:3" x14ac:dyDescent="0.3">
      <c r="C2403" s="13"/>
    </row>
    <row r="2404" spans="3:3" x14ac:dyDescent="0.3">
      <c r="C2404" s="13"/>
    </row>
    <row r="2405" spans="3:3" x14ac:dyDescent="0.3">
      <c r="C2405" s="13"/>
    </row>
    <row r="2406" spans="3:3" x14ac:dyDescent="0.3">
      <c r="C2406" s="13"/>
    </row>
    <row r="2407" spans="3:3" x14ac:dyDescent="0.3">
      <c r="C2407" s="13"/>
    </row>
    <row r="2408" spans="3:3" x14ac:dyDescent="0.3">
      <c r="C2408" s="13"/>
    </row>
    <row r="2409" spans="3:3" x14ac:dyDescent="0.3">
      <c r="C2409" s="13"/>
    </row>
    <row r="2410" spans="3:3" x14ac:dyDescent="0.3">
      <c r="C2410" s="13"/>
    </row>
    <row r="2411" spans="3:3" x14ac:dyDescent="0.3">
      <c r="C2411" s="13"/>
    </row>
    <row r="2412" spans="3:3" x14ac:dyDescent="0.3">
      <c r="C2412" s="13"/>
    </row>
    <row r="2413" spans="3:3" x14ac:dyDescent="0.3">
      <c r="C2413" s="13"/>
    </row>
    <row r="2414" spans="3:3" x14ac:dyDescent="0.3">
      <c r="C2414" s="13"/>
    </row>
    <row r="2415" spans="3:3" x14ac:dyDescent="0.3">
      <c r="C2415" s="13"/>
    </row>
    <row r="2416" spans="3:3" x14ac:dyDescent="0.3">
      <c r="C2416" s="13"/>
    </row>
    <row r="2417" spans="3:3" x14ac:dyDescent="0.3">
      <c r="C2417" s="13"/>
    </row>
    <row r="2418" spans="3:3" x14ac:dyDescent="0.3">
      <c r="C2418" s="13"/>
    </row>
    <row r="2419" spans="3:3" x14ac:dyDescent="0.3">
      <c r="C2419" s="13"/>
    </row>
    <row r="2420" spans="3:3" x14ac:dyDescent="0.3">
      <c r="C2420" s="13"/>
    </row>
    <row r="2421" spans="3:3" x14ac:dyDescent="0.3">
      <c r="C2421" s="13"/>
    </row>
    <row r="2422" spans="3:3" x14ac:dyDescent="0.3">
      <c r="C2422" s="13"/>
    </row>
    <row r="2423" spans="3:3" x14ac:dyDescent="0.3">
      <c r="C2423" s="13"/>
    </row>
    <row r="2424" spans="3:3" x14ac:dyDescent="0.3">
      <c r="C2424" s="13"/>
    </row>
    <row r="2425" spans="3:3" x14ac:dyDescent="0.3">
      <c r="C2425" s="13"/>
    </row>
    <row r="2426" spans="3:3" x14ac:dyDescent="0.3">
      <c r="C2426" s="13"/>
    </row>
    <row r="2427" spans="3:3" x14ac:dyDescent="0.3">
      <c r="C2427" s="13"/>
    </row>
    <row r="2428" spans="3:3" x14ac:dyDescent="0.3">
      <c r="C2428" s="13"/>
    </row>
    <row r="2429" spans="3:3" x14ac:dyDescent="0.3">
      <c r="C2429" s="13"/>
    </row>
    <row r="2430" spans="3:3" x14ac:dyDescent="0.3">
      <c r="C2430" s="13"/>
    </row>
    <row r="2431" spans="3:3" x14ac:dyDescent="0.3">
      <c r="C2431" s="13"/>
    </row>
    <row r="2432" spans="3:3" x14ac:dyDescent="0.3">
      <c r="C2432" s="13"/>
    </row>
    <row r="2433" spans="3:3" x14ac:dyDescent="0.3">
      <c r="C2433" s="13"/>
    </row>
    <row r="2434" spans="3:3" x14ac:dyDescent="0.3">
      <c r="C2434" s="13"/>
    </row>
    <row r="2435" spans="3:3" x14ac:dyDescent="0.3">
      <c r="C2435" s="13"/>
    </row>
    <row r="2436" spans="3:3" x14ac:dyDescent="0.3">
      <c r="C2436" s="13"/>
    </row>
    <row r="2437" spans="3:3" x14ac:dyDescent="0.3">
      <c r="C2437" s="13"/>
    </row>
    <row r="2438" spans="3:3" x14ac:dyDescent="0.3">
      <c r="C2438" s="13"/>
    </row>
    <row r="2439" spans="3:3" x14ac:dyDescent="0.3">
      <c r="C2439" s="13"/>
    </row>
    <row r="2440" spans="3:3" x14ac:dyDescent="0.3">
      <c r="C2440" s="13"/>
    </row>
    <row r="2441" spans="3:3" x14ac:dyDescent="0.3">
      <c r="C2441" s="13"/>
    </row>
    <row r="2442" spans="3:3" x14ac:dyDescent="0.3">
      <c r="C2442" s="13"/>
    </row>
    <row r="2443" spans="3:3" x14ac:dyDescent="0.3">
      <c r="C2443" s="13"/>
    </row>
    <row r="2444" spans="3:3" x14ac:dyDescent="0.3">
      <c r="C2444" s="13"/>
    </row>
    <row r="2445" spans="3:3" x14ac:dyDescent="0.3">
      <c r="C2445" s="13"/>
    </row>
    <row r="2446" spans="3:3" x14ac:dyDescent="0.3">
      <c r="C2446" s="13"/>
    </row>
    <row r="2447" spans="3:3" x14ac:dyDescent="0.3">
      <c r="C2447" s="13"/>
    </row>
    <row r="2448" spans="3:3" x14ac:dyDescent="0.3">
      <c r="C2448" s="13"/>
    </row>
    <row r="2449" spans="3:3" x14ac:dyDescent="0.3">
      <c r="C2449" s="13"/>
    </row>
    <row r="2450" spans="3:3" x14ac:dyDescent="0.3">
      <c r="C2450" s="13"/>
    </row>
    <row r="2451" spans="3:3" x14ac:dyDescent="0.3">
      <c r="C2451" s="13"/>
    </row>
    <row r="2452" spans="3:3" x14ac:dyDescent="0.3">
      <c r="C2452" s="13"/>
    </row>
    <row r="2453" spans="3:3" x14ac:dyDescent="0.3">
      <c r="C2453" s="13"/>
    </row>
    <row r="2454" spans="3:3" x14ac:dyDescent="0.3">
      <c r="C2454" s="13"/>
    </row>
    <row r="2455" spans="3:3" x14ac:dyDescent="0.3">
      <c r="C2455" s="13"/>
    </row>
    <row r="2456" spans="3:3" x14ac:dyDescent="0.3">
      <c r="C2456" s="13"/>
    </row>
    <row r="2457" spans="3:3" x14ac:dyDescent="0.3">
      <c r="C2457" s="13"/>
    </row>
    <row r="2458" spans="3:3" x14ac:dyDescent="0.3">
      <c r="C2458" s="13"/>
    </row>
    <row r="2459" spans="3:3" x14ac:dyDescent="0.3">
      <c r="C2459" s="13"/>
    </row>
    <row r="2460" spans="3:3" x14ac:dyDescent="0.3">
      <c r="C2460" s="13"/>
    </row>
    <row r="2461" spans="3:3" x14ac:dyDescent="0.3">
      <c r="C2461" s="13"/>
    </row>
    <row r="2462" spans="3:3" x14ac:dyDescent="0.3">
      <c r="C2462" s="13"/>
    </row>
    <row r="2463" spans="3:3" x14ac:dyDescent="0.3">
      <c r="C2463" s="13"/>
    </row>
    <row r="2464" spans="3:3" x14ac:dyDescent="0.3">
      <c r="C2464" s="13"/>
    </row>
    <row r="2465" spans="3:3" x14ac:dyDescent="0.3">
      <c r="C2465" s="13"/>
    </row>
    <row r="2466" spans="3:3" x14ac:dyDescent="0.3">
      <c r="C2466" s="13"/>
    </row>
    <row r="2467" spans="3:3" x14ac:dyDescent="0.3">
      <c r="C2467" s="13"/>
    </row>
    <row r="2468" spans="3:3" x14ac:dyDescent="0.3">
      <c r="C2468" s="13"/>
    </row>
    <row r="2469" spans="3:3" x14ac:dyDescent="0.3">
      <c r="C2469" s="13"/>
    </row>
    <row r="2470" spans="3:3" x14ac:dyDescent="0.3">
      <c r="C2470" s="13"/>
    </row>
    <row r="2471" spans="3:3" x14ac:dyDescent="0.3">
      <c r="C2471" s="13"/>
    </row>
    <row r="2472" spans="3:3" x14ac:dyDescent="0.3">
      <c r="C2472" s="13"/>
    </row>
    <row r="2473" spans="3:3" x14ac:dyDescent="0.3">
      <c r="C2473" s="13"/>
    </row>
    <row r="2474" spans="3:3" x14ac:dyDescent="0.3">
      <c r="C2474" s="13"/>
    </row>
    <row r="2475" spans="3:3" x14ac:dyDescent="0.3">
      <c r="C2475" s="13"/>
    </row>
    <row r="2476" spans="3:3" x14ac:dyDescent="0.3">
      <c r="C2476" s="13"/>
    </row>
    <row r="2477" spans="3:3" x14ac:dyDescent="0.3">
      <c r="C2477" s="13"/>
    </row>
    <row r="2478" spans="3:3" x14ac:dyDescent="0.3">
      <c r="C2478" s="13"/>
    </row>
    <row r="2479" spans="3:3" x14ac:dyDescent="0.3">
      <c r="C2479" s="13"/>
    </row>
    <row r="2480" spans="3:3" x14ac:dyDescent="0.3">
      <c r="C2480" s="13"/>
    </row>
    <row r="2481" spans="3:3" x14ac:dyDescent="0.3">
      <c r="C2481" s="13"/>
    </row>
    <row r="2482" spans="3:3" x14ac:dyDescent="0.3">
      <c r="C2482" s="13"/>
    </row>
    <row r="2483" spans="3:3" x14ac:dyDescent="0.3">
      <c r="C2483" s="13"/>
    </row>
    <row r="2484" spans="3:3" x14ac:dyDescent="0.3">
      <c r="C2484" s="13"/>
    </row>
    <row r="2485" spans="3:3" x14ac:dyDescent="0.3">
      <c r="C2485" s="13"/>
    </row>
    <row r="2486" spans="3:3" x14ac:dyDescent="0.3">
      <c r="C2486" s="13"/>
    </row>
    <row r="2487" spans="3:3" x14ac:dyDescent="0.3">
      <c r="C2487" s="13"/>
    </row>
    <row r="2488" spans="3:3" x14ac:dyDescent="0.3">
      <c r="C2488" s="13"/>
    </row>
    <row r="2489" spans="3:3" x14ac:dyDescent="0.3">
      <c r="C2489" s="13"/>
    </row>
    <row r="2490" spans="3:3" x14ac:dyDescent="0.3">
      <c r="C2490" s="13"/>
    </row>
    <row r="2491" spans="3:3" x14ac:dyDescent="0.3">
      <c r="C2491" s="13"/>
    </row>
    <row r="2492" spans="3:3" x14ac:dyDescent="0.3">
      <c r="C2492" s="13"/>
    </row>
    <row r="2493" spans="3:3" x14ac:dyDescent="0.3">
      <c r="C2493" s="13"/>
    </row>
    <row r="2494" spans="3:3" x14ac:dyDescent="0.3">
      <c r="C2494" s="13"/>
    </row>
    <row r="2495" spans="3:3" x14ac:dyDescent="0.3">
      <c r="C2495" s="13"/>
    </row>
    <row r="2496" spans="3:3" x14ac:dyDescent="0.3">
      <c r="C2496" s="13"/>
    </row>
    <row r="2497" spans="3:3" x14ac:dyDescent="0.3">
      <c r="C2497" s="13"/>
    </row>
    <row r="2498" spans="3:3" x14ac:dyDescent="0.3">
      <c r="C2498" s="13"/>
    </row>
    <row r="2499" spans="3:3" x14ac:dyDescent="0.3">
      <c r="C2499" s="13"/>
    </row>
    <row r="2500" spans="3:3" x14ac:dyDescent="0.3">
      <c r="C2500" s="13"/>
    </row>
    <row r="2501" spans="3:3" x14ac:dyDescent="0.3">
      <c r="C2501" s="13"/>
    </row>
    <row r="2502" spans="3:3" x14ac:dyDescent="0.3">
      <c r="C2502" s="13"/>
    </row>
    <row r="2503" spans="3:3" x14ac:dyDescent="0.3">
      <c r="C2503" s="13"/>
    </row>
    <row r="2504" spans="3:3" x14ac:dyDescent="0.3">
      <c r="C2504" s="13"/>
    </row>
    <row r="2505" spans="3:3" x14ac:dyDescent="0.3">
      <c r="C2505" s="13"/>
    </row>
    <row r="2506" spans="3:3" x14ac:dyDescent="0.3">
      <c r="C2506" s="13"/>
    </row>
    <row r="2507" spans="3:3" x14ac:dyDescent="0.3">
      <c r="C2507" s="13"/>
    </row>
    <row r="2508" spans="3:3" x14ac:dyDescent="0.3">
      <c r="C2508" s="13"/>
    </row>
    <row r="2509" spans="3:3" x14ac:dyDescent="0.3">
      <c r="C2509" s="13"/>
    </row>
    <row r="2510" spans="3:3" x14ac:dyDescent="0.3">
      <c r="C2510" s="13"/>
    </row>
    <row r="2511" spans="3:3" x14ac:dyDescent="0.3">
      <c r="C2511" s="13"/>
    </row>
    <row r="2512" spans="3:3" x14ac:dyDescent="0.3">
      <c r="C2512" s="13"/>
    </row>
    <row r="2513" spans="3:3" x14ac:dyDescent="0.3">
      <c r="C2513" s="13"/>
    </row>
    <row r="2514" spans="3:3" x14ac:dyDescent="0.3">
      <c r="C2514" s="13"/>
    </row>
    <row r="2515" spans="3:3" x14ac:dyDescent="0.3">
      <c r="C2515" s="13"/>
    </row>
    <row r="2516" spans="3:3" x14ac:dyDescent="0.3">
      <c r="C2516" s="13"/>
    </row>
    <row r="2517" spans="3:3" x14ac:dyDescent="0.3">
      <c r="C2517" s="13"/>
    </row>
    <row r="2518" spans="3:3" x14ac:dyDescent="0.3">
      <c r="C2518" s="13"/>
    </row>
    <row r="2519" spans="3:3" x14ac:dyDescent="0.3">
      <c r="C2519" s="13"/>
    </row>
    <row r="2520" spans="3:3" x14ac:dyDescent="0.3">
      <c r="C2520" s="13"/>
    </row>
    <row r="2521" spans="3:3" x14ac:dyDescent="0.3">
      <c r="C2521" s="13"/>
    </row>
    <row r="2522" spans="3:3" x14ac:dyDescent="0.3">
      <c r="C2522" s="13"/>
    </row>
    <row r="2523" spans="3:3" x14ac:dyDescent="0.3">
      <c r="C2523" s="13"/>
    </row>
    <row r="2524" spans="3:3" x14ac:dyDescent="0.3">
      <c r="C2524" s="13"/>
    </row>
    <row r="2525" spans="3:3" x14ac:dyDescent="0.3">
      <c r="C2525" s="13"/>
    </row>
    <row r="2526" spans="3:3" x14ac:dyDescent="0.3">
      <c r="C2526" s="13"/>
    </row>
    <row r="2527" spans="3:3" x14ac:dyDescent="0.3">
      <c r="C2527" s="13"/>
    </row>
    <row r="2528" spans="3:3" x14ac:dyDescent="0.3">
      <c r="C2528" s="13"/>
    </row>
    <row r="2529" spans="3:3" x14ac:dyDescent="0.3">
      <c r="C2529" s="13"/>
    </row>
    <row r="2530" spans="3:3" x14ac:dyDescent="0.3">
      <c r="C2530" s="13"/>
    </row>
    <row r="2531" spans="3:3" x14ac:dyDescent="0.3">
      <c r="C2531" s="13"/>
    </row>
    <row r="2532" spans="3:3" x14ac:dyDescent="0.3">
      <c r="C2532" s="13"/>
    </row>
    <row r="2533" spans="3:3" x14ac:dyDescent="0.3">
      <c r="C2533" s="13"/>
    </row>
    <row r="2534" spans="3:3" x14ac:dyDescent="0.3">
      <c r="C2534" s="13"/>
    </row>
    <row r="2535" spans="3:3" x14ac:dyDescent="0.3">
      <c r="C2535" s="13"/>
    </row>
    <row r="2536" spans="3:3" x14ac:dyDescent="0.3">
      <c r="C2536" s="13"/>
    </row>
    <row r="2537" spans="3:3" x14ac:dyDescent="0.3">
      <c r="C2537" s="13"/>
    </row>
    <row r="2538" spans="3:3" x14ac:dyDescent="0.3">
      <c r="C2538" s="13"/>
    </row>
    <row r="2539" spans="3:3" x14ac:dyDescent="0.3">
      <c r="C2539" s="13"/>
    </row>
    <row r="2540" spans="3:3" x14ac:dyDescent="0.3">
      <c r="C2540" s="13"/>
    </row>
    <row r="2541" spans="3:3" x14ac:dyDescent="0.3">
      <c r="C2541" s="13"/>
    </row>
    <row r="2542" spans="3:3" x14ac:dyDescent="0.3">
      <c r="C2542" s="13"/>
    </row>
    <row r="2543" spans="3:3" x14ac:dyDescent="0.3">
      <c r="C2543" s="13"/>
    </row>
    <row r="2544" spans="3:3" x14ac:dyDescent="0.3">
      <c r="C2544" s="13"/>
    </row>
    <row r="2545" spans="3:3" x14ac:dyDescent="0.3">
      <c r="C2545" s="13"/>
    </row>
    <row r="2546" spans="3:3" x14ac:dyDescent="0.3">
      <c r="C2546" s="13"/>
    </row>
    <row r="2547" spans="3:3" x14ac:dyDescent="0.3">
      <c r="C2547" s="13"/>
    </row>
    <row r="2548" spans="3:3" x14ac:dyDescent="0.3">
      <c r="C2548" s="13"/>
    </row>
    <row r="2549" spans="3:3" x14ac:dyDescent="0.3">
      <c r="C2549" s="13"/>
    </row>
    <row r="2550" spans="3:3" x14ac:dyDescent="0.3">
      <c r="C2550" s="13"/>
    </row>
    <row r="2551" spans="3:3" x14ac:dyDescent="0.3">
      <c r="C2551" s="13"/>
    </row>
    <row r="2552" spans="3:3" x14ac:dyDescent="0.3">
      <c r="C2552" s="13"/>
    </row>
    <row r="2553" spans="3:3" x14ac:dyDescent="0.3">
      <c r="C2553" s="13"/>
    </row>
    <row r="2554" spans="3:3" x14ac:dyDescent="0.3">
      <c r="C2554" s="13"/>
    </row>
    <row r="2555" spans="3:3" x14ac:dyDescent="0.3">
      <c r="C2555" s="13"/>
    </row>
    <row r="2556" spans="3:3" x14ac:dyDescent="0.3">
      <c r="C2556" s="13"/>
    </row>
    <row r="2557" spans="3:3" x14ac:dyDescent="0.3">
      <c r="C2557" s="13"/>
    </row>
    <row r="2558" spans="3:3" x14ac:dyDescent="0.3">
      <c r="C2558" s="13"/>
    </row>
    <row r="2559" spans="3:3" x14ac:dyDescent="0.3">
      <c r="C2559" s="13"/>
    </row>
    <row r="2560" spans="3:3" x14ac:dyDescent="0.3">
      <c r="C2560" s="13"/>
    </row>
    <row r="2561" spans="3:3" x14ac:dyDescent="0.3">
      <c r="C2561" s="13"/>
    </row>
    <row r="2562" spans="3:3" x14ac:dyDescent="0.3">
      <c r="C2562" s="13"/>
    </row>
    <row r="2563" spans="3:3" x14ac:dyDescent="0.3">
      <c r="C2563" s="13"/>
    </row>
    <row r="2564" spans="3:3" x14ac:dyDescent="0.3">
      <c r="C2564" s="13"/>
    </row>
    <row r="2565" spans="3:3" x14ac:dyDescent="0.3">
      <c r="C2565" s="13"/>
    </row>
    <row r="2566" spans="3:3" x14ac:dyDescent="0.3">
      <c r="C2566" s="13"/>
    </row>
    <row r="2567" spans="3:3" x14ac:dyDescent="0.3">
      <c r="C2567" s="13"/>
    </row>
    <row r="2568" spans="3:3" x14ac:dyDescent="0.3">
      <c r="C2568" s="13"/>
    </row>
    <row r="2569" spans="3:3" x14ac:dyDescent="0.3">
      <c r="C2569" s="13"/>
    </row>
    <row r="2570" spans="3:3" x14ac:dyDescent="0.3">
      <c r="C2570" s="13"/>
    </row>
    <row r="2571" spans="3:3" x14ac:dyDescent="0.3">
      <c r="C2571" s="13"/>
    </row>
    <row r="2572" spans="3:3" x14ac:dyDescent="0.3">
      <c r="C2572" s="13"/>
    </row>
    <row r="2573" spans="3:3" x14ac:dyDescent="0.3">
      <c r="C2573" s="13"/>
    </row>
    <row r="2574" spans="3:3" x14ac:dyDescent="0.3">
      <c r="C2574" s="13"/>
    </row>
    <row r="2575" spans="3:3" x14ac:dyDescent="0.3">
      <c r="C2575" s="13"/>
    </row>
    <row r="2576" spans="3:3" x14ac:dyDescent="0.3">
      <c r="C2576" s="13"/>
    </row>
    <row r="2577" spans="3:3" x14ac:dyDescent="0.3">
      <c r="C2577" s="13"/>
    </row>
    <row r="2578" spans="3:3" x14ac:dyDescent="0.3">
      <c r="C2578" s="13"/>
    </row>
    <row r="2579" spans="3:3" x14ac:dyDescent="0.3">
      <c r="C2579" s="13"/>
    </row>
    <row r="2580" spans="3:3" x14ac:dyDescent="0.3">
      <c r="C2580" s="13"/>
    </row>
    <row r="2581" spans="3:3" x14ac:dyDescent="0.3">
      <c r="C2581" s="13"/>
    </row>
    <row r="2582" spans="3:3" x14ac:dyDescent="0.3">
      <c r="C2582" s="13"/>
    </row>
    <row r="2583" spans="3:3" x14ac:dyDescent="0.3">
      <c r="C2583" s="13"/>
    </row>
    <row r="2584" spans="3:3" x14ac:dyDescent="0.3">
      <c r="C2584" s="13"/>
    </row>
    <row r="2585" spans="3:3" x14ac:dyDescent="0.3">
      <c r="C2585" s="13"/>
    </row>
    <row r="2586" spans="3:3" x14ac:dyDescent="0.3">
      <c r="C2586" s="13"/>
    </row>
    <row r="2587" spans="3:3" x14ac:dyDescent="0.3">
      <c r="C2587" s="13"/>
    </row>
    <row r="2588" spans="3:3" x14ac:dyDescent="0.3">
      <c r="C2588" s="13"/>
    </row>
    <row r="2589" spans="3:3" x14ac:dyDescent="0.3">
      <c r="C2589" s="13"/>
    </row>
    <row r="2590" spans="3:3" x14ac:dyDescent="0.3">
      <c r="C2590" s="13"/>
    </row>
    <row r="2591" spans="3:3" x14ac:dyDescent="0.3">
      <c r="C2591" s="13"/>
    </row>
    <row r="2592" spans="3:3" x14ac:dyDescent="0.3">
      <c r="C2592" s="13"/>
    </row>
    <row r="2593" spans="3:3" x14ac:dyDescent="0.3">
      <c r="C2593" s="13"/>
    </row>
    <row r="2594" spans="3:3" x14ac:dyDescent="0.3">
      <c r="C2594" s="13"/>
    </row>
    <row r="2595" spans="3:3" x14ac:dyDescent="0.3">
      <c r="C2595" s="13"/>
    </row>
    <row r="2596" spans="3:3" x14ac:dyDescent="0.3">
      <c r="C2596" s="13"/>
    </row>
    <row r="2597" spans="3:3" x14ac:dyDescent="0.3">
      <c r="C2597" s="13"/>
    </row>
    <row r="2598" spans="3:3" x14ac:dyDescent="0.3">
      <c r="C2598" s="13"/>
    </row>
    <row r="2599" spans="3:3" x14ac:dyDescent="0.3">
      <c r="C2599" s="13"/>
    </row>
    <row r="2600" spans="3:3" x14ac:dyDescent="0.3">
      <c r="C2600" s="13"/>
    </row>
    <row r="2601" spans="3:3" x14ac:dyDescent="0.3">
      <c r="C2601" s="13"/>
    </row>
    <row r="2602" spans="3:3" x14ac:dyDescent="0.3">
      <c r="C2602" s="13"/>
    </row>
    <row r="2603" spans="3:3" x14ac:dyDescent="0.3">
      <c r="C2603" s="13"/>
    </row>
    <row r="2604" spans="3:3" x14ac:dyDescent="0.3">
      <c r="C2604" s="13"/>
    </row>
    <row r="2605" spans="3:3" x14ac:dyDescent="0.3">
      <c r="C2605" s="13"/>
    </row>
    <row r="2606" spans="3:3" x14ac:dyDescent="0.3">
      <c r="C2606" s="13"/>
    </row>
    <row r="2607" spans="3:3" x14ac:dyDescent="0.3">
      <c r="C2607" s="13"/>
    </row>
    <row r="2608" spans="3:3" x14ac:dyDescent="0.3">
      <c r="C2608" s="13"/>
    </row>
    <row r="2609" spans="3:3" x14ac:dyDescent="0.3">
      <c r="C2609" s="13"/>
    </row>
    <row r="2610" spans="3:3" x14ac:dyDescent="0.3">
      <c r="C2610" s="13"/>
    </row>
    <row r="2611" spans="3:3" x14ac:dyDescent="0.3">
      <c r="C2611" s="13"/>
    </row>
    <row r="2612" spans="3:3" x14ac:dyDescent="0.3">
      <c r="C2612" s="13"/>
    </row>
    <row r="2613" spans="3:3" x14ac:dyDescent="0.3">
      <c r="C2613" s="13"/>
    </row>
    <row r="2614" spans="3:3" x14ac:dyDescent="0.3">
      <c r="C2614" s="13"/>
    </row>
    <row r="2615" spans="3:3" x14ac:dyDescent="0.3">
      <c r="C2615" s="13"/>
    </row>
    <row r="2616" spans="3:3" x14ac:dyDescent="0.3">
      <c r="C2616" s="13"/>
    </row>
    <row r="2617" spans="3:3" x14ac:dyDescent="0.3">
      <c r="C2617" s="13"/>
    </row>
    <row r="2618" spans="3:3" x14ac:dyDescent="0.3">
      <c r="C2618" s="13"/>
    </row>
    <row r="2619" spans="3:3" x14ac:dyDescent="0.3">
      <c r="C2619" s="13"/>
    </row>
    <row r="2620" spans="3:3" x14ac:dyDescent="0.3">
      <c r="C2620" s="13"/>
    </row>
    <row r="2621" spans="3:3" x14ac:dyDescent="0.3">
      <c r="C2621" s="13"/>
    </row>
    <row r="2622" spans="3:3" x14ac:dyDescent="0.3">
      <c r="C2622" s="13"/>
    </row>
    <row r="2623" spans="3:3" x14ac:dyDescent="0.3">
      <c r="C2623" s="13"/>
    </row>
    <row r="2624" spans="3:3" x14ac:dyDescent="0.3">
      <c r="C2624" s="13"/>
    </row>
    <row r="2625" spans="3:3" x14ac:dyDescent="0.3">
      <c r="C2625" s="13"/>
    </row>
    <row r="2626" spans="3:3" x14ac:dyDescent="0.3">
      <c r="C2626" s="13"/>
    </row>
    <row r="2627" spans="3:3" x14ac:dyDescent="0.3">
      <c r="C2627" s="13"/>
    </row>
    <row r="2628" spans="3:3" x14ac:dyDescent="0.3">
      <c r="C2628" s="13"/>
    </row>
    <row r="2629" spans="3:3" x14ac:dyDescent="0.3">
      <c r="C2629" s="13"/>
    </row>
    <row r="2630" spans="3:3" x14ac:dyDescent="0.3">
      <c r="C2630" s="13"/>
    </row>
    <row r="2631" spans="3:3" x14ac:dyDescent="0.3">
      <c r="C2631" s="13"/>
    </row>
    <row r="2632" spans="3:3" x14ac:dyDescent="0.3">
      <c r="C2632" s="13"/>
    </row>
    <row r="2633" spans="3:3" x14ac:dyDescent="0.3">
      <c r="C2633" s="13"/>
    </row>
    <row r="2634" spans="3:3" x14ac:dyDescent="0.3">
      <c r="C2634" s="13"/>
    </row>
    <row r="2635" spans="3:3" x14ac:dyDescent="0.3">
      <c r="C2635" s="13"/>
    </row>
    <row r="2636" spans="3:3" x14ac:dyDescent="0.3">
      <c r="C2636" s="13"/>
    </row>
    <row r="2637" spans="3:3" x14ac:dyDescent="0.3">
      <c r="C2637" s="13"/>
    </row>
    <row r="2638" spans="3:3" x14ac:dyDescent="0.3">
      <c r="C2638" s="13"/>
    </row>
    <row r="2639" spans="3:3" x14ac:dyDescent="0.3">
      <c r="C2639" s="13"/>
    </row>
    <row r="2640" spans="3:3" x14ac:dyDescent="0.3">
      <c r="C2640" s="13"/>
    </row>
    <row r="2641" spans="3:3" x14ac:dyDescent="0.3">
      <c r="C2641" s="13"/>
    </row>
    <row r="2642" spans="3:3" x14ac:dyDescent="0.3">
      <c r="C2642" s="13"/>
    </row>
    <row r="2643" spans="3:3" x14ac:dyDescent="0.3">
      <c r="C2643" s="13"/>
    </row>
    <row r="2644" spans="3:3" x14ac:dyDescent="0.3">
      <c r="C2644" s="13"/>
    </row>
    <row r="2645" spans="3:3" x14ac:dyDescent="0.3">
      <c r="C2645" s="13"/>
    </row>
    <row r="2646" spans="3:3" x14ac:dyDescent="0.3">
      <c r="C2646" s="13"/>
    </row>
    <row r="2647" spans="3:3" x14ac:dyDescent="0.3">
      <c r="C2647" s="13"/>
    </row>
    <row r="2648" spans="3:3" x14ac:dyDescent="0.3">
      <c r="C2648" s="13"/>
    </row>
    <row r="2649" spans="3:3" x14ac:dyDescent="0.3">
      <c r="C2649" s="13"/>
    </row>
    <row r="2650" spans="3:3" x14ac:dyDescent="0.3">
      <c r="C2650" s="13"/>
    </row>
    <row r="2651" spans="3:3" x14ac:dyDescent="0.3">
      <c r="C2651" s="13"/>
    </row>
    <row r="2652" spans="3:3" x14ac:dyDescent="0.3">
      <c r="C2652" s="13"/>
    </row>
    <row r="2653" spans="3:3" x14ac:dyDescent="0.3">
      <c r="C2653" s="13"/>
    </row>
    <row r="2654" spans="3:3" x14ac:dyDescent="0.3">
      <c r="C2654" s="13"/>
    </row>
    <row r="2655" spans="3:3" x14ac:dyDescent="0.3">
      <c r="C2655" s="13"/>
    </row>
    <row r="2656" spans="3:3" x14ac:dyDescent="0.3">
      <c r="C2656" s="13"/>
    </row>
    <row r="2657" spans="3:3" x14ac:dyDescent="0.3">
      <c r="C2657" s="13"/>
    </row>
    <row r="2658" spans="3:3" x14ac:dyDescent="0.3">
      <c r="C2658" s="13"/>
    </row>
    <row r="2659" spans="3:3" x14ac:dyDescent="0.3">
      <c r="C2659" s="13"/>
    </row>
    <row r="2660" spans="3:3" x14ac:dyDescent="0.3">
      <c r="C2660" s="13"/>
    </row>
    <row r="2661" spans="3:3" x14ac:dyDescent="0.3">
      <c r="C2661" s="13"/>
    </row>
    <row r="2662" spans="3:3" x14ac:dyDescent="0.3">
      <c r="C2662" s="13"/>
    </row>
    <row r="2663" spans="3:3" x14ac:dyDescent="0.3">
      <c r="C2663" s="13"/>
    </row>
    <row r="2664" spans="3:3" x14ac:dyDescent="0.3">
      <c r="C2664" s="13"/>
    </row>
    <row r="2665" spans="3:3" x14ac:dyDescent="0.3">
      <c r="C2665" s="13"/>
    </row>
    <row r="2666" spans="3:3" x14ac:dyDescent="0.3">
      <c r="C2666" s="13"/>
    </row>
    <row r="2667" spans="3:3" x14ac:dyDescent="0.3">
      <c r="C2667" s="13"/>
    </row>
    <row r="2668" spans="3:3" x14ac:dyDescent="0.3">
      <c r="C2668" s="13"/>
    </row>
    <row r="2669" spans="3:3" x14ac:dyDescent="0.3">
      <c r="C2669" s="13"/>
    </row>
    <row r="2670" spans="3:3" x14ac:dyDescent="0.3">
      <c r="C2670" s="13"/>
    </row>
    <row r="2671" spans="3:3" x14ac:dyDescent="0.3">
      <c r="C2671" s="13"/>
    </row>
    <row r="2672" spans="3:3" x14ac:dyDescent="0.3">
      <c r="C2672" s="13"/>
    </row>
    <row r="2673" spans="3:3" x14ac:dyDescent="0.3">
      <c r="C2673" s="13"/>
    </row>
    <row r="2674" spans="3:3" x14ac:dyDescent="0.3">
      <c r="C2674" s="13"/>
    </row>
    <row r="2675" spans="3:3" x14ac:dyDescent="0.3">
      <c r="C2675" s="13"/>
    </row>
    <row r="2676" spans="3:3" x14ac:dyDescent="0.3">
      <c r="C2676" s="13"/>
    </row>
    <row r="2677" spans="3:3" x14ac:dyDescent="0.3">
      <c r="C2677" s="13"/>
    </row>
    <row r="2678" spans="3:3" x14ac:dyDescent="0.3">
      <c r="C2678" s="13"/>
    </row>
    <row r="2679" spans="3:3" x14ac:dyDescent="0.3">
      <c r="C2679" s="13"/>
    </row>
    <row r="2680" spans="3:3" x14ac:dyDescent="0.3">
      <c r="C2680" s="13"/>
    </row>
    <row r="2681" spans="3:3" x14ac:dyDescent="0.3">
      <c r="C2681" s="13"/>
    </row>
    <row r="2682" spans="3:3" x14ac:dyDescent="0.3">
      <c r="C2682" s="13"/>
    </row>
    <row r="2683" spans="3:3" x14ac:dyDescent="0.3">
      <c r="C2683" s="13"/>
    </row>
    <row r="2684" spans="3:3" x14ac:dyDescent="0.3">
      <c r="C2684" s="13"/>
    </row>
    <row r="2685" spans="3:3" x14ac:dyDescent="0.3">
      <c r="C2685" s="13"/>
    </row>
    <row r="2686" spans="3:3" x14ac:dyDescent="0.3">
      <c r="C2686" s="13"/>
    </row>
    <row r="2687" spans="3:3" x14ac:dyDescent="0.3">
      <c r="C2687" s="13"/>
    </row>
    <row r="2688" spans="3:3" x14ac:dyDescent="0.3">
      <c r="C2688" s="13"/>
    </row>
    <row r="2689" spans="3:3" x14ac:dyDescent="0.3">
      <c r="C2689" s="13"/>
    </row>
    <row r="2690" spans="3:3" x14ac:dyDescent="0.3">
      <c r="C2690" s="13"/>
    </row>
    <row r="2691" spans="3:3" x14ac:dyDescent="0.3">
      <c r="C2691" s="13"/>
    </row>
    <row r="2692" spans="3:3" x14ac:dyDescent="0.3">
      <c r="C2692" s="13"/>
    </row>
    <row r="2693" spans="3:3" x14ac:dyDescent="0.3">
      <c r="C2693" s="13"/>
    </row>
    <row r="2694" spans="3:3" x14ac:dyDescent="0.3">
      <c r="C2694" s="13"/>
    </row>
    <row r="2695" spans="3:3" x14ac:dyDescent="0.3">
      <c r="C2695" s="13"/>
    </row>
    <row r="2696" spans="3:3" x14ac:dyDescent="0.3">
      <c r="C2696" s="13"/>
    </row>
    <row r="2697" spans="3:3" x14ac:dyDescent="0.3">
      <c r="C2697" s="13"/>
    </row>
    <row r="2698" spans="3:3" x14ac:dyDescent="0.3">
      <c r="C2698" s="13"/>
    </row>
    <row r="2699" spans="3:3" x14ac:dyDescent="0.3">
      <c r="C2699" s="13"/>
    </row>
    <row r="2700" spans="3:3" x14ac:dyDescent="0.3">
      <c r="C2700" s="13"/>
    </row>
    <row r="2701" spans="3:3" x14ac:dyDescent="0.3">
      <c r="C2701" s="13"/>
    </row>
    <row r="2702" spans="3:3" x14ac:dyDescent="0.3">
      <c r="C2702" s="13"/>
    </row>
    <row r="2703" spans="3:3" x14ac:dyDescent="0.3">
      <c r="C2703" s="13"/>
    </row>
    <row r="2704" spans="3:3" x14ac:dyDescent="0.3">
      <c r="C2704" s="13"/>
    </row>
    <row r="2705" spans="3:3" x14ac:dyDescent="0.3">
      <c r="C2705" s="13"/>
    </row>
    <row r="2706" spans="3:3" x14ac:dyDescent="0.3">
      <c r="C2706" s="13"/>
    </row>
    <row r="2707" spans="3:3" x14ac:dyDescent="0.3">
      <c r="C2707" s="13"/>
    </row>
    <row r="2708" spans="3:3" x14ac:dyDescent="0.3">
      <c r="C2708" s="13"/>
    </row>
    <row r="2709" spans="3:3" x14ac:dyDescent="0.3">
      <c r="C2709" s="13"/>
    </row>
    <row r="2710" spans="3:3" x14ac:dyDescent="0.3">
      <c r="C2710" s="13"/>
    </row>
    <row r="2711" spans="3:3" x14ac:dyDescent="0.3">
      <c r="C2711" s="13"/>
    </row>
    <row r="2712" spans="3:3" x14ac:dyDescent="0.3">
      <c r="C2712" s="13"/>
    </row>
    <row r="2713" spans="3:3" x14ac:dyDescent="0.3">
      <c r="C2713" s="13"/>
    </row>
    <row r="2714" spans="3:3" x14ac:dyDescent="0.3">
      <c r="C2714" s="13"/>
    </row>
    <row r="2715" spans="3:3" x14ac:dyDescent="0.3">
      <c r="C2715" s="13"/>
    </row>
    <row r="2716" spans="3:3" x14ac:dyDescent="0.3">
      <c r="C2716" s="13"/>
    </row>
    <row r="2717" spans="3:3" x14ac:dyDescent="0.3">
      <c r="C2717" s="13"/>
    </row>
    <row r="2718" spans="3:3" x14ac:dyDescent="0.3">
      <c r="C2718" s="13"/>
    </row>
    <row r="2719" spans="3:3" x14ac:dyDescent="0.3">
      <c r="C2719" s="13"/>
    </row>
    <row r="2720" spans="3:3" x14ac:dyDescent="0.3">
      <c r="C2720" s="13"/>
    </row>
    <row r="2721" spans="3:3" x14ac:dyDescent="0.3">
      <c r="C2721" s="13"/>
    </row>
    <row r="2722" spans="3:3" x14ac:dyDescent="0.3">
      <c r="C2722" s="13"/>
    </row>
    <row r="2723" spans="3:3" x14ac:dyDescent="0.3">
      <c r="C2723" s="13"/>
    </row>
    <row r="2724" spans="3:3" x14ac:dyDescent="0.3">
      <c r="C2724" s="13"/>
    </row>
    <row r="2725" spans="3:3" x14ac:dyDescent="0.3">
      <c r="C2725" s="13"/>
    </row>
    <row r="2726" spans="3:3" x14ac:dyDescent="0.3">
      <c r="C2726" s="13"/>
    </row>
    <row r="2727" spans="3:3" x14ac:dyDescent="0.3">
      <c r="C2727" s="13"/>
    </row>
    <row r="2728" spans="3:3" x14ac:dyDescent="0.3">
      <c r="C2728" s="13"/>
    </row>
    <row r="2729" spans="3:3" x14ac:dyDescent="0.3">
      <c r="C2729" s="13"/>
    </row>
    <row r="2730" spans="3:3" x14ac:dyDescent="0.3">
      <c r="C2730" s="13"/>
    </row>
    <row r="2731" spans="3:3" x14ac:dyDescent="0.3">
      <c r="C2731" s="13"/>
    </row>
    <row r="2732" spans="3:3" x14ac:dyDescent="0.3">
      <c r="C2732" s="13"/>
    </row>
    <row r="2733" spans="3:3" x14ac:dyDescent="0.3">
      <c r="C2733" s="13"/>
    </row>
    <row r="2734" spans="3:3" x14ac:dyDescent="0.3">
      <c r="C2734" s="13"/>
    </row>
    <row r="2735" spans="3:3" x14ac:dyDescent="0.3">
      <c r="C2735" s="13"/>
    </row>
    <row r="2736" spans="3:3" x14ac:dyDescent="0.3">
      <c r="C2736" s="13"/>
    </row>
    <row r="2737" spans="3:3" x14ac:dyDescent="0.3">
      <c r="C2737" s="13"/>
    </row>
    <row r="2738" spans="3:3" x14ac:dyDescent="0.3">
      <c r="C2738" s="13"/>
    </row>
    <row r="2739" spans="3:3" x14ac:dyDescent="0.3">
      <c r="C2739" s="13"/>
    </row>
    <row r="2740" spans="3:3" x14ac:dyDescent="0.3">
      <c r="C2740" s="13"/>
    </row>
    <row r="2741" spans="3:3" x14ac:dyDescent="0.3">
      <c r="C2741" s="13"/>
    </row>
    <row r="2742" spans="3:3" x14ac:dyDescent="0.3">
      <c r="C2742" s="13"/>
    </row>
    <row r="2743" spans="3:3" x14ac:dyDescent="0.3">
      <c r="C2743" s="13"/>
    </row>
    <row r="2744" spans="3:3" x14ac:dyDescent="0.3">
      <c r="C2744" s="13"/>
    </row>
    <row r="2745" spans="3:3" x14ac:dyDescent="0.3">
      <c r="C2745" s="13"/>
    </row>
    <row r="2746" spans="3:3" x14ac:dyDescent="0.3">
      <c r="C2746" s="13"/>
    </row>
    <row r="2747" spans="3:3" x14ac:dyDescent="0.3">
      <c r="C2747" s="13"/>
    </row>
    <row r="2748" spans="3:3" x14ac:dyDescent="0.3">
      <c r="C2748" s="13"/>
    </row>
    <row r="2749" spans="3:3" x14ac:dyDescent="0.3">
      <c r="C2749" s="13"/>
    </row>
    <row r="2750" spans="3:3" x14ac:dyDescent="0.3">
      <c r="C2750" s="13"/>
    </row>
    <row r="2751" spans="3:3" x14ac:dyDescent="0.3">
      <c r="C2751" s="13"/>
    </row>
    <row r="2752" spans="3:3" x14ac:dyDescent="0.3">
      <c r="C2752" s="13"/>
    </row>
    <row r="2753" spans="3:3" x14ac:dyDescent="0.3">
      <c r="C2753" s="13"/>
    </row>
    <row r="2754" spans="3:3" x14ac:dyDescent="0.3">
      <c r="C2754" s="13"/>
    </row>
    <row r="2755" spans="3:3" x14ac:dyDescent="0.3">
      <c r="C2755" s="13"/>
    </row>
    <row r="2756" spans="3:3" x14ac:dyDescent="0.3">
      <c r="C2756" s="13"/>
    </row>
    <row r="2757" spans="3:3" x14ac:dyDescent="0.3">
      <c r="C2757" s="13"/>
    </row>
    <row r="2758" spans="3:3" x14ac:dyDescent="0.3">
      <c r="C2758" s="13"/>
    </row>
    <row r="2759" spans="3:3" x14ac:dyDescent="0.3">
      <c r="C2759" s="13"/>
    </row>
    <row r="2760" spans="3:3" x14ac:dyDescent="0.3">
      <c r="C2760" s="13"/>
    </row>
    <row r="2761" spans="3:3" x14ac:dyDescent="0.3">
      <c r="C2761" s="13"/>
    </row>
    <row r="2762" spans="3:3" x14ac:dyDescent="0.3">
      <c r="C2762" s="13"/>
    </row>
    <row r="2763" spans="3:3" x14ac:dyDescent="0.3">
      <c r="C2763" s="13"/>
    </row>
    <row r="2764" spans="3:3" x14ac:dyDescent="0.3">
      <c r="C2764" s="13"/>
    </row>
    <row r="2765" spans="3:3" x14ac:dyDescent="0.3">
      <c r="C2765" s="13"/>
    </row>
    <row r="2766" spans="3:3" x14ac:dyDescent="0.3">
      <c r="C2766" s="13"/>
    </row>
    <row r="2767" spans="3:3" x14ac:dyDescent="0.3">
      <c r="C2767" s="13"/>
    </row>
    <row r="2768" spans="3:3" x14ac:dyDescent="0.3">
      <c r="C2768" s="13"/>
    </row>
    <row r="2769" spans="3:3" x14ac:dyDescent="0.3">
      <c r="C2769" s="13"/>
    </row>
    <row r="2770" spans="3:3" x14ac:dyDescent="0.3">
      <c r="C2770" s="13"/>
    </row>
    <row r="2771" spans="3:3" x14ac:dyDescent="0.3">
      <c r="C2771" s="13"/>
    </row>
    <row r="2772" spans="3:3" x14ac:dyDescent="0.3">
      <c r="C2772" s="13"/>
    </row>
    <row r="2773" spans="3:3" x14ac:dyDescent="0.3">
      <c r="C2773" s="13"/>
    </row>
    <row r="2774" spans="3:3" x14ac:dyDescent="0.3">
      <c r="C2774" s="13"/>
    </row>
    <row r="2775" spans="3:3" x14ac:dyDescent="0.3">
      <c r="C2775" s="13"/>
    </row>
    <row r="2776" spans="3:3" x14ac:dyDescent="0.3">
      <c r="C2776" s="13"/>
    </row>
    <row r="2777" spans="3:3" x14ac:dyDescent="0.3">
      <c r="C2777" s="13"/>
    </row>
    <row r="2778" spans="3:3" x14ac:dyDescent="0.3">
      <c r="C2778" s="13"/>
    </row>
    <row r="2779" spans="3:3" x14ac:dyDescent="0.3">
      <c r="C2779" s="13"/>
    </row>
    <row r="2780" spans="3:3" x14ac:dyDescent="0.3">
      <c r="C2780" s="13"/>
    </row>
    <row r="2781" spans="3:3" x14ac:dyDescent="0.3">
      <c r="C2781" s="13"/>
    </row>
    <row r="2782" spans="3:3" x14ac:dyDescent="0.3">
      <c r="C2782" s="13"/>
    </row>
    <row r="2783" spans="3:3" x14ac:dyDescent="0.3">
      <c r="C2783" s="13"/>
    </row>
    <row r="2784" spans="3:3" x14ac:dyDescent="0.3">
      <c r="C2784" s="13"/>
    </row>
    <row r="2785" spans="3:3" x14ac:dyDescent="0.3">
      <c r="C2785" s="13"/>
    </row>
    <row r="2786" spans="3:3" x14ac:dyDescent="0.3">
      <c r="C2786" s="13"/>
    </row>
    <row r="2787" spans="3:3" x14ac:dyDescent="0.3">
      <c r="C2787" s="13"/>
    </row>
    <row r="2788" spans="3:3" x14ac:dyDescent="0.3">
      <c r="C2788" s="13"/>
    </row>
    <row r="2789" spans="3:3" x14ac:dyDescent="0.3">
      <c r="C2789" s="13"/>
    </row>
    <row r="2790" spans="3:3" x14ac:dyDescent="0.3">
      <c r="C2790" s="13"/>
    </row>
    <row r="2791" spans="3:3" x14ac:dyDescent="0.3">
      <c r="C2791" s="13"/>
    </row>
    <row r="2792" spans="3:3" x14ac:dyDescent="0.3">
      <c r="C2792" s="13"/>
    </row>
    <row r="2793" spans="3:3" x14ac:dyDescent="0.3">
      <c r="C2793" s="13"/>
    </row>
    <row r="2794" spans="3:3" x14ac:dyDescent="0.3">
      <c r="C2794" s="13"/>
    </row>
    <row r="2795" spans="3:3" x14ac:dyDescent="0.3">
      <c r="C2795" s="13"/>
    </row>
    <row r="2796" spans="3:3" x14ac:dyDescent="0.3">
      <c r="C2796" s="13"/>
    </row>
    <row r="2797" spans="3:3" x14ac:dyDescent="0.3">
      <c r="C2797" s="13"/>
    </row>
    <row r="2798" spans="3:3" x14ac:dyDescent="0.3">
      <c r="C2798" s="13"/>
    </row>
    <row r="2799" spans="3:3" x14ac:dyDescent="0.3">
      <c r="C2799" s="13"/>
    </row>
    <row r="2800" spans="3:3" x14ac:dyDescent="0.3">
      <c r="C2800" s="13"/>
    </row>
    <row r="2801" spans="3:3" x14ac:dyDescent="0.3">
      <c r="C2801" s="13"/>
    </row>
    <row r="2802" spans="3:3" x14ac:dyDescent="0.3">
      <c r="C2802" s="13"/>
    </row>
    <row r="2803" spans="3:3" x14ac:dyDescent="0.3">
      <c r="C2803" s="13"/>
    </row>
    <row r="2804" spans="3:3" x14ac:dyDescent="0.3">
      <c r="C2804" s="13"/>
    </row>
    <row r="2805" spans="3:3" x14ac:dyDescent="0.3">
      <c r="C2805" s="13"/>
    </row>
    <row r="2806" spans="3:3" x14ac:dyDescent="0.3">
      <c r="C2806" s="13"/>
    </row>
    <row r="2807" spans="3:3" x14ac:dyDescent="0.3">
      <c r="C2807" s="13"/>
    </row>
    <row r="2808" spans="3:3" x14ac:dyDescent="0.3">
      <c r="C2808" s="13"/>
    </row>
    <row r="2809" spans="3:3" x14ac:dyDescent="0.3">
      <c r="C2809" s="13"/>
    </row>
    <row r="2810" spans="3:3" x14ac:dyDescent="0.3">
      <c r="C2810" s="13"/>
    </row>
    <row r="2811" spans="3:3" x14ac:dyDescent="0.3">
      <c r="C2811" s="13"/>
    </row>
    <row r="2812" spans="3:3" x14ac:dyDescent="0.3">
      <c r="C2812" s="13"/>
    </row>
    <row r="2813" spans="3:3" x14ac:dyDescent="0.3">
      <c r="C2813" s="13"/>
    </row>
    <row r="2814" spans="3:3" x14ac:dyDescent="0.3">
      <c r="C2814" s="13"/>
    </row>
    <row r="2815" spans="3:3" x14ac:dyDescent="0.3">
      <c r="C2815" s="13"/>
    </row>
    <row r="2816" spans="3:3" x14ac:dyDescent="0.3">
      <c r="C2816" s="13"/>
    </row>
    <row r="2817" spans="3:3" x14ac:dyDescent="0.3">
      <c r="C2817" s="13"/>
    </row>
    <row r="2818" spans="3:3" x14ac:dyDescent="0.3">
      <c r="C2818" s="13"/>
    </row>
    <row r="2819" spans="3:3" x14ac:dyDescent="0.3">
      <c r="C2819" s="13"/>
    </row>
    <row r="2820" spans="3:3" x14ac:dyDescent="0.3">
      <c r="C2820" s="13"/>
    </row>
    <row r="2821" spans="3:3" x14ac:dyDescent="0.3">
      <c r="C2821" s="13"/>
    </row>
    <row r="2822" spans="3:3" x14ac:dyDescent="0.3">
      <c r="C2822" s="13"/>
    </row>
    <row r="2823" spans="3:3" x14ac:dyDescent="0.3">
      <c r="C2823" s="13"/>
    </row>
    <row r="2824" spans="3:3" x14ac:dyDescent="0.3">
      <c r="C2824" s="13"/>
    </row>
    <row r="2825" spans="3:3" x14ac:dyDescent="0.3">
      <c r="C2825" s="13"/>
    </row>
    <row r="2826" spans="3:3" x14ac:dyDescent="0.3">
      <c r="C2826" s="13"/>
    </row>
    <row r="2827" spans="3:3" x14ac:dyDescent="0.3">
      <c r="C2827" s="13"/>
    </row>
    <row r="2828" spans="3:3" x14ac:dyDescent="0.3">
      <c r="C2828" s="13"/>
    </row>
    <row r="2829" spans="3:3" x14ac:dyDescent="0.3">
      <c r="C2829" s="13"/>
    </row>
    <row r="2830" spans="3:3" x14ac:dyDescent="0.3">
      <c r="C2830" s="13"/>
    </row>
    <row r="2831" spans="3:3" x14ac:dyDescent="0.3">
      <c r="C2831" s="13"/>
    </row>
    <row r="2832" spans="3:3" x14ac:dyDescent="0.3">
      <c r="C2832" s="13"/>
    </row>
    <row r="2833" spans="3:3" x14ac:dyDescent="0.3">
      <c r="C2833" s="13"/>
    </row>
    <row r="2834" spans="3:3" x14ac:dyDescent="0.3">
      <c r="C2834" s="13"/>
    </row>
    <row r="2835" spans="3:3" x14ac:dyDescent="0.3">
      <c r="C2835" s="13"/>
    </row>
    <row r="2836" spans="3:3" x14ac:dyDescent="0.3">
      <c r="C2836" s="13"/>
    </row>
    <row r="2837" spans="3:3" x14ac:dyDescent="0.3">
      <c r="C2837" s="13"/>
    </row>
    <row r="2838" spans="3:3" x14ac:dyDescent="0.3">
      <c r="C2838" s="13"/>
    </row>
    <row r="2839" spans="3:3" x14ac:dyDescent="0.3">
      <c r="C2839" s="13"/>
    </row>
    <row r="2840" spans="3:3" x14ac:dyDescent="0.3">
      <c r="C2840" s="13"/>
    </row>
    <row r="2841" spans="3:3" x14ac:dyDescent="0.3">
      <c r="C2841" s="13"/>
    </row>
    <row r="2842" spans="3:3" x14ac:dyDescent="0.3">
      <c r="C2842" s="13"/>
    </row>
    <row r="2843" spans="3:3" x14ac:dyDescent="0.3">
      <c r="C2843" s="13"/>
    </row>
    <row r="2844" spans="3:3" x14ac:dyDescent="0.3">
      <c r="C2844" s="13"/>
    </row>
    <row r="2845" spans="3:3" x14ac:dyDescent="0.3">
      <c r="C2845" s="13"/>
    </row>
    <row r="2846" spans="3:3" x14ac:dyDescent="0.3">
      <c r="C2846" s="13"/>
    </row>
    <row r="2847" spans="3:3" x14ac:dyDescent="0.3">
      <c r="C2847" s="13"/>
    </row>
    <row r="2848" spans="3:3" x14ac:dyDescent="0.3">
      <c r="C2848" s="13"/>
    </row>
    <row r="2849" spans="3:3" x14ac:dyDescent="0.3">
      <c r="C2849" s="13"/>
    </row>
    <row r="2850" spans="3:3" x14ac:dyDescent="0.3">
      <c r="C2850" s="13"/>
    </row>
    <row r="2851" spans="3:3" x14ac:dyDescent="0.3">
      <c r="C2851" s="13"/>
    </row>
    <row r="2852" spans="3:3" x14ac:dyDescent="0.3">
      <c r="C2852" s="13"/>
    </row>
    <row r="2853" spans="3:3" x14ac:dyDescent="0.3">
      <c r="C2853" s="13"/>
    </row>
    <row r="2854" spans="3:3" x14ac:dyDescent="0.3">
      <c r="C2854" s="13"/>
    </row>
    <row r="2855" spans="3:3" x14ac:dyDescent="0.3">
      <c r="C2855" s="13"/>
    </row>
    <row r="2856" spans="3:3" x14ac:dyDescent="0.3">
      <c r="C2856" s="13"/>
    </row>
    <row r="2857" spans="3:3" x14ac:dyDescent="0.3">
      <c r="C2857" s="13"/>
    </row>
    <row r="2858" spans="3:3" x14ac:dyDescent="0.3">
      <c r="C2858" s="13"/>
    </row>
    <row r="2859" spans="3:3" x14ac:dyDescent="0.3">
      <c r="C2859" s="13"/>
    </row>
    <row r="2860" spans="3:3" x14ac:dyDescent="0.3">
      <c r="C2860" s="13"/>
    </row>
    <row r="2861" spans="3:3" x14ac:dyDescent="0.3">
      <c r="C2861" s="13"/>
    </row>
    <row r="2862" spans="3:3" x14ac:dyDescent="0.3">
      <c r="C2862" s="13"/>
    </row>
    <row r="2863" spans="3:3" x14ac:dyDescent="0.3">
      <c r="C2863" s="13"/>
    </row>
    <row r="2864" spans="3:3" x14ac:dyDescent="0.3">
      <c r="C2864" s="13"/>
    </row>
    <row r="2865" spans="3:3" x14ac:dyDescent="0.3">
      <c r="C2865" s="13"/>
    </row>
    <row r="2866" spans="3:3" x14ac:dyDescent="0.3">
      <c r="C2866" s="13"/>
    </row>
    <row r="2867" spans="3:3" x14ac:dyDescent="0.3">
      <c r="C2867" s="13"/>
    </row>
    <row r="2868" spans="3:3" x14ac:dyDescent="0.3">
      <c r="C2868" s="13"/>
    </row>
    <row r="2869" spans="3:3" x14ac:dyDescent="0.3">
      <c r="C2869" s="13"/>
    </row>
    <row r="2870" spans="3:3" x14ac:dyDescent="0.3">
      <c r="C2870" s="13"/>
    </row>
    <row r="2871" spans="3:3" x14ac:dyDescent="0.3">
      <c r="C2871" s="13"/>
    </row>
    <row r="2872" spans="3:3" x14ac:dyDescent="0.3">
      <c r="C2872" s="13"/>
    </row>
    <row r="2873" spans="3:3" x14ac:dyDescent="0.3">
      <c r="C2873" s="13"/>
    </row>
    <row r="2874" spans="3:3" x14ac:dyDescent="0.3">
      <c r="C2874" s="13"/>
    </row>
    <row r="2875" spans="3:3" x14ac:dyDescent="0.3">
      <c r="C2875" s="13"/>
    </row>
    <row r="2876" spans="3:3" x14ac:dyDescent="0.3">
      <c r="C2876" s="13"/>
    </row>
    <row r="2877" spans="3:3" x14ac:dyDescent="0.3">
      <c r="C2877" s="13"/>
    </row>
    <row r="2878" spans="3:3" x14ac:dyDescent="0.3">
      <c r="C2878" s="13"/>
    </row>
    <row r="2879" spans="3:3" x14ac:dyDescent="0.3">
      <c r="C2879" s="13"/>
    </row>
    <row r="2880" spans="3:3" x14ac:dyDescent="0.3">
      <c r="C2880" s="13"/>
    </row>
    <row r="2881" spans="3:3" x14ac:dyDescent="0.3">
      <c r="C2881" s="13"/>
    </row>
    <row r="2882" spans="3:3" x14ac:dyDescent="0.3">
      <c r="C2882" s="13"/>
    </row>
    <row r="2883" spans="3:3" x14ac:dyDescent="0.3">
      <c r="C2883" s="13"/>
    </row>
    <row r="2884" spans="3:3" x14ac:dyDescent="0.3">
      <c r="C2884" s="13"/>
    </row>
    <row r="2885" spans="3:3" x14ac:dyDescent="0.3">
      <c r="C2885" s="13"/>
    </row>
    <row r="2886" spans="3:3" x14ac:dyDescent="0.3">
      <c r="C2886" s="13"/>
    </row>
    <row r="2887" spans="3:3" x14ac:dyDescent="0.3">
      <c r="C2887" s="13"/>
    </row>
    <row r="2888" spans="3:3" x14ac:dyDescent="0.3">
      <c r="C2888" s="13"/>
    </row>
    <row r="2889" spans="3:3" x14ac:dyDescent="0.3">
      <c r="C2889" s="13"/>
    </row>
    <row r="2890" spans="3:3" x14ac:dyDescent="0.3">
      <c r="C2890" s="13"/>
    </row>
    <row r="2891" spans="3:3" x14ac:dyDescent="0.3">
      <c r="C2891" s="13"/>
    </row>
    <row r="2892" spans="3:3" x14ac:dyDescent="0.3">
      <c r="C2892" s="13"/>
    </row>
    <row r="2893" spans="3:3" x14ac:dyDescent="0.3">
      <c r="C2893" s="13"/>
    </row>
    <row r="2894" spans="3:3" x14ac:dyDescent="0.3">
      <c r="C2894" s="13"/>
    </row>
    <row r="2895" spans="3:3" x14ac:dyDescent="0.3">
      <c r="C2895" s="13"/>
    </row>
    <row r="2896" spans="3:3" x14ac:dyDescent="0.3">
      <c r="C2896" s="13"/>
    </row>
    <row r="2897" spans="3:3" x14ac:dyDescent="0.3">
      <c r="C2897" s="13"/>
    </row>
    <row r="2898" spans="3:3" x14ac:dyDescent="0.3">
      <c r="C2898" s="13"/>
    </row>
    <row r="2899" spans="3:3" x14ac:dyDescent="0.3">
      <c r="C2899" s="13"/>
    </row>
    <row r="2900" spans="3:3" x14ac:dyDescent="0.3">
      <c r="C2900" s="13"/>
    </row>
    <row r="2901" spans="3:3" x14ac:dyDescent="0.3">
      <c r="C2901" s="13"/>
    </row>
    <row r="2902" spans="3:3" x14ac:dyDescent="0.3">
      <c r="C2902" s="13"/>
    </row>
    <row r="2903" spans="3:3" x14ac:dyDescent="0.3">
      <c r="C2903" s="13"/>
    </row>
    <row r="2904" spans="3:3" x14ac:dyDescent="0.3">
      <c r="C2904" s="13"/>
    </row>
    <row r="2905" spans="3:3" x14ac:dyDescent="0.3">
      <c r="C2905" s="13"/>
    </row>
    <row r="2906" spans="3:3" x14ac:dyDescent="0.3">
      <c r="C2906" s="13"/>
    </row>
    <row r="2907" spans="3:3" x14ac:dyDescent="0.3">
      <c r="C2907" s="13"/>
    </row>
    <row r="2908" spans="3:3" x14ac:dyDescent="0.3">
      <c r="C2908" s="13"/>
    </row>
    <row r="2909" spans="3:3" x14ac:dyDescent="0.3">
      <c r="C2909" s="13"/>
    </row>
    <row r="2910" spans="3:3" x14ac:dyDescent="0.3">
      <c r="C2910" s="13"/>
    </row>
    <row r="2911" spans="3:3" x14ac:dyDescent="0.3">
      <c r="C2911" s="13"/>
    </row>
    <row r="2912" spans="3:3" x14ac:dyDescent="0.3">
      <c r="C2912" s="13"/>
    </row>
    <row r="2913" spans="3:3" x14ac:dyDescent="0.3">
      <c r="C2913" s="13"/>
    </row>
    <row r="2914" spans="3:3" x14ac:dyDescent="0.3">
      <c r="C2914" s="13"/>
    </row>
    <row r="2915" spans="3:3" x14ac:dyDescent="0.3">
      <c r="C2915" s="13"/>
    </row>
    <row r="2916" spans="3:3" x14ac:dyDescent="0.3">
      <c r="C2916" s="13"/>
    </row>
    <row r="2917" spans="3:3" x14ac:dyDescent="0.3">
      <c r="C2917" s="13"/>
    </row>
    <row r="2918" spans="3:3" x14ac:dyDescent="0.3">
      <c r="C2918" s="13"/>
    </row>
    <row r="2919" spans="3:3" x14ac:dyDescent="0.3">
      <c r="C2919" s="13"/>
    </row>
    <row r="2920" spans="3:3" x14ac:dyDescent="0.3">
      <c r="C2920" s="13"/>
    </row>
    <row r="2921" spans="3:3" x14ac:dyDescent="0.3">
      <c r="C2921" s="13"/>
    </row>
    <row r="2922" spans="3:3" x14ac:dyDescent="0.3">
      <c r="C2922" s="13"/>
    </row>
    <row r="2923" spans="3:3" x14ac:dyDescent="0.3">
      <c r="C2923" s="13"/>
    </row>
    <row r="2924" spans="3:3" x14ac:dyDescent="0.3">
      <c r="C2924" s="13"/>
    </row>
    <row r="2925" spans="3:3" x14ac:dyDescent="0.3">
      <c r="C2925" s="13"/>
    </row>
    <row r="2926" spans="3:3" x14ac:dyDescent="0.3">
      <c r="C2926" s="13"/>
    </row>
    <row r="2927" spans="3:3" x14ac:dyDescent="0.3">
      <c r="C2927" s="13"/>
    </row>
    <row r="2928" spans="3:3" x14ac:dyDescent="0.3">
      <c r="C2928" s="13"/>
    </row>
    <row r="2929" spans="3:3" x14ac:dyDescent="0.3">
      <c r="C2929" s="13"/>
    </row>
    <row r="2930" spans="3:3" x14ac:dyDescent="0.3">
      <c r="C2930" s="13"/>
    </row>
    <row r="2931" spans="3:3" x14ac:dyDescent="0.3">
      <c r="C2931" s="13"/>
    </row>
    <row r="2932" spans="3:3" x14ac:dyDescent="0.3">
      <c r="C2932" s="13"/>
    </row>
    <row r="2933" spans="3:3" x14ac:dyDescent="0.3">
      <c r="C2933" s="13"/>
    </row>
    <row r="2934" spans="3:3" x14ac:dyDescent="0.3">
      <c r="C2934" s="13"/>
    </row>
    <row r="2935" spans="3:3" x14ac:dyDescent="0.3">
      <c r="C2935" s="13"/>
    </row>
    <row r="2936" spans="3:3" x14ac:dyDescent="0.3">
      <c r="C2936" s="13"/>
    </row>
    <row r="2937" spans="3:3" x14ac:dyDescent="0.3">
      <c r="C2937" s="13"/>
    </row>
    <row r="2938" spans="3:3" x14ac:dyDescent="0.3">
      <c r="C2938" s="13"/>
    </row>
    <row r="2939" spans="3:3" x14ac:dyDescent="0.3">
      <c r="C2939" s="13"/>
    </row>
    <row r="2940" spans="3:3" x14ac:dyDescent="0.3">
      <c r="C2940" s="13"/>
    </row>
    <row r="2941" spans="3:3" x14ac:dyDescent="0.3">
      <c r="C2941" s="13"/>
    </row>
    <row r="2942" spans="3:3" x14ac:dyDescent="0.3">
      <c r="C2942" s="13"/>
    </row>
    <row r="2943" spans="3:3" x14ac:dyDescent="0.3">
      <c r="C2943" s="13"/>
    </row>
    <row r="2944" spans="3:3" x14ac:dyDescent="0.3">
      <c r="C2944" s="13"/>
    </row>
    <row r="2945" spans="3:3" x14ac:dyDescent="0.3">
      <c r="C2945" s="13"/>
    </row>
    <row r="2946" spans="3:3" x14ac:dyDescent="0.3">
      <c r="C2946" s="13"/>
    </row>
    <row r="2947" spans="3:3" x14ac:dyDescent="0.3">
      <c r="C2947" s="13"/>
    </row>
    <row r="2948" spans="3:3" x14ac:dyDescent="0.3">
      <c r="C2948" s="13"/>
    </row>
    <row r="2949" spans="3:3" x14ac:dyDescent="0.3">
      <c r="C2949" s="13"/>
    </row>
    <row r="2950" spans="3:3" x14ac:dyDescent="0.3">
      <c r="C2950" s="13"/>
    </row>
    <row r="2951" spans="3:3" x14ac:dyDescent="0.3">
      <c r="C2951" s="13"/>
    </row>
    <row r="2952" spans="3:3" x14ac:dyDescent="0.3">
      <c r="C2952" s="13"/>
    </row>
    <row r="2953" spans="3:3" x14ac:dyDescent="0.3">
      <c r="C2953" s="13"/>
    </row>
    <row r="2954" spans="3:3" x14ac:dyDescent="0.3">
      <c r="C2954" s="13"/>
    </row>
    <row r="2955" spans="3:3" x14ac:dyDescent="0.3">
      <c r="C2955" s="13"/>
    </row>
    <row r="2956" spans="3:3" x14ac:dyDescent="0.3">
      <c r="C2956" s="13"/>
    </row>
    <row r="2957" spans="3:3" x14ac:dyDescent="0.3">
      <c r="C2957" s="13"/>
    </row>
    <row r="2958" spans="3:3" x14ac:dyDescent="0.3">
      <c r="C2958" s="13"/>
    </row>
    <row r="2959" spans="3:3" x14ac:dyDescent="0.3">
      <c r="C2959" s="13"/>
    </row>
    <row r="2960" spans="3:3" x14ac:dyDescent="0.3">
      <c r="C2960" s="13"/>
    </row>
    <row r="2961" spans="3:3" x14ac:dyDescent="0.3">
      <c r="C2961" s="13"/>
    </row>
    <row r="2962" spans="3:3" x14ac:dyDescent="0.3">
      <c r="C2962" s="13"/>
    </row>
    <row r="2963" spans="3:3" x14ac:dyDescent="0.3">
      <c r="C2963" s="13"/>
    </row>
    <row r="2964" spans="3:3" x14ac:dyDescent="0.3">
      <c r="C2964" s="13"/>
    </row>
    <row r="2965" spans="3:3" x14ac:dyDescent="0.3">
      <c r="C2965" s="13"/>
    </row>
    <row r="2966" spans="3:3" x14ac:dyDescent="0.3">
      <c r="C2966" s="13"/>
    </row>
    <row r="2967" spans="3:3" x14ac:dyDescent="0.3">
      <c r="C2967" s="13"/>
    </row>
    <row r="2968" spans="3:3" x14ac:dyDescent="0.3">
      <c r="C2968" s="13"/>
    </row>
    <row r="2969" spans="3:3" x14ac:dyDescent="0.3">
      <c r="C2969" s="13"/>
    </row>
    <row r="2970" spans="3:3" x14ac:dyDescent="0.3">
      <c r="C2970" s="13"/>
    </row>
    <row r="2971" spans="3:3" x14ac:dyDescent="0.3">
      <c r="C2971" s="13"/>
    </row>
    <row r="2972" spans="3:3" x14ac:dyDescent="0.3">
      <c r="C2972" s="13"/>
    </row>
    <row r="2973" spans="3:3" x14ac:dyDescent="0.3">
      <c r="C2973" s="13"/>
    </row>
    <row r="2974" spans="3:3" x14ac:dyDescent="0.3">
      <c r="C2974" s="13"/>
    </row>
    <row r="2975" spans="3:3" x14ac:dyDescent="0.3">
      <c r="C2975" s="13"/>
    </row>
    <row r="2976" spans="3:3" x14ac:dyDescent="0.3">
      <c r="C2976" s="13"/>
    </row>
    <row r="2977" spans="3:3" x14ac:dyDescent="0.3">
      <c r="C2977" s="13"/>
    </row>
    <row r="2978" spans="3:3" x14ac:dyDescent="0.3">
      <c r="C2978" s="13"/>
    </row>
    <row r="2979" spans="3:3" x14ac:dyDescent="0.3">
      <c r="C2979" s="13"/>
    </row>
    <row r="2980" spans="3:3" x14ac:dyDescent="0.3">
      <c r="C2980" s="13"/>
    </row>
    <row r="2981" spans="3:3" x14ac:dyDescent="0.3">
      <c r="C2981" s="13"/>
    </row>
    <row r="2982" spans="3:3" x14ac:dyDescent="0.3">
      <c r="C2982" s="13"/>
    </row>
    <row r="2983" spans="3:3" x14ac:dyDescent="0.3">
      <c r="C2983" s="13"/>
    </row>
    <row r="2984" spans="3:3" x14ac:dyDescent="0.3">
      <c r="C2984" s="13"/>
    </row>
    <row r="2985" spans="3:3" x14ac:dyDescent="0.3">
      <c r="C2985" s="13"/>
    </row>
    <row r="2986" spans="3:3" x14ac:dyDescent="0.3">
      <c r="C2986" s="13"/>
    </row>
    <row r="2987" spans="3:3" x14ac:dyDescent="0.3">
      <c r="C2987" s="13"/>
    </row>
    <row r="2988" spans="3:3" x14ac:dyDescent="0.3">
      <c r="C2988" s="13"/>
    </row>
    <row r="2989" spans="3:3" x14ac:dyDescent="0.3">
      <c r="C2989" s="13"/>
    </row>
    <row r="2990" spans="3:3" x14ac:dyDescent="0.3">
      <c r="C2990" s="13"/>
    </row>
    <row r="2991" spans="3:3" x14ac:dyDescent="0.3">
      <c r="C2991" s="13"/>
    </row>
    <row r="2992" spans="3:3" x14ac:dyDescent="0.3">
      <c r="C2992" s="13"/>
    </row>
    <row r="2993" spans="3:3" x14ac:dyDescent="0.3">
      <c r="C2993" s="13"/>
    </row>
    <row r="2994" spans="3:3" x14ac:dyDescent="0.3">
      <c r="C2994" s="13"/>
    </row>
    <row r="2995" spans="3:3" x14ac:dyDescent="0.3">
      <c r="C2995" s="13"/>
    </row>
    <row r="2996" spans="3:3" x14ac:dyDescent="0.3">
      <c r="C2996" s="13"/>
    </row>
    <row r="2997" spans="3:3" x14ac:dyDescent="0.3">
      <c r="C2997" s="13"/>
    </row>
    <row r="2998" spans="3:3" x14ac:dyDescent="0.3">
      <c r="C2998" s="13"/>
    </row>
    <row r="2999" spans="3:3" x14ac:dyDescent="0.3">
      <c r="C2999" s="13"/>
    </row>
    <row r="3000" spans="3:3" x14ac:dyDescent="0.3">
      <c r="C3000" s="13"/>
    </row>
    <row r="3001" spans="3:3" x14ac:dyDescent="0.3">
      <c r="C3001" s="13"/>
    </row>
    <row r="3002" spans="3:3" x14ac:dyDescent="0.3">
      <c r="C3002" s="13"/>
    </row>
    <row r="3003" spans="3:3" x14ac:dyDescent="0.3">
      <c r="C3003" s="13"/>
    </row>
    <row r="3004" spans="3:3" x14ac:dyDescent="0.3">
      <c r="C3004" s="13"/>
    </row>
  </sheetData>
  <mergeCells count="2">
    <mergeCell ref="C6:F6"/>
    <mergeCell ref="H6:K6"/>
  </mergeCells>
  <conditionalFormatting pivot="1" sqref="F11:F28">
    <cfRule type="dataBar" priority="2">
      <dataBar showValue="0"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{AA364177-C614-4F6A-B5AC-CA3166969539}</x14:id>
        </ext>
      </extLst>
    </cfRule>
  </conditionalFormatting>
  <conditionalFormatting pivot="1" sqref="K11:K28">
    <cfRule type="dataBar" priority="1">
      <dataBar showValue="0">
        <cfvo type="min"/>
        <cfvo type="max"/>
        <color theme="4" tint="-0.499984740745262"/>
      </dataBar>
      <extLst>
        <ext xmlns:x14="http://schemas.microsoft.com/office/spreadsheetml/2009/9/main" uri="{B025F937-C7B1-47D3-B67F-A62EFF666E3E}">
          <x14:id>{34A0E71F-3F50-4894-BB11-8A6EB82B493E}</x14:id>
        </ext>
      </extLst>
    </cfRule>
  </conditionalFormatting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AA364177-C614-4F6A-B5AC-CA3166969539}">
            <x14:dataBar minLength="0" maxLength="100" gradient="0">
              <x14:cfvo type="min"/>
              <x14:cfvo type="autoMax"/>
              <x14:negativeFillColor rgb="FFFF0000"/>
              <x14:axisColor rgb="FF000000"/>
            </x14:dataBar>
          </x14:cfRule>
          <xm:sqref>F11:F28</xm:sqref>
        </x14:conditionalFormatting>
        <x14:conditionalFormatting xmlns:xm="http://schemas.microsoft.com/office/excel/2006/main" pivot="1">
          <x14:cfRule type="dataBar" id="{34A0E71F-3F50-4894-BB11-8A6EB82B493E}">
            <x14:dataBar minLength="0" maxLength="100" gradient="0">
              <x14:cfvo type="min"/>
              <x14:cfvo type="autoMax"/>
              <x14:negativeFillColor rgb="FFFF0000"/>
              <x14:axisColor rgb="FF000000"/>
            </x14:dataBar>
          </x14:cfRule>
          <xm:sqref>K11:K28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01997-22EB-4FA1-935C-EFB81DC07858}">
  <sheetPr codeName="Arkusz2"/>
  <dimension ref="I5:DK3129"/>
  <sheetViews>
    <sheetView showGridLines="0" workbookViewId="0"/>
  </sheetViews>
  <sheetFormatPr defaultRowHeight="19.2" customHeight="1" x14ac:dyDescent="0.3"/>
  <cols>
    <col min="4" max="8" width="4.6640625" customWidth="1"/>
    <col min="9" max="9" width="0.21875" customWidth="1"/>
    <col min="10" max="10" width="8.5546875" style="8" customWidth="1"/>
    <col min="11" max="11" width="7.33203125" style="9" customWidth="1"/>
    <col min="12" max="12" width="15.21875" style="8" customWidth="1"/>
    <col min="13" max="13" width="10.77734375" style="8" customWidth="1"/>
    <col min="14" max="14" width="11.88671875" style="8" customWidth="1"/>
    <col min="15" max="15" width="16.109375" style="10" customWidth="1"/>
    <col min="16" max="16" width="17.109375" customWidth="1"/>
    <col min="17" max="17" width="12.21875" customWidth="1"/>
    <col min="18" max="18" width="6.5546875" customWidth="1"/>
    <col min="19" max="19" width="6.6640625" style="8" customWidth="1"/>
    <col min="20" max="20" width="12.6640625" style="8" customWidth="1"/>
    <col min="21" max="21" width="12.6640625" customWidth="1"/>
    <col min="23" max="23" width="9.109375" bestFit="1" customWidth="1"/>
  </cols>
  <sheetData>
    <row r="5" spans="9:115" ht="14.4" hidden="1" x14ac:dyDescent="0.3">
      <c r="S5" s="45" t="s">
        <v>1</v>
      </c>
      <c r="T5" s="45">
        <v>2012</v>
      </c>
    </row>
    <row r="6" spans="9:115" ht="14.4" hidden="1" x14ac:dyDescent="0.3">
      <c r="J6" s="35" t="s">
        <v>6</v>
      </c>
      <c r="K6" s="35" t="s">
        <v>47</v>
      </c>
      <c r="S6" s="35" t="s">
        <v>7</v>
      </c>
      <c r="T6" s="35" t="s">
        <v>13</v>
      </c>
    </row>
    <row r="7" spans="9:115" ht="14.4" hidden="1" x14ac:dyDescent="0.3">
      <c r="J7" s="35" t="s">
        <v>7</v>
      </c>
      <c r="K7" s="35" t="s">
        <v>13</v>
      </c>
      <c r="S7" s="35" t="s">
        <v>6</v>
      </c>
      <c r="T7" s="35" t="s">
        <v>47</v>
      </c>
    </row>
    <row r="8" spans="9:115" ht="14.4" hidden="1" x14ac:dyDescent="0.3">
      <c r="J8" s="35" t="s">
        <v>5</v>
      </c>
      <c r="K8" s="36" t="s">
        <v>32</v>
      </c>
      <c r="S8" s="35" t="s">
        <v>5</v>
      </c>
      <c r="T8" s="36" t="s">
        <v>32</v>
      </c>
    </row>
    <row r="9" spans="9:115" ht="19.2" customHeight="1" x14ac:dyDescent="0.3">
      <c r="J9" s="34" t="s">
        <v>45</v>
      </c>
      <c r="K9" s="34"/>
      <c r="L9" s="34"/>
      <c r="M9" s="34"/>
      <c r="N9" s="34"/>
      <c r="O9" s="34"/>
      <c r="P9" s="34"/>
      <c r="Q9" s="34"/>
      <c r="R9" s="4"/>
      <c r="S9" s="33" t="s">
        <v>46</v>
      </c>
      <c r="T9" s="33"/>
      <c r="U9" s="33"/>
    </row>
    <row r="10" spans="9:115" s="2" customFormat="1" ht="26.4" x14ac:dyDescent="0.3">
      <c r="I10" s="11"/>
      <c r="J10" s="38" t="s">
        <v>1</v>
      </c>
      <c r="K10" s="35" t="s">
        <v>2</v>
      </c>
      <c r="L10" s="39" t="s">
        <v>44</v>
      </c>
      <c r="M10" s="35" t="s">
        <v>48</v>
      </c>
      <c r="N10" s="40" t="s">
        <v>41</v>
      </c>
      <c r="O10" s="39" t="s">
        <v>52</v>
      </c>
      <c r="P10" s="39" t="s">
        <v>42</v>
      </c>
      <c r="Q10" s="39" t="s">
        <v>40</v>
      </c>
      <c r="R10" s="31"/>
      <c r="S10" s="47" t="s">
        <v>2</v>
      </c>
      <c r="T10" s="35" t="s">
        <v>44</v>
      </c>
      <c r="U10" s="35" t="s">
        <v>48</v>
      </c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</row>
    <row r="11" spans="9:115" ht="14.4" x14ac:dyDescent="0.3">
      <c r="J11" s="44">
        <v>2010</v>
      </c>
      <c r="K11" s="37"/>
      <c r="L11" s="41">
        <v>113.8</v>
      </c>
      <c r="M11" s="41">
        <v>113.8</v>
      </c>
      <c r="N11" s="42">
        <v>7</v>
      </c>
      <c r="O11" s="41">
        <v>16.257142857142856</v>
      </c>
      <c r="P11" s="41"/>
      <c r="Q11" s="43"/>
      <c r="R11" s="30"/>
      <c r="S11" s="46">
        <v>1</v>
      </c>
      <c r="T11" s="36">
        <v>64.8</v>
      </c>
      <c r="U11" s="36">
        <v>64.8</v>
      </c>
      <c r="W11" s="14" t="s">
        <v>51</v>
      </c>
    </row>
    <row r="12" spans="9:115" ht="14.4" x14ac:dyDescent="0.3">
      <c r="J12" s="44">
        <v>2011</v>
      </c>
      <c r="K12" s="37"/>
      <c r="L12" s="41">
        <v>194.39999999999998</v>
      </c>
      <c r="M12" s="41">
        <v>194.39999999999998</v>
      </c>
      <c r="N12" s="42">
        <v>8</v>
      </c>
      <c r="O12" s="41">
        <v>24.299999999999997</v>
      </c>
      <c r="P12" s="41">
        <v>80.59999999999998</v>
      </c>
      <c r="Q12" s="43">
        <v>0.70826010544815454</v>
      </c>
      <c r="R12" s="30"/>
      <c r="S12" s="46">
        <v>5</v>
      </c>
      <c r="T12" s="36">
        <v>64.8</v>
      </c>
      <c r="U12" s="36">
        <v>64.8</v>
      </c>
      <c r="W12" s="15">
        <f>SUM(T11:T22)</f>
        <v>194.39999999999998</v>
      </c>
    </row>
    <row r="13" spans="9:115" ht="14.4" x14ac:dyDescent="0.3">
      <c r="J13" s="44">
        <v>2012</v>
      </c>
      <c r="K13" s="37"/>
      <c r="L13" s="41">
        <v>194.39999999999998</v>
      </c>
      <c r="M13" s="41">
        <v>194.39999999999998</v>
      </c>
      <c r="N13" s="42">
        <v>5</v>
      </c>
      <c r="O13" s="41">
        <v>38.879999999999995</v>
      </c>
      <c r="P13" s="41">
        <v>0</v>
      </c>
      <c r="Q13" s="43">
        <v>0</v>
      </c>
      <c r="R13" s="30"/>
      <c r="S13" s="46">
        <v>9</v>
      </c>
      <c r="T13" s="36">
        <v>16.2</v>
      </c>
      <c r="U13" s="36">
        <v>16.2</v>
      </c>
      <c r="W13" s="14"/>
    </row>
    <row r="14" spans="9:115" ht="14.4" x14ac:dyDescent="0.3">
      <c r="J14" s="44">
        <v>2013</v>
      </c>
      <c r="K14" s="37"/>
      <c r="L14" s="41">
        <v>194.39999999999995</v>
      </c>
      <c r="M14" s="41">
        <v>194.39999999999995</v>
      </c>
      <c r="N14" s="42">
        <v>7</v>
      </c>
      <c r="O14" s="41">
        <v>27.771428571428565</v>
      </c>
      <c r="P14" s="41">
        <v>-2.8421709430404007E-14</v>
      </c>
      <c r="Q14" s="43">
        <v>-1.4620220900413587E-16</v>
      </c>
      <c r="R14" s="30"/>
      <c r="S14" s="46">
        <v>10</v>
      </c>
      <c r="T14" s="36">
        <v>16.2</v>
      </c>
      <c r="U14" s="36">
        <v>16.2</v>
      </c>
      <c r="W14" s="14" t="s">
        <v>50</v>
      </c>
    </row>
    <row r="15" spans="9:115" ht="14.4" x14ac:dyDescent="0.3">
      <c r="J15" s="44">
        <v>2014</v>
      </c>
      <c r="K15" s="37"/>
      <c r="L15" s="41">
        <v>215.27799999999999</v>
      </c>
      <c r="M15" s="41">
        <v>215.27799999999999</v>
      </c>
      <c r="N15" s="42">
        <v>9</v>
      </c>
      <c r="O15" s="41">
        <v>23.919777777777778</v>
      </c>
      <c r="P15" s="41">
        <v>20.878000000000043</v>
      </c>
      <c r="Q15" s="43">
        <v>0.10739711934156404</v>
      </c>
      <c r="R15" s="30"/>
      <c r="S15" s="46">
        <v>11</v>
      </c>
      <c r="T15" s="36">
        <v>32.4</v>
      </c>
      <c r="U15" s="36">
        <v>32.4</v>
      </c>
      <c r="W15" s="14">
        <f>COUNT(S11:S22)</f>
        <v>5</v>
      </c>
    </row>
    <row r="16" spans="9:115" ht="14.4" x14ac:dyDescent="0.3">
      <c r="J16" s="44">
        <v>2015</v>
      </c>
      <c r="K16" s="37"/>
      <c r="L16" s="41">
        <v>208.04000000000002</v>
      </c>
      <c r="M16" s="41">
        <v>208.04000000000002</v>
      </c>
      <c r="N16" s="42">
        <v>12</v>
      </c>
      <c r="O16" s="41">
        <v>17.33666666666667</v>
      </c>
      <c r="P16" s="41">
        <v>-7.2379999999999711</v>
      </c>
      <c r="Q16" s="43">
        <v>-3.3621642713142871E-2</v>
      </c>
      <c r="R16" s="30"/>
      <c r="S16"/>
      <c r="T16"/>
      <c r="W16" s="14"/>
    </row>
    <row r="17" spans="10:23" ht="14.4" x14ac:dyDescent="0.3">
      <c r="J17" s="44">
        <v>2016</v>
      </c>
      <c r="K17" s="37"/>
      <c r="L17" s="41">
        <v>217.80000000000004</v>
      </c>
      <c r="M17" s="41">
        <v>217.80000000000004</v>
      </c>
      <c r="N17" s="42">
        <v>10</v>
      </c>
      <c r="O17" s="41">
        <v>21.780000000000005</v>
      </c>
      <c r="P17" s="41">
        <v>9.7600000000000193</v>
      </c>
      <c r="Q17" s="43">
        <v>4.6914054989425198E-2</v>
      </c>
      <c r="R17" s="30"/>
      <c r="S17"/>
      <c r="T17"/>
      <c r="W17" s="14" t="s">
        <v>49</v>
      </c>
    </row>
    <row r="18" spans="10:23" ht="14.4" x14ac:dyDescent="0.3">
      <c r="J18" s="44">
        <v>2017</v>
      </c>
      <c r="K18" s="37"/>
      <c r="L18" s="41">
        <v>240.80000000000007</v>
      </c>
      <c r="M18" s="41">
        <v>240.80000000000007</v>
      </c>
      <c r="N18" s="42">
        <v>12</v>
      </c>
      <c r="O18" s="41">
        <v>20.066666666666674</v>
      </c>
      <c r="P18" s="41">
        <v>23.000000000000028</v>
      </c>
      <c r="Q18" s="43">
        <v>0.10560146923783298</v>
      </c>
      <c r="R18" s="30"/>
      <c r="S18"/>
      <c r="T18"/>
      <c r="W18" s="14">
        <f>IFERROR(W12/W15,0)</f>
        <v>38.879999999999995</v>
      </c>
    </row>
    <row r="19" spans="10:23" ht="14.4" x14ac:dyDescent="0.3">
      <c r="J19" s="44">
        <v>2018</v>
      </c>
      <c r="K19" s="37"/>
      <c r="L19" s="41">
        <v>220.20000000000005</v>
      </c>
      <c r="M19" s="41">
        <v>220.20000000000005</v>
      </c>
      <c r="N19" s="42">
        <v>11</v>
      </c>
      <c r="O19" s="41">
        <v>20.018181818181823</v>
      </c>
      <c r="P19" s="41">
        <v>-20.600000000000023</v>
      </c>
      <c r="Q19" s="43">
        <v>-8.5548172757475158E-2</v>
      </c>
      <c r="R19" s="30"/>
      <c r="S19"/>
      <c r="T19"/>
    </row>
    <row r="20" spans="10:23" ht="14.4" x14ac:dyDescent="0.3">
      <c r="J20" s="44">
        <v>2019</v>
      </c>
      <c r="K20" s="37"/>
      <c r="L20" s="41">
        <v>241.20000000000005</v>
      </c>
      <c r="M20" s="41">
        <v>241.20000000000005</v>
      </c>
      <c r="N20" s="42">
        <v>12</v>
      </c>
      <c r="O20" s="41">
        <v>20.100000000000005</v>
      </c>
      <c r="P20" s="41">
        <v>21</v>
      </c>
      <c r="Q20" s="43">
        <v>9.536784741144412E-2</v>
      </c>
      <c r="R20" s="30"/>
      <c r="S20"/>
      <c r="T20"/>
    </row>
    <row r="21" spans="10:23" ht="14.4" x14ac:dyDescent="0.3">
      <c r="J21" s="44">
        <v>2020</v>
      </c>
      <c r="K21" s="37"/>
      <c r="L21" s="41">
        <v>215.56000000000006</v>
      </c>
      <c r="M21" s="41">
        <v>215.56000000000006</v>
      </c>
      <c r="N21" s="42">
        <v>10</v>
      </c>
      <c r="O21" s="41">
        <v>21.556000000000004</v>
      </c>
      <c r="P21" s="41">
        <v>-25.639999999999986</v>
      </c>
      <c r="Q21" s="43">
        <v>-0.1063018242122719</v>
      </c>
      <c r="R21" s="30"/>
      <c r="S21"/>
      <c r="T21"/>
    </row>
    <row r="22" spans="10:23" ht="14.4" x14ac:dyDescent="0.3">
      <c r="J22" s="44">
        <v>2021</v>
      </c>
      <c r="K22" s="37"/>
      <c r="L22" s="41">
        <v>252.96000000000006</v>
      </c>
      <c r="M22" s="41">
        <v>252.96000000000006</v>
      </c>
      <c r="N22" s="42">
        <v>10</v>
      </c>
      <c r="O22" s="41">
        <v>25.296000000000006</v>
      </c>
      <c r="P22" s="41">
        <v>37.400000000000006</v>
      </c>
      <c r="Q22" s="43">
        <v>0.17350157728706622</v>
      </c>
      <c r="R22" s="30"/>
      <c r="S22"/>
      <c r="T22"/>
    </row>
    <row r="23" spans="10:23" ht="14.4" x14ac:dyDescent="0.3">
      <c r="J23" s="44">
        <v>2022</v>
      </c>
      <c r="K23" s="37"/>
      <c r="L23" s="41">
        <v>265.96800000000002</v>
      </c>
      <c r="M23" s="41">
        <v>265.96800000000002</v>
      </c>
      <c r="N23" s="42">
        <v>11</v>
      </c>
      <c r="O23" s="41">
        <v>24.178909090909091</v>
      </c>
      <c r="P23" s="41">
        <v>13.007999999999953</v>
      </c>
      <c r="Q23" s="43">
        <v>5.1423149905123137E-2</v>
      </c>
      <c r="R23" s="30"/>
    </row>
    <row r="24" spans="10:23" ht="14.4" x14ac:dyDescent="0.3">
      <c r="J24" s="44">
        <v>2023</v>
      </c>
      <c r="K24" s="37"/>
      <c r="L24" s="41">
        <v>289.00000000000006</v>
      </c>
      <c r="M24" s="41">
        <v>289.00000000000006</v>
      </c>
      <c r="N24" s="42">
        <v>12</v>
      </c>
      <c r="O24" s="41">
        <v>24.083333333333339</v>
      </c>
      <c r="P24" s="41">
        <v>23.032000000000039</v>
      </c>
      <c r="Q24" s="43">
        <v>8.6596883835649549E-2</v>
      </c>
      <c r="R24" s="30"/>
    </row>
    <row r="25" spans="10:23" ht="14.4" x14ac:dyDescent="0.3">
      <c r="J25" s="44">
        <v>2024</v>
      </c>
      <c r="K25" s="37"/>
      <c r="L25" s="41">
        <v>71.400000000000006</v>
      </c>
      <c r="M25" s="41">
        <v>71.400000000000006</v>
      </c>
      <c r="N25" s="42">
        <v>3</v>
      </c>
      <c r="O25" s="41">
        <v>23.8</v>
      </c>
      <c r="P25" s="41">
        <v>-217.60000000000005</v>
      </c>
      <c r="Q25" s="43">
        <v>-0.75294117647058822</v>
      </c>
      <c r="R25" s="30"/>
    </row>
    <row r="26" spans="10:23" ht="14.4" x14ac:dyDescent="0.3">
      <c r="J26"/>
      <c r="K26"/>
      <c r="L26"/>
      <c r="M26"/>
      <c r="N26"/>
      <c r="O26"/>
      <c r="R26" s="30"/>
    </row>
    <row r="27" spans="10:23" ht="14.4" x14ac:dyDescent="0.3">
      <c r="J27"/>
      <c r="K27"/>
      <c r="L27"/>
      <c r="M27"/>
      <c r="N27"/>
      <c r="O27"/>
      <c r="R27" s="30"/>
    </row>
    <row r="28" spans="10:23" ht="14.4" x14ac:dyDescent="0.3">
      <c r="J28"/>
      <c r="K28"/>
      <c r="L28"/>
      <c r="M28"/>
      <c r="N28"/>
      <c r="O28"/>
      <c r="R28" s="30"/>
    </row>
    <row r="29" spans="10:23" ht="14.4" x14ac:dyDescent="0.3">
      <c r="J29"/>
      <c r="K29"/>
      <c r="L29"/>
      <c r="M29"/>
      <c r="N29"/>
      <c r="O29"/>
      <c r="R29" s="30"/>
    </row>
    <row r="30" spans="10:23" ht="14.4" x14ac:dyDescent="0.3">
      <c r="J30"/>
      <c r="K30"/>
      <c r="L30"/>
      <c r="M30"/>
      <c r="N30"/>
      <c r="O30"/>
      <c r="R30" s="30"/>
    </row>
    <row r="31" spans="10:23" ht="14.4" x14ac:dyDescent="0.3">
      <c r="J31"/>
      <c r="K31"/>
      <c r="L31"/>
      <c r="M31"/>
      <c r="N31"/>
      <c r="O31"/>
      <c r="R31" s="30"/>
    </row>
    <row r="32" spans="10:23" ht="14.4" x14ac:dyDescent="0.3">
      <c r="J32"/>
      <c r="K32"/>
      <c r="L32"/>
      <c r="M32"/>
      <c r="N32"/>
      <c r="O32"/>
      <c r="R32" s="30"/>
    </row>
    <row r="33" spans="10:18" ht="14.4" x14ac:dyDescent="0.3">
      <c r="J33"/>
      <c r="K33"/>
      <c r="L33"/>
      <c r="M33"/>
      <c r="N33"/>
      <c r="O33"/>
      <c r="R33" s="30"/>
    </row>
    <row r="34" spans="10:18" ht="14.4" x14ac:dyDescent="0.3">
      <c r="J34"/>
      <c r="K34"/>
      <c r="L34"/>
      <c r="M34"/>
      <c r="N34"/>
      <c r="O34"/>
      <c r="R34" s="30"/>
    </row>
    <row r="35" spans="10:18" ht="14.4" x14ac:dyDescent="0.3">
      <c r="J35"/>
      <c r="K35"/>
      <c r="L35"/>
      <c r="M35"/>
      <c r="N35"/>
      <c r="O35"/>
      <c r="R35" s="30"/>
    </row>
    <row r="36" spans="10:18" ht="14.4" x14ac:dyDescent="0.3">
      <c r="J36"/>
      <c r="K36"/>
      <c r="L36"/>
      <c r="M36"/>
      <c r="N36"/>
      <c r="O36"/>
      <c r="R36" s="30"/>
    </row>
    <row r="37" spans="10:18" ht="14.4" x14ac:dyDescent="0.3">
      <c r="J37"/>
      <c r="K37"/>
      <c r="L37"/>
      <c r="M37"/>
      <c r="N37"/>
      <c r="O37"/>
      <c r="R37" s="30"/>
    </row>
    <row r="38" spans="10:18" ht="14.4" x14ac:dyDescent="0.3">
      <c r="J38"/>
      <c r="K38"/>
      <c r="L38"/>
      <c r="M38"/>
      <c r="N38"/>
      <c r="O38"/>
      <c r="R38" s="30"/>
    </row>
    <row r="39" spans="10:18" ht="14.4" x14ac:dyDescent="0.3">
      <c r="J39"/>
      <c r="K39"/>
      <c r="L39"/>
      <c r="M39"/>
      <c r="N39"/>
      <c r="O39"/>
      <c r="R39" s="30"/>
    </row>
    <row r="40" spans="10:18" ht="14.4" x14ac:dyDescent="0.3">
      <c r="J40"/>
      <c r="K40"/>
      <c r="L40"/>
      <c r="M40"/>
      <c r="N40"/>
      <c r="O40"/>
      <c r="R40" s="30"/>
    </row>
    <row r="41" spans="10:18" ht="14.4" x14ac:dyDescent="0.3">
      <c r="J41"/>
      <c r="K41"/>
      <c r="L41"/>
      <c r="M41"/>
      <c r="N41"/>
      <c r="O41"/>
      <c r="R41" s="30"/>
    </row>
    <row r="42" spans="10:18" ht="14.4" x14ac:dyDescent="0.3">
      <c r="J42"/>
      <c r="K42"/>
      <c r="L42"/>
      <c r="M42"/>
      <c r="N42"/>
      <c r="O42"/>
      <c r="R42" s="30"/>
    </row>
    <row r="43" spans="10:18" ht="14.4" x14ac:dyDescent="0.3">
      <c r="J43"/>
      <c r="K43"/>
      <c r="L43"/>
      <c r="M43"/>
      <c r="N43"/>
      <c r="O43"/>
      <c r="R43" s="30"/>
    </row>
    <row r="44" spans="10:18" ht="14.4" x14ac:dyDescent="0.3">
      <c r="J44"/>
      <c r="K44"/>
      <c r="L44"/>
      <c r="M44"/>
      <c r="N44"/>
      <c r="O44"/>
      <c r="R44" s="30"/>
    </row>
    <row r="45" spans="10:18" ht="14.4" x14ac:dyDescent="0.3">
      <c r="J45"/>
      <c r="K45"/>
      <c r="L45"/>
      <c r="M45"/>
      <c r="N45"/>
      <c r="O45"/>
      <c r="R45" s="30"/>
    </row>
    <row r="46" spans="10:18" ht="14.4" x14ac:dyDescent="0.3">
      <c r="J46"/>
      <c r="K46"/>
      <c r="L46"/>
      <c r="M46"/>
      <c r="N46"/>
      <c r="O46"/>
      <c r="R46" s="30"/>
    </row>
    <row r="47" spans="10:18" ht="14.4" x14ac:dyDescent="0.3">
      <c r="J47"/>
      <c r="K47"/>
      <c r="L47"/>
      <c r="M47"/>
      <c r="N47"/>
      <c r="O47"/>
      <c r="R47" s="30"/>
    </row>
    <row r="48" spans="10:18" ht="14.4" x14ac:dyDescent="0.3">
      <c r="J48"/>
      <c r="K48"/>
      <c r="L48"/>
      <c r="M48"/>
      <c r="N48"/>
      <c r="O48"/>
      <c r="R48" s="30"/>
    </row>
    <row r="49" spans="10:18" ht="14.4" x14ac:dyDescent="0.3">
      <c r="J49"/>
      <c r="K49"/>
      <c r="L49"/>
      <c r="M49"/>
      <c r="N49"/>
      <c r="O49"/>
      <c r="R49" s="30"/>
    </row>
    <row r="50" spans="10:18" ht="14.4" x14ac:dyDescent="0.3">
      <c r="J50"/>
      <c r="K50"/>
      <c r="L50"/>
      <c r="M50"/>
      <c r="N50"/>
      <c r="O50"/>
      <c r="R50" s="30"/>
    </row>
    <row r="51" spans="10:18" ht="14.4" x14ac:dyDescent="0.3">
      <c r="J51"/>
      <c r="K51"/>
      <c r="L51"/>
      <c r="M51"/>
      <c r="N51"/>
      <c r="O51"/>
      <c r="R51" s="30"/>
    </row>
    <row r="52" spans="10:18" ht="14.4" x14ac:dyDescent="0.3">
      <c r="J52"/>
      <c r="K52"/>
      <c r="L52"/>
      <c r="M52"/>
      <c r="N52"/>
      <c r="O52"/>
      <c r="R52" s="30"/>
    </row>
    <row r="53" spans="10:18" ht="14.4" x14ac:dyDescent="0.3">
      <c r="J53"/>
      <c r="K53"/>
      <c r="L53"/>
      <c r="M53"/>
      <c r="N53"/>
      <c r="O53"/>
      <c r="R53" s="30"/>
    </row>
    <row r="54" spans="10:18" ht="14.4" x14ac:dyDescent="0.3">
      <c r="J54"/>
      <c r="K54"/>
      <c r="L54"/>
      <c r="M54"/>
      <c r="N54"/>
      <c r="O54"/>
      <c r="R54" s="30"/>
    </row>
    <row r="55" spans="10:18" ht="14.4" x14ac:dyDescent="0.3">
      <c r="J55"/>
      <c r="K55"/>
      <c r="L55"/>
      <c r="M55"/>
      <c r="N55"/>
      <c r="O55"/>
      <c r="R55" s="30"/>
    </row>
    <row r="56" spans="10:18" ht="14.4" x14ac:dyDescent="0.3">
      <c r="J56"/>
      <c r="K56"/>
      <c r="L56"/>
      <c r="M56"/>
      <c r="N56"/>
      <c r="O56"/>
      <c r="R56" s="30"/>
    </row>
    <row r="57" spans="10:18" ht="14.4" x14ac:dyDescent="0.3">
      <c r="J57"/>
      <c r="K57"/>
      <c r="L57"/>
      <c r="M57"/>
      <c r="N57"/>
      <c r="O57"/>
      <c r="R57" s="30"/>
    </row>
    <row r="58" spans="10:18" ht="14.4" x14ac:dyDescent="0.3">
      <c r="J58"/>
      <c r="K58"/>
      <c r="L58"/>
      <c r="M58"/>
      <c r="N58"/>
      <c r="O58"/>
      <c r="R58" s="30"/>
    </row>
    <row r="59" spans="10:18" ht="14.4" x14ac:dyDescent="0.3">
      <c r="J59"/>
      <c r="K59"/>
      <c r="L59"/>
      <c r="M59"/>
      <c r="N59"/>
      <c r="O59"/>
      <c r="R59" s="30"/>
    </row>
    <row r="60" spans="10:18" ht="14.4" x14ac:dyDescent="0.3">
      <c r="J60"/>
      <c r="K60"/>
      <c r="L60"/>
      <c r="M60"/>
      <c r="N60"/>
      <c r="O60"/>
      <c r="R60" s="30"/>
    </row>
    <row r="61" spans="10:18" ht="14.4" x14ac:dyDescent="0.3">
      <c r="J61"/>
      <c r="K61"/>
      <c r="L61"/>
      <c r="M61"/>
      <c r="N61"/>
      <c r="O61"/>
      <c r="R61" s="30"/>
    </row>
    <row r="62" spans="10:18" ht="14.4" x14ac:dyDescent="0.3">
      <c r="J62"/>
      <c r="K62"/>
      <c r="L62"/>
      <c r="M62"/>
      <c r="N62"/>
      <c r="O62"/>
      <c r="R62" s="30"/>
    </row>
    <row r="63" spans="10:18" ht="14.4" x14ac:dyDescent="0.3">
      <c r="J63"/>
      <c r="K63"/>
      <c r="L63"/>
      <c r="M63"/>
      <c r="N63"/>
      <c r="O63"/>
      <c r="R63" s="30"/>
    </row>
    <row r="64" spans="10:18" ht="14.4" x14ac:dyDescent="0.3">
      <c r="J64"/>
      <c r="K64"/>
      <c r="L64"/>
      <c r="M64"/>
      <c r="N64"/>
      <c r="O64"/>
      <c r="R64" s="30"/>
    </row>
    <row r="65" spans="10:18" ht="14.4" x14ac:dyDescent="0.3">
      <c r="J65"/>
      <c r="K65"/>
      <c r="L65"/>
      <c r="M65"/>
      <c r="N65"/>
      <c r="O65"/>
      <c r="R65" s="30"/>
    </row>
    <row r="66" spans="10:18" ht="14.4" x14ac:dyDescent="0.3">
      <c r="J66"/>
      <c r="K66"/>
      <c r="L66"/>
      <c r="M66"/>
      <c r="N66"/>
      <c r="O66"/>
      <c r="R66" s="30"/>
    </row>
    <row r="67" spans="10:18" ht="14.4" x14ac:dyDescent="0.3">
      <c r="J67"/>
      <c r="K67"/>
      <c r="L67"/>
      <c r="M67"/>
      <c r="N67"/>
      <c r="O67"/>
      <c r="R67" s="30"/>
    </row>
    <row r="68" spans="10:18" ht="14.4" x14ac:dyDescent="0.3">
      <c r="J68"/>
      <c r="K68"/>
      <c r="L68"/>
      <c r="M68"/>
      <c r="N68"/>
      <c r="O68"/>
      <c r="R68" s="30"/>
    </row>
    <row r="69" spans="10:18" ht="14.4" x14ac:dyDescent="0.3">
      <c r="J69"/>
      <c r="K69"/>
      <c r="L69"/>
      <c r="M69"/>
      <c r="N69"/>
      <c r="O69"/>
      <c r="R69" s="30"/>
    </row>
    <row r="70" spans="10:18" ht="14.4" x14ac:dyDescent="0.3">
      <c r="J70"/>
      <c r="K70"/>
      <c r="L70"/>
      <c r="M70"/>
      <c r="N70"/>
      <c r="O70"/>
      <c r="R70" s="30"/>
    </row>
    <row r="71" spans="10:18" ht="14.4" x14ac:dyDescent="0.3">
      <c r="J71"/>
      <c r="K71"/>
      <c r="L71"/>
      <c r="M71"/>
      <c r="N71"/>
      <c r="O71"/>
      <c r="R71" s="30"/>
    </row>
    <row r="72" spans="10:18" ht="14.4" x14ac:dyDescent="0.3">
      <c r="J72"/>
      <c r="K72"/>
      <c r="L72"/>
      <c r="M72"/>
      <c r="N72"/>
      <c r="O72"/>
      <c r="R72" s="30"/>
    </row>
    <row r="73" spans="10:18" ht="14.4" x14ac:dyDescent="0.3">
      <c r="J73"/>
      <c r="K73"/>
      <c r="L73"/>
      <c r="M73"/>
      <c r="N73"/>
      <c r="O73"/>
      <c r="R73" s="30"/>
    </row>
    <row r="74" spans="10:18" ht="14.4" x14ac:dyDescent="0.3">
      <c r="J74"/>
      <c r="K74"/>
      <c r="L74"/>
      <c r="M74"/>
      <c r="N74"/>
      <c r="O74"/>
      <c r="R74" s="30"/>
    </row>
    <row r="75" spans="10:18" ht="14.4" x14ac:dyDescent="0.3">
      <c r="J75"/>
      <c r="K75"/>
      <c r="L75"/>
      <c r="M75"/>
      <c r="N75"/>
      <c r="O75"/>
      <c r="R75" s="30"/>
    </row>
    <row r="76" spans="10:18" ht="14.4" x14ac:dyDescent="0.3">
      <c r="J76"/>
      <c r="K76"/>
      <c r="L76"/>
      <c r="M76"/>
      <c r="N76"/>
      <c r="O76"/>
      <c r="R76" s="30"/>
    </row>
    <row r="77" spans="10:18" ht="14.4" x14ac:dyDescent="0.3">
      <c r="J77"/>
      <c r="K77"/>
      <c r="L77"/>
      <c r="M77"/>
      <c r="N77"/>
      <c r="O77"/>
      <c r="R77" s="30"/>
    </row>
    <row r="78" spans="10:18" ht="14.4" x14ac:dyDescent="0.3">
      <c r="J78"/>
      <c r="K78"/>
      <c r="L78"/>
      <c r="M78"/>
      <c r="N78"/>
      <c r="O78"/>
      <c r="R78" s="30"/>
    </row>
    <row r="79" spans="10:18" ht="14.4" x14ac:dyDescent="0.3">
      <c r="J79"/>
      <c r="K79"/>
      <c r="L79"/>
      <c r="M79"/>
      <c r="N79"/>
      <c r="O79"/>
      <c r="R79" s="30"/>
    </row>
    <row r="80" spans="10:18" ht="14.4" x14ac:dyDescent="0.3">
      <c r="J80"/>
      <c r="K80"/>
      <c r="L80"/>
      <c r="M80"/>
      <c r="N80"/>
      <c r="O80"/>
      <c r="R80" s="30"/>
    </row>
    <row r="81" spans="10:18" ht="14.4" x14ac:dyDescent="0.3">
      <c r="J81"/>
      <c r="K81"/>
      <c r="L81"/>
      <c r="M81"/>
      <c r="N81"/>
      <c r="O81"/>
      <c r="R81" s="30"/>
    </row>
    <row r="82" spans="10:18" ht="14.4" x14ac:dyDescent="0.3">
      <c r="J82"/>
      <c r="K82"/>
      <c r="L82"/>
      <c r="M82"/>
      <c r="N82"/>
      <c r="O82"/>
      <c r="R82" s="30"/>
    </row>
    <row r="83" spans="10:18" ht="14.4" x14ac:dyDescent="0.3">
      <c r="J83"/>
      <c r="K83"/>
      <c r="L83"/>
      <c r="M83"/>
      <c r="N83"/>
      <c r="O83"/>
      <c r="R83" s="30"/>
    </row>
    <row r="84" spans="10:18" ht="14.4" x14ac:dyDescent="0.3">
      <c r="J84"/>
      <c r="K84"/>
      <c r="L84"/>
      <c r="M84"/>
      <c r="N84"/>
      <c r="O84"/>
      <c r="R84" s="30"/>
    </row>
    <row r="85" spans="10:18" ht="14.4" x14ac:dyDescent="0.3">
      <c r="J85"/>
      <c r="K85"/>
      <c r="L85"/>
      <c r="M85"/>
      <c r="N85"/>
      <c r="O85"/>
      <c r="R85" s="30"/>
    </row>
    <row r="86" spans="10:18" ht="14.4" x14ac:dyDescent="0.3">
      <c r="J86"/>
      <c r="K86"/>
      <c r="L86"/>
      <c r="M86"/>
      <c r="N86"/>
      <c r="O86"/>
      <c r="R86" s="30"/>
    </row>
    <row r="87" spans="10:18" ht="14.4" x14ac:dyDescent="0.3">
      <c r="J87"/>
      <c r="K87"/>
      <c r="L87"/>
      <c r="M87"/>
      <c r="N87"/>
      <c r="O87"/>
      <c r="R87" s="30"/>
    </row>
    <row r="88" spans="10:18" ht="14.4" x14ac:dyDescent="0.3">
      <c r="J88"/>
      <c r="K88"/>
      <c r="L88"/>
      <c r="M88"/>
      <c r="N88"/>
      <c r="O88"/>
      <c r="R88" s="30"/>
    </row>
    <row r="89" spans="10:18" ht="14.4" x14ac:dyDescent="0.3">
      <c r="J89"/>
      <c r="K89"/>
      <c r="L89"/>
      <c r="M89"/>
      <c r="N89"/>
      <c r="O89"/>
      <c r="R89" s="30"/>
    </row>
    <row r="90" spans="10:18" ht="14.4" x14ac:dyDescent="0.3">
      <c r="J90"/>
      <c r="K90"/>
      <c r="L90"/>
      <c r="M90"/>
      <c r="N90"/>
      <c r="O90"/>
      <c r="R90" s="30"/>
    </row>
    <row r="91" spans="10:18" ht="14.4" x14ac:dyDescent="0.3">
      <c r="J91"/>
      <c r="K91"/>
      <c r="L91"/>
      <c r="M91"/>
      <c r="N91"/>
      <c r="O91"/>
      <c r="R91" s="30"/>
    </row>
    <row r="92" spans="10:18" ht="14.4" x14ac:dyDescent="0.3">
      <c r="J92"/>
      <c r="K92"/>
      <c r="L92"/>
      <c r="M92"/>
      <c r="N92"/>
      <c r="O92"/>
      <c r="R92" s="30"/>
    </row>
    <row r="93" spans="10:18" ht="14.4" x14ac:dyDescent="0.3">
      <c r="J93"/>
      <c r="K93"/>
      <c r="L93"/>
      <c r="M93"/>
      <c r="N93"/>
      <c r="O93"/>
      <c r="R93" s="30"/>
    </row>
    <row r="94" spans="10:18" ht="14.4" x14ac:dyDescent="0.3">
      <c r="J94"/>
      <c r="K94"/>
      <c r="L94"/>
      <c r="M94"/>
      <c r="N94"/>
      <c r="O94"/>
      <c r="R94" s="30"/>
    </row>
    <row r="95" spans="10:18" ht="14.4" x14ac:dyDescent="0.3">
      <c r="J95"/>
      <c r="K95"/>
      <c r="L95"/>
      <c r="M95"/>
      <c r="N95"/>
      <c r="O95"/>
      <c r="R95" s="30"/>
    </row>
    <row r="96" spans="10:18" ht="14.4" x14ac:dyDescent="0.3">
      <c r="J96"/>
      <c r="K96"/>
      <c r="L96"/>
      <c r="M96"/>
      <c r="N96"/>
      <c r="O96"/>
      <c r="R96" s="30"/>
    </row>
    <row r="97" spans="10:18" ht="14.4" x14ac:dyDescent="0.3">
      <c r="J97"/>
      <c r="K97"/>
      <c r="L97"/>
      <c r="M97"/>
      <c r="N97"/>
      <c r="O97"/>
      <c r="R97" s="30"/>
    </row>
    <row r="98" spans="10:18" ht="14.4" x14ac:dyDescent="0.3">
      <c r="J98"/>
      <c r="K98"/>
      <c r="L98"/>
      <c r="M98"/>
      <c r="N98"/>
      <c r="O98"/>
      <c r="R98" s="30"/>
    </row>
    <row r="99" spans="10:18" ht="14.4" x14ac:dyDescent="0.3">
      <c r="J99"/>
      <c r="K99"/>
      <c r="L99"/>
      <c r="M99"/>
      <c r="N99"/>
      <c r="O99"/>
      <c r="R99" s="30"/>
    </row>
    <row r="100" spans="10:18" ht="14.4" x14ac:dyDescent="0.3">
      <c r="J100"/>
      <c r="K100"/>
      <c r="L100"/>
      <c r="M100"/>
      <c r="N100"/>
      <c r="O100"/>
      <c r="R100" s="30"/>
    </row>
    <row r="101" spans="10:18" ht="14.4" x14ac:dyDescent="0.3">
      <c r="J101"/>
      <c r="K101"/>
      <c r="L101"/>
      <c r="M101"/>
      <c r="N101"/>
      <c r="O101"/>
      <c r="R101" s="30"/>
    </row>
    <row r="102" spans="10:18" ht="14.4" x14ac:dyDescent="0.3">
      <c r="J102"/>
      <c r="K102"/>
      <c r="L102"/>
      <c r="M102"/>
      <c r="N102"/>
      <c r="O102"/>
      <c r="R102" s="30"/>
    </row>
    <row r="103" spans="10:18" ht="14.4" x14ac:dyDescent="0.3">
      <c r="J103"/>
      <c r="K103"/>
      <c r="L103"/>
      <c r="M103"/>
      <c r="N103"/>
      <c r="O103"/>
      <c r="R103" s="30"/>
    </row>
    <row r="104" spans="10:18" ht="14.4" x14ac:dyDescent="0.3">
      <c r="J104"/>
      <c r="K104"/>
      <c r="L104"/>
      <c r="M104"/>
      <c r="N104"/>
      <c r="O104"/>
      <c r="R104" s="30"/>
    </row>
    <row r="105" spans="10:18" ht="14.4" x14ac:dyDescent="0.3">
      <c r="J105"/>
      <c r="K105"/>
      <c r="L105"/>
      <c r="M105"/>
      <c r="N105"/>
      <c r="O105"/>
      <c r="R105" s="30"/>
    </row>
    <row r="106" spans="10:18" ht="14.4" x14ac:dyDescent="0.3">
      <c r="J106"/>
      <c r="K106"/>
      <c r="L106"/>
      <c r="M106"/>
      <c r="N106"/>
      <c r="O106"/>
      <c r="R106" s="30"/>
    </row>
    <row r="107" spans="10:18" ht="14.4" x14ac:dyDescent="0.3">
      <c r="J107"/>
      <c r="K107"/>
      <c r="L107"/>
      <c r="M107"/>
      <c r="N107"/>
      <c r="O107"/>
      <c r="R107" s="30"/>
    </row>
    <row r="108" spans="10:18" ht="14.4" x14ac:dyDescent="0.3">
      <c r="J108"/>
      <c r="K108"/>
      <c r="L108"/>
      <c r="M108"/>
      <c r="N108"/>
      <c r="O108"/>
      <c r="R108" s="30"/>
    </row>
    <row r="109" spans="10:18" ht="14.4" x14ac:dyDescent="0.3">
      <c r="J109"/>
      <c r="K109"/>
      <c r="L109"/>
      <c r="M109"/>
      <c r="N109"/>
      <c r="O109"/>
      <c r="R109" s="30"/>
    </row>
    <row r="110" spans="10:18" ht="14.4" x14ac:dyDescent="0.3">
      <c r="J110"/>
      <c r="K110"/>
      <c r="L110"/>
      <c r="M110"/>
      <c r="N110"/>
      <c r="O110"/>
      <c r="R110" s="30"/>
    </row>
    <row r="111" spans="10:18" ht="14.4" x14ac:dyDescent="0.3">
      <c r="J111"/>
      <c r="K111"/>
      <c r="L111"/>
      <c r="M111"/>
      <c r="N111"/>
      <c r="O111"/>
      <c r="R111" s="30"/>
    </row>
    <row r="112" spans="10:18" ht="14.4" x14ac:dyDescent="0.3">
      <c r="J112"/>
      <c r="K112"/>
      <c r="L112"/>
      <c r="M112"/>
      <c r="N112"/>
      <c r="O112"/>
      <c r="R112" s="30"/>
    </row>
    <row r="113" spans="10:18" ht="14.4" x14ac:dyDescent="0.3">
      <c r="J113"/>
      <c r="K113"/>
      <c r="L113"/>
      <c r="M113"/>
      <c r="N113"/>
      <c r="O113"/>
      <c r="R113" s="30"/>
    </row>
    <row r="114" spans="10:18" ht="14.4" x14ac:dyDescent="0.3">
      <c r="J114"/>
      <c r="K114"/>
      <c r="L114"/>
      <c r="M114"/>
      <c r="N114"/>
      <c r="O114"/>
      <c r="R114" s="30"/>
    </row>
    <row r="115" spans="10:18" ht="14.4" x14ac:dyDescent="0.3">
      <c r="J115"/>
      <c r="K115"/>
      <c r="L115"/>
      <c r="M115"/>
      <c r="N115"/>
      <c r="O115"/>
      <c r="R115" s="30"/>
    </row>
    <row r="116" spans="10:18" ht="14.4" x14ac:dyDescent="0.3">
      <c r="J116"/>
      <c r="K116"/>
      <c r="L116"/>
      <c r="M116"/>
      <c r="N116"/>
      <c r="O116"/>
      <c r="R116" s="30"/>
    </row>
    <row r="117" spans="10:18" ht="14.4" x14ac:dyDescent="0.3">
      <c r="J117"/>
      <c r="K117"/>
      <c r="L117"/>
      <c r="M117"/>
      <c r="N117"/>
      <c r="O117"/>
      <c r="R117" s="30"/>
    </row>
    <row r="118" spans="10:18" ht="14.4" x14ac:dyDescent="0.3">
      <c r="J118"/>
      <c r="K118"/>
      <c r="L118"/>
      <c r="M118"/>
      <c r="N118"/>
      <c r="O118"/>
      <c r="R118" s="30"/>
    </row>
    <row r="119" spans="10:18" ht="14.4" x14ac:dyDescent="0.3">
      <c r="J119"/>
      <c r="K119"/>
      <c r="L119"/>
      <c r="M119"/>
      <c r="N119"/>
      <c r="O119"/>
      <c r="R119" s="30"/>
    </row>
    <row r="120" spans="10:18" ht="14.4" x14ac:dyDescent="0.3">
      <c r="J120"/>
      <c r="K120"/>
      <c r="L120"/>
      <c r="M120"/>
      <c r="N120"/>
      <c r="O120"/>
      <c r="R120" s="30"/>
    </row>
    <row r="121" spans="10:18" ht="14.4" x14ac:dyDescent="0.3">
      <c r="J121"/>
      <c r="K121"/>
      <c r="L121"/>
      <c r="M121"/>
      <c r="N121"/>
      <c r="O121"/>
      <c r="R121" s="30"/>
    </row>
    <row r="122" spans="10:18" ht="14.4" x14ac:dyDescent="0.3">
      <c r="J122"/>
      <c r="K122"/>
      <c r="L122"/>
      <c r="M122"/>
      <c r="N122"/>
      <c r="O122"/>
      <c r="R122" s="30"/>
    </row>
    <row r="123" spans="10:18" ht="14.4" x14ac:dyDescent="0.3">
      <c r="J123"/>
      <c r="K123"/>
      <c r="L123"/>
      <c r="M123"/>
      <c r="N123"/>
      <c r="O123"/>
      <c r="R123" s="30"/>
    </row>
    <row r="124" spans="10:18" ht="14.4" x14ac:dyDescent="0.3">
      <c r="J124"/>
      <c r="K124"/>
      <c r="L124"/>
      <c r="M124"/>
      <c r="N124"/>
      <c r="O124"/>
      <c r="R124" s="30"/>
    </row>
    <row r="125" spans="10:18" ht="14.4" x14ac:dyDescent="0.3">
      <c r="J125"/>
      <c r="K125"/>
      <c r="L125"/>
      <c r="M125"/>
      <c r="N125"/>
      <c r="O125"/>
      <c r="R125" s="30"/>
    </row>
    <row r="126" spans="10:18" ht="14.4" x14ac:dyDescent="0.3">
      <c r="J126"/>
      <c r="K126"/>
      <c r="L126"/>
      <c r="M126"/>
      <c r="N126"/>
      <c r="O126"/>
      <c r="R126" s="30"/>
    </row>
    <row r="127" spans="10:18" ht="14.4" x14ac:dyDescent="0.3">
      <c r="J127"/>
      <c r="K127"/>
      <c r="L127"/>
      <c r="M127"/>
      <c r="N127"/>
      <c r="O127"/>
      <c r="R127" s="30"/>
    </row>
    <row r="128" spans="10:18" ht="14.4" x14ac:dyDescent="0.3">
      <c r="J128"/>
      <c r="K128"/>
      <c r="L128"/>
      <c r="M128"/>
      <c r="N128"/>
      <c r="O128"/>
      <c r="R128" s="30"/>
    </row>
    <row r="129" spans="10:18" ht="14.4" x14ac:dyDescent="0.3">
      <c r="J129"/>
      <c r="K129"/>
      <c r="L129"/>
      <c r="M129"/>
      <c r="N129"/>
      <c r="O129"/>
      <c r="R129" s="30"/>
    </row>
    <row r="130" spans="10:18" ht="14.4" x14ac:dyDescent="0.3">
      <c r="J130"/>
      <c r="K130"/>
      <c r="L130"/>
      <c r="M130"/>
      <c r="N130"/>
      <c r="O130"/>
      <c r="R130" s="30"/>
    </row>
    <row r="131" spans="10:18" ht="14.4" x14ac:dyDescent="0.3">
      <c r="J131"/>
      <c r="K131"/>
      <c r="L131"/>
      <c r="M131"/>
      <c r="N131"/>
      <c r="O131"/>
      <c r="R131" s="30"/>
    </row>
    <row r="132" spans="10:18" ht="14.4" x14ac:dyDescent="0.3">
      <c r="J132"/>
      <c r="K132"/>
      <c r="L132"/>
      <c r="M132"/>
      <c r="N132"/>
      <c r="O132"/>
      <c r="R132" s="30"/>
    </row>
    <row r="133" spans="10:18" ht="14.4" x14ac:dyDescent="0.3">
      <c r="J133"/>
      <c r="K133"/>
      <c r="L133"/>
      <c r="M133"/>
      <c r="N133"/>
      <c r="O133"/>
      <c r="R133" s="30"/>
    </row>
    <row r="134" spans="10:18" ht="14.4" x14ac:dyDescent="0.3">
      <c r="J134"/>
      <c r="K134"/>
      <c r="L134"/>
      <c r="M134"/>
      <c r="N134"/>
      <c r="O134"/>
      <c r="R134" s="30"/>
    </row>
    <row r="135" spans="10:18" ht="14.4" x14ac:dyDescent="0.3">
      <c r="J135"/>
      <c r="K135"/>
      <c r="L135"/>
      <c r="M135"/>
      <c r="N135"/>
      <c r="O135"/>
      <c r="R135" s="30"/>
    </row>
    <row r="136" spans="10:18" ht="14.4" x14ac:dyDescent="0.3">
      <c r="J136"/>
      <c r="K136"/>
      <c r="L136"/>
      <c r="M136"/>
      <c r="N136"/>
      <c r="O136"/>
      <c r="R136" s="30"/>
    </row>
    <row r="137" spans="10:18" ht="14.4" x14ac:dyDescent="0.3">
      <c r="J137"/>
      <c r="K137"/>
      <c r="L137"/>
      <c r="M137"/>
      <c r="N137"/>
      <c r="O137"/>
      <c r="R137" s="30"/>
    </row>
    <row r="138" spans="10:18" ht="14.4" x14ac:dyDescent="0.3">
      <c r="J138"/>
      <c r="K138"/>
      <c r="L138"/>
      <c r="M138"/>
      <c r="N138"/>
      <c r="O138"/>
      <c r="R138" s="30"/>
    </row>
    <row r="139" spans="10:18" ht="14.4" x14ac:dyDescent="0.3">
      <c r="J139"/>
      <c r="K139"/>
      <c r="L139"/>
      <c r="M139"/>
      <c r="N139"/>
      <c r="O139"/>
      <c r="R139" s="30"/>
    </row>
    <row r="140" spans="10:18" ht="14.4" x14ac:dyDescent="0.3">
      <c r="J140"/>
      <c r="K140"/>
      <c r="L140"/>
      <c r="M140"/>
      <c r="N140"/>
      <c r="O140"/>
      <c r="R140" s="30"/>
    </row>
    <row r="141" spans="10:18" ht="14.4" x14ac:dyDescent="0.3">
      <c r="J141"/>
      <c r="K141"/>
      <c r="L141"/>
      <c r="M141"/>
      <c r="N141"/>
      <c r="O141"/>
      <c r="R141" s="30"/>
    </row>
    <row r="142" spans="10:18" ht="14.4" x14ac:dyDescent="0.3">
      <c r="J142"/>
      <c r="K142"/>
      <c r="L142"/>
      <c r="M142"/>
      <c r="N142"/>
      <c r="O142"/>
      <c r="R142" s="30"/>
    </row>
    <row r="143" spans="10:18" ht="14.4" x14ac:dyDescent="0.3">
      <c r="J143"/>
      <c r="K143"/>
      <c r="L143"/>
      <c r="M143"/>
      <c r="N143"/>
      <c r="O143"/>
      <c r="R143" s="30"/>
    </row>
    <row r="144" spans="10:18" ht="14.4" x14ac:dyDescent="0.3">
      <c r="J144"/>
      <c r="K144"/>
      <c r="L144"/>
      <c r="M144"/>
      <c r="N144"/>
      <c r="O144"/>
      <c r="R144" s="30"/>
    </row>
    <row r="145" spans="10:18" ht="14.4" x14ac:dyDescent="0.3">
      <c r="J145"/>
      <c r="K145"/>
      <c r="L145"/>
      <c r="M145"/>
      <c r="N145"/>
      <c r="O145"/>
      <c r="R145" s="30"/>
    </row>
    <row r="146" spans="10:18" ht="14.4" x14ac:dyDescent="0.3">
      <c r="J146"/>
      <c r="K146"/>
      <c r="L146"/>
      <c r="M146"/>
      <c r="N146"/>
      <c r="O146"/>
      <c r="R146" s="30"/>
    </row>
    <row r="147" spans="10:18" ht="14.4" x14ac:dyDescent="0.3">
      <c r="J147"/>
      <c r="K147"/>
      <c r="L147"/>
      <c r="M147"/>
      <c r="N147"/>
      <c r="O147"/>
      <c r="R147" s="30"/>
    </row>
    <row r="148" spans="10:18" ht="14.4" x14ac:dyDescent="0.3">
      <c r="J148"/>
      <c r="K148"/>
      <c r="L148"/>
      <c r="M148"/>
      <c r="N148"/>
      <c r="O148"/>
      <c r="R148" s="30"/>
    </row>
    <row r="149" spans="10:18" ht="14.4" x14ac:dyDescent="0.3">
      <c r="J149"/>
      <c r="K149"/>
      <c r="L149"/>
      <c r="M149"/>
      <c r="N149"/>
      <c r="O149"/>
      <c r="R149" s="30"/>
    </row>
    <row r="150" spans="10:18" ht="14.4" x14ac:dyDescent="0.3">
      <c r="J150"/>
      <c r="K150"/>
      <c r="L150"/>
      <c r="M150"/>
      <c r="N150"/>
      <c r="O150"/>
      <c r="R150" s="30"/>
    </row>
    <row r="151" spans="10:18" ht="14.4" x14ac:dyDescent="0.3">
      <c r="J151"/>
      <c r="K151"/>
      <c r="L151"/>
      <c r="M151"/>
      <c r="N151"/>
      <c r="O151"/>
      <c r="R151" s="30"/>
    </row>
    <row r="152" spans="10:18" ht="14.4" x14ac:dyDescent="0.3">
      <c r="J152"/>
      <c r="K152"/>
      <c r="L152"/>
      <c r="M152"/>
      <c r="N152"/>
      <c r="O152"/>
      <c r="R152" s="30"/>
    </row>
    <row r="153" spans="10:18" ht="14.4" x14ac:dyDescent="0.3">
      <c r="J153"/>
      <c r="K153"/>
      <c r="L153"/>
      <c r="M153"/>
      <c r="N153"/>
      <c r="O153"/>
      <c r="R153" s="30"/>
    </row>
    <row r="154" spans="10:18" ht="14.4" x14ac:dyDescent="0.3">
      <c r="J154"/>
      <c r="K154"/>
      <c r="L154"/>
      <c r="M154"/>
      <c r="N154"/>
      <c r="O154"/>
      <c r="R154" s="30"/>
    </row>
    <row r="155" spans="10:18" ht="14.4" x14ac:dyDescent="0.3">
      <c r="J155"/>
      <c r="K155"/>
      <c r="L155"/>
      <c r="M155"/>
      <c r="N155"/>
      <c r="O155"/>
      <c r="R155" s="30"/>
    </row>
    <row r="156" spans="10:18" ht="14.4" x14ac:dyDescent="0.3">
      <c r="J156"/>
      <c r="K156"/>
      <c r="L156"/>
      <c r="M156"/>
      <c r="N156"/>
      <c r="O156"/>
      <c r="R156" s="30"/>
    </row>
    <row r="157" spans="10:18" ht="14.4" x14ac:dyDescent="0.3">
      <c r="J157"/>
      <c r="K157"/>
      <c r="L157"/>
      <c r="M157"/>
      <c r="N157"/>
      <c r="O157"/>
      <c r="R157" s="30"/>
    </row>
    <row r="158" spans="10:18" ht="14.4" x14ac:dyDescent="0.3">
      <c r="J158"/>
      <c r="K158"/>
      <c r="L158"/>
      <c r="M158"/>
      <c r="N158"/>
      <c r="O158"/>
      <c r="R158" s="30"/>
    </row>
    <row r="159" spans="10:18" ht="14.4" x14ac:dyDescent="0.3">
      <c r="J159"/>
      <c r="K159"/>
      <c r="L159"/>
      <c r="M159"/>
      <c r="N159"/>
      <c r="O159"/>
      <c r="R159" s="30"/>
    </row>
    <row r="160" spans="10:18" ht="14.4" x14ac:dyDescent="0.3">
      <c r="J160"/>
      <c r="K160"/>
      <c r="L160"/>
      <c r="M160"/>
      <c r="N160"/>
      <c r="O160"/>
      <c r="R160" s="30"/>
    </row>
    <row r="161" spans="10:18" ht="14.4" x14ac:dyDescent="0.3">
      <c r="J161"/>
      <c r="K161"/>
      <c r="L161"/>
      <c r="M161"/>
      <c r="N161"/>
      <c r="O161"/>
      <c r="R161" s="30"/>
    </row>
    <row r="162" spans="10:18" ht="14.4" x14ac:dyDescent="0.3">
      <c r="J162"/>
      <c r="K162"/>
      <c r="L162"/>
      <c r="M162"/>
      <c r="N162"/>
      <c r="O162"/>
      <c r="R162" s="30"/>
    </row>
    <row r="163" spans="10:18" ht="14.4" x14ac:dyDescent="0.3">
      <c r="J163"/>
      <c r="K163"/>
      <c r="L163"/>
      <c r="M163"/>
      <c r="N163"/>
      <c r="O163"/>
      <c r="R163" s="30"/>
    </row>
    <row r="164" spans="10:18" ht="14.4" x14ac:dyDescent="0.3">
      <c r="J164"/>
      <c r="K164"/>
      <c r="L164"/>
      <c r="M164"/>
      <c r="N164"/>
      <c r="O164"/>
      <c r="R164" s="30"/>
    </row>
    <row r="165" spans="10:18" ht="14.4" x14ac:dyDescent="0.3">
      <c r="J165"/>
      <c r="K165"/>
      <c r="L165"/>
      <c r="M165"/>
      <c r="N165"/>
      <c r="O165"/>
      <c r="R165" s="30"/>
    </row>
    <row r="166" spans="10:18" ht="14.4" x14ac:dyDescent="0.3">
      <c r="J166"/>
      <c r="K166"/>
      <c r="L166"/>
      <c r="M166"/>
      <c r="N166"/>
      <c r="O166"/>
      <c r="R166" s="30"/>
    </row>
    <row r="167" spans="10:18" ht="14.4" x14ac:dyDescent="0.3">
      <c r="J167"/>
      <c r="K167"/>
      <c r="L167"/>
      <c r="M167"/>
      <c r="N167"/>
      <c r="O167"/>
      <c r="R167" s="30"/>
    </row>
    <row r="168" spans="10:18" ht="14.4" x14ac:dyDescent="0.3">
      <c r="J168"/>
      <c r="K168"/>
      <c r="L168"/>
      <c r="M168"/>
      <c r="N168"/>
      <c r="O168"/>
      <c r="R168" s="30"/>
    </row>
    <row r="169" spans="10:18" ht="14.4" x14ac:dyDescent="0.3">
      <c r="J169"/>
      <c r="K169"/>
      <c r="L169"/>
      <c r="M169"/>
      <c r="N169"/>
      <c r="O169"/>
      <c r="R169" s="30"/>
    </row>
    <row r="170" spans="10:18" ht="14.4" x14ac:dyDescent="0.3">
      <c r="J170"/>
      <c r="K170"/>
      <c r="L170"/>
      <c r="M170"/>
      <c r="N170"/>
      <c r="O170"/>
      <c r="R170" s="30"/>
    </row>
    <row r="171" spans="10:18" ht="14.4" x14ac:dyDescent="0.3">
      <c r="J171"/>
      <c r="K171"/>
      <c r="L171"/>
      <c r="M171"/>
      <c r="N171"/>
      <c r="O171"/>
      <c r="R171" s="30"/>
    </row>
    <row r="172" spans="10:18" ht="14.4" x14ac:dyDescent="0.3">
      <c r="J172"/>
      <c r="K172"/>
      <c r="L172"/>
      <c r="M172"/>
      <c r="N172"/>
      <c r="O172"/>
      <c r="R172" s="30"/>
    </row>
    <row r="173" spans="10:18" ht="14.4" x14ac:dyDescent="0.3">
      <c r="J173"/>
      <c r="K173"/>
      <c r="L173"/>
      <c r="M173"/>
      <c r="N173"/>
      <c r="O173"/>
      <c r="R173" s="30"/>
    </row>
    <row r="174" spans="10:18" ht="14.4" x14ac:dyDescent="0.3">
      <c r="J174"/>
      <c r="K174"/>
      <c r="L174"/>
      <c r="M174"/>
      <c r="N174"/>
      <c r="O174"/>
      <c r="R174" s="30"/>
    </row>
    <row r="175" spans="10:18" ht="14.4" x14ac:dyDescent="0.3">
      <c r="J175"/>
      <c r="K175"/>
      <c r="L175"/>
      <c r="M175"/>
      <c r="N175"/>
      <c r="O175"/>
      <c r="R175" s="30"/>
    </row>
    <row r="176" spans="10:18" ht="14.4" x14ac:dyDescent="0.3">
      <c r="J176"/>
      <c r="K176"/>
      <c r="L176"/>
      <c r="M176"/>
      <c r="N176"/>
      <c r="O176"/>
      <c r="R176" s="30"/>
    </row>
    <row r="177" spans="10:18" ht="14.4" x14ac:dyDescent="0.3">
      <c r="J177"/>
      <c r="K177"/>
      <c r="L177"/>
      <c r="M177"/>
      <c r="N177"/>
      <c r="O177"/>
      <c r="R177" s="30"/>
    </row>
    <row r="178" spans="10:18" ht="14.4" x14ac:dyDescent="0.3">
      <c r="J178"/>
      <c r="K178"/>
      <c r="L178"/>
      <c r="M178"/>
      <c r="N178"/>
      <c r="O178"/>
      <c r="R178" s="30"/>
    </row>
    <row r="179" spans="10:18" ht="14.4" x14ac:dyDescent="0.3">
      <c r="J179"/>
      <c r="K179"/>
      <c r="L179"/>
      <c r="M179"/>
      <c r="N179"/>
      <c r="O179"/>
      <c r="R179" s="30"/>
    </row>
    <row r="180" spans="10:18" ht="14.4" x14ac:dyDescent="0.3">
      <c r="J180"/>
      <c r="K180"/>
      <c r="L180"/>
      <c r="M180"/>
      <c r="N180"/>
      <c r="O180"/>
      <c r="R180" s="30"/>
    </row>
    <row r="181" spans="10:18" ht="14.4" x14ac:dyDescent="0.3">
      <c r="J181"/>
      <c r="K181"/>
      <c r="L181"/>
      <c r="M181"/>
      <c r="N181"/>
      <c r="O181"/>
      <c r="R181" s="30"/>
    </row>
    <row r="182" spans="10:18" ht="14.4" x14ac:dyDescent="0.3">
      <c r="J182"/>
      <c r="K182"/>
      <c r="L182"/>
      <c r="M182"/>
      <c r="N182"/>
      <c r="O182"/>
      <c r="R182" s="30"/>
    </row>
    <row r="183" spans="10:18" ht="14.4" x14ac:dyDescent="0.3">
      <c r="J183"/>
      <c r="K183"/>
      <c r="L183"/>
      <c r="M183"/>
      <c r="N183"/>
      <c r="O183"/>
      <c r="R183" s="30"/>
    </row>
    <row r="184" spans="10:18" ht="14.4" x14ac:dyDescent="0.3">
      <c r="J184"/>
      <c r="K184"/>
      <c r="L184"/>
      <c r="M184"/>
      <c r="N184"/>
      <c r="O184"/>
      <c r="R184" s="30"/>
    </row>
    <row r="185" spans="10:18" ht="14.4" x14ac:dyDescent="0.3">
      <c r="J185"/>
      <c r="K185"/>
      <c r="L185"/>
      <c r="M185"/>
      <c r="N185"/>
      <c r="O185"/>
      <c r="R185" s="30"/>
    </row>
    <row r="186" spans="10:18" ht="14.4" x14ac:dyDescent="0.3">
      <c r="J186"/>
      <c r="K186"/>
      <c r="L186"/>
      <c r="M186"/>
      <c r="N186"/>
      <c r="O186"/>
      <c r="R186" s="30"/>
    </row>
    <row r="187" spans="10:18" ht="14.4" x14ac:dyDescent="0.3">
      <c r="J187"/>
      <c r="K187"/>
      <c r="L187"/>
      <c r="M187"/>
      <c r="N187"/>
      <c r="O187"/>
      <c r="R187" s="30"/>
    </row>
    <row r="188" spans="10:18" ht="14.4" x14ac:dyDescent="0.3">
      <c r="J188"/>
      <c r="K188"/>
      <c r="L188"/>
      <c r="M188"/>
      <c r="N188"/>
      <c r="O188"/>
      <c r="R188" s="30"/>
    </row>
    <row r="189" spans="10:18" ht="14.4" x14ac:dyDescent="0.3">
      <c r="J189"/>
      <c r="K189"/>
      <c r="L189"/>
      <c r="M189"/>
      <c r="N189"/>
      <c r="O189"/>
      <c r="R189" s="30"/>
    </row>
    <row r="190" spans="10:18" ht="14.4" x14ac:dyDescent="0.3">
      <c r="J190"/>
      <c r="K190"/>
      <c r="L190"/>
      <c r="M190"/>
      <c r="N190"/>
      <c r="O190"/>
      <c r="R190" s="30"/>
    </row>
    <row r="191" spans="10:18" ht="14.4" x14ac:dyDescent="0.3">
      <c r="J191"/>
      <c r="K191"/>
      <c r="L191"/>
      <c r="M191"/>
      <c r="N191"/>
      <c r="O191"/>
      <c r="R191" s="30"/>
    </row>
    <row r="192" spans="10:18" ht="14.4" x14ac:dyDescent="0.3">
      <c r="J192"/>
      <c r="K192"/>
      <c r="L192"/>
      <c r="M192"/>
      <c r="N192"/>
      <c r="O192"/>
      <c r="R192" s="30"/>
    </row>
    <row r="193" spans="10:18" ht="14.4" x14ac:dyDescent="0.3">
      <c r="J193"/>
      <c r="K193"/>
      <c r="L193"/>
      <c r="M193"/>
      <c r="N193"/>
      <c r="O193"/>
      <c r="R193" s="30"/>
    </row>
    <row r="194" spans="10:18" ht="14.4" x14ac:dyDescent="0.3">
      <c r="J194"/>
      <c r="K194"/>
      <c r="L194"/>
      <c r="M194"/>
      <c r="N194"/>
      <c r="O194"/>
      <c r="R194" s="30"/>
    </row>
    <row r="195" spans="10:18" ht="14.4" x14ac:dyDescent="0.3">
      <c r="J195"/>
      <c r="K195"/>
      <c r="L195"/>
      <c r="M195"/>
      <c r="N195"/>
      <c r="O195"/>
      <c r="R195" s="30"/>
    </row>
    <row r="196" spans="10:18" ht="14.4" x14ac:dyDescent="0.3">
      <c r="J196"/>
      <c r="K196"/>
      <c r="L196"/>
      <c r="M196"/>
      <c r="N196"/>
      <c r="O196"/>
      <c r="R196" s="30"/>
    </row>
    <row r="197" spans="10:18" ht="14.4" x14ac:dyDescent="0.3">
      <c r="J197"/>
      <c r="K197"/>
      <c r="L197"/>
      <c r="M197"/>
      <c r="N197"/>
      <c r="O197"/>
      <c r="R197" s="30"/>
    </row>
    <row r="198" spans="10:18" ht="14.4" x14ac:dyDescent="0.3">
      <c r="J198"/>
      <c r="K198"/>
      <c r="L198"/>
      <c r="M198"/>
      <c r="N198"/>
      <c r="O198"/>
    </row>
    <row r="199" spans="10:18" ht="19.2" customHeight="1" x14ac:dyDescent="0.3">
      <c r="K199" s="8"/>
    </row>
    <row r="200" spans="10:18" ht="19.2" customHeight="1" x14ac:dyDescent="0.3">
      <c r="K200" s="8"/>
    </row>
    <row r="201" spans="10:18" ht="19.2" customHeight="1" x14ac:dyDescent="0.3">
      <c r="K201" s="8"/>
    </row>
    <row r="202" spans="10:18" ht="19.2" customHeight="1" x14ac:dyDescent="0.3">
      <c r="K202" s="8"/>
    </row>
    <row r="203" spans="10:18" ht="19.2" customHeight="1" x14ac:dyDescent="0.3">
      <c r="K203" s="8"/>
    </row>
    <row r="204" spans="10:18" ht="19.2" customHeight="1" x14ac:dyDescent="0.3">
      <c r="K204" s="8"/>
    </row>
    <row r="205" spans="10:18" ht="19.2" customHeight="1" x14ac:dyDescent="0.3">
      <c r="K205" s="8"/>
    </row>
    <row r="206" spans="10:18" ht="19.2" customHeight="1" x14ac:dyDescent="0.3">
      <c r="K206" s="8"/>
    </row>
    <row r="207" spans="10:18" ht="19.2" customHeight="1" x14ac:dyDescent="0.3">
      <c r="K207" s="8"/>
    </row>
    <row r="208" spans="10:18" ht="19.2" customHeight="1" x14ac:dyDescent="0.3">
      <c r="K208" s="8"/>
    </row>
    <row r="209" spans="11:11" ht="19.2" customHeight="1" x14ac:dyDescent="0.3">
      <c r="K209" s="8"/>
    </row>
    <row r="210" spans="11:11" ht="19.2" customHeight="1" x14ac:dyDescent="0.3">
      <c r="K210" s="8"/>
    </row>
    <row r="211" spans="11:11" ht="19.2" customHeight="1" x14ac:dyDescent="0.3">
      <c r="K211" s="8"/>
    </row>
    <row r="212" spans="11:11" ht="19.2" customHeight="1" x14ac:dyDescent="0.3">
      <c r="K212" s="8"/>
    </row>
    <row r="213" spans="11:11" ht="19.2" customHeight="1" x14ac:dyDescent="0.3">
      <c r="K213" s="8"/>
    </row>
    <row r="214" spans="11:11" ht="19.2" customHeight="1" x14ac:dyDescent="0.3">
      <c r="K214" s="8"/>
    </row>
    <row r="215" spans="11:11" ht="19.2" customHeight="1" x14ac:dyDescent="0.3">
      <c r="K215" s="8"/>
    </row>
    <row r="216" spans="11:11" ht="19.2" customHeight="1" x14ac:dyDescent="0.3">
      <c r="K216" s="8"/>
    </row>
    <row r="217" spans="11:11" ht="19.2" customHeight="1" x14ac:dyDescent="0.3">
      <c r="K217" s="8"/>
    </row>
    <row r="218" spans="11:11" ht="19.2" customHeight="1" x14ac:dyDescent="0.3">
      <c r="K218" s="8"/>
    </row>
    <row r="219" spans="11:11" ht="19.2" customHeight="1" x14ac:dyDescent="0.3">
      <c r="K219" s="8"/>
    </row>
    <row r="220" spans="11:11" ht="19.2" customHeight="1" x14ac:dyDescent="0.3">
      <c r="K220" s="8"/>
    </row>
    <row r="221" spans="11:11" ht="19.2" customHeight="1" x14ac:dyDescent="0.3">
      <c r="K221" s="8"/>
    </row>
    <row r="222" spans="11:11" ht="19.2" customHeight="1" x14ac:dyDescent="0.3">
      <c r="K222" s="8"/>
    </row>
    <row r="223" spans="11:11" ht="19.2" customHeight="1" x14ac:dyDescent="0.3">
      <c r="K223" s="8"/>
    </row>
    <row r="224" spans="11:11" ht="19.2" customHeight="1" x14ac:dyDescent="0.3">
      <c r="K224" s="8"/>
    </row>
    <row r="225" spans="11:11" ht="19.2" customHeight="1" x14ac:dyDescent="0.3">
      <c r="K225" s="8"/>
    </row>
    <row r="226" spans="11:11" ht="19.2" customHeight="1" x14ac:dyDescent="0.3">
      <c r="K226" s="8"/>
    </row>
    <row r="227" spans="11:11" ht="19.2" customHeight="1" x14ac:dyDescent="0.3">
      <c r="K227" s="8"/>
    </row>
    <row r="228" spans="11:11" ht="19.2" customHeight="1" x14ac:dyDescent="0.3">
      <c r="K228" s="8"/>
    </row>
    <row r="229" spans="11:11" ht="19.2" customHeight="1" x14ac:dyDescent="0.3">
      <c r="K229" s="8"/>
    </row>
    <row r="230" spans="11:11" ht="19.2" customHeight="1" x14ac:dyDescent="0.3">
      <c r="K230" s="8"/>
    </row>
    <row r="231" spans="11:11" ht="19.2" customHeight="1" x14ac:dyDescent="0.3">
      <c r="K231" s="8"/>
    </row>
    <row r="232" spans="11:11" ht="19.2" customHeight="1" x14ac:dyDescent="0.3">
      <c r="K232" s="8"/>
    </row>
    <row r="233" spans="11:11" ht="19.2" customHeight="1" x14ac:dyDescent="0.3">
      <c r="K233" s="8"/>
    </row>
    <row r="234" spans="11:11" ht="19.2" customHeight="1" x14ac:dyDescent="0.3">
      <c r="K234" s="8"/>
    </row>
    <row r="235" spans="11:11" ht="19.2" customHeight="1" x14ac:dyDescent="0.3">
      <c r="K235" s="8"/>
    </row>
    <row r="236" spans="11:11" ht="19.2" customHeight="1" x14ac:dyDescent="0.3">
      <c r="K236" s="8"/>
    </row>
    <row r="237" spans="11:11" ht="19.2" customHeight="1" x14ac:dyDescent="0.3">
      <c r="K237" s="8"/>
    </row>
    <row r="238" spans="11:11" ht="19.2" customHeight="1" x14ac:dyDescent="0.3">
      <c r="K238" s="8"/>
    </row>
    <row r="239" spans="11:11" ht="19.2" customHeight="1" x14ac:dyDescent="0.3">
      <c r="K239" s="8"/>
    </row>
    <row r="240" spans="11:11" ht="19.2" customHeight="1" x14ac:dyDescent="0.3">
      <c r="K240" s="8"/>
    </row>
    <row r="241" spans="11:11" ht="19.2" customHeight="1" x14ac:dyDescent="0.3">
      <c r="K241" s="8"/>
    </row>
    <row r="242" spans="11:11" ht="19.2" customHeight="1" x14ac:dyDescent="0.3">
      <c r="K242" s="8"/>
    </row>
    <row r="243" spans="11:11" ht="19.2" customHeight="1" x14ac:dyDescent="0.3">
      <c r="K243" s="8"/>
    </row>
    <row r="244" spans="11:11" ht="19.2" customHeight="1" x14ac:dyDescent="0.3">
      <c r="K244" s="8"/>
    </row>
    <row r="245" spans="11:11" ht="19.2" customHeight="1" x14ac:dyDescent="0.3">
      <c r="K245" s="8"/>
    </row>
    <row r="246" spans="11:11" ht="19.2" customHeight="1" x14ac:dyDescent="0.3">
      <c r="K246" s="8"/>
    </row>
    <row r="247" spans="11:11" ht="19.2" customHeight="1" x14ac:dyDescent="0.3">
      <c r="K247" s="8"/>
    </row>
    <row r="248" spans="11:11" ht="19.2" customHeight="1" x14ac:dyDescent="0.3">
      <c r="K248" s="8"/>
    </row>
    <row r="249" spans="11:11" ht="19.2" customHeight="1" x14ac:dyDescent="0.3">
      <c r="K249" s="8"/>
    </row>
    <row r="250" spans="11:11" ht="19.2" customHeight="1" x14ac:dyDescent="0.3">
      <c r="K250" s="8"/>
    </row>
    <row r="251" spans="11:11" ht="19.2" customHeight="1" x14ac:dyDescent="0.3">
      <c r="K251" s="8"/>
    </row>
    <row r="252" spans="11:11" ht="19.2" customHeight="1" x14ac:dyDescent="0.3">
      <c r="K252" s="8"/>
    </row>
    <row r="253" spans="11:11" ht="19.2" customHeight="1" x14ac:dyDescent="0.3">
      <c r="K253" s="8"/>
    </row>
    <row r="254" spans="11:11" ht="19.2" customHeight="1" x14ac:dyDescent="0.3">
      <c r="K254" s="8"/>
    </row>
    <row r="255" spans="11:11" ht="19.2" customHeight="1" x14ac:dyDescent="0.3">
      <c r="K255" s="8"/>
    </row>
    <row r="256" spans="11:11" ht="19.2" customHeight="1" x14ac:dyDescent="0.3">
      <c r="K256" s="8"/>
    </row>
    <row r="257" spans="11:11" ht="19.2" customHeight="1" x14ac:dyDescent="0.3">
      <c r="K257" s="8"/>
    </row>
    <row r="258" spans="11:11" ht="19.2" customHeight="1" x14ac:dyDescent="0.3">
      <c r="K258" s="8"/>
    </row>
    <row r="259" spans="11:11" ht="19.2" customHeight="1" x14ac:dyDescent="0.3">
      <c r="K259" s="8"/>
    </row>
    <row r="260" spans="11:11" ht="19.2" customHeight="1" x14ac:dyDescent="0.3">
      <c r="K260" s="8"/>
    </row>
    <row r="261" spans="11:11" ht="19.2" customHeight="1" x14ac:dyDescent="0.3">
      <c r="K261" s="8"/>
    </row>
    <row r="262" spans="11:11" ht="19.2" customHeight="1" x14ac:dyDescent="0.3">
      <c r="K262" s="8"/>
    </row>
    <row r="263" spans="11:11" ht="19.2" customHeight="1" x14ac:dyDescent="0.3">
      <c r="K263" s="8"/>
    </row>
    <row r="264" spans="11:11" ht="19.2" customHeight="1" x14ac:dyDescent="0.3">
      <c r="K264" s="8"/>
    </row>
    <row r="265" spans="11:11" ht="19.2" customHeight="1" x14ac:dyDescent="0.3">
      <c r="K265" s="8"/>
    </row>
    <row r="266" spans="11:11" ht="19.2" customHeight="1" x14ac:dyDescent="0.3">
      <c r="K266" s="8"/>
    </row>
    <row r="267" spans="11:11" ht="19.2" customHeight="1" x14ac:dyDescent="0.3">
      <c r="K267" s="8"/>
    </row>
    <row r="268" spans="11:11" ht="19.2" customHeight="1" x14ac:dyDescent="0.3">
      <c r="K268" s="8"/>
    </row>
    <row r="269" spans="11:11" ht="19.2" customHeight="1" x14ac:dyDescent="0.3">
      <c r="K269" s="8"/>
    </row>
    <row r="270" spans="11:11" ht="19.2" customHeight="1" x14ac:dyDescent="0.3">
      <c r="K270" s="8"/>
    </row>
    <row r="271" spans="11:11" ht="19.2" customHeight="1" x14ac:dyDescent="0.3">
      <c r="K271" s="8"/>
    </row>
    <row r="272" spans="11:11" ht="19.2" customHeight="1" x14ac:dyDescent="0.3">
      <c r="K272" s="8"/>
    </row>
    <row r="273" spans="11:11" ht="19.2" customHeight="1" x14ac:dyDescent="0.3">
      <c r="K273" s="8"/>
    </row>
    <row r="274" spans="11:11" ht="19.2" customHeight="1" x14ac:dyDescent="0.3">
      <c r="K274" s="8"/>
    </row>
    <row r="275" spans="11:11" ht="19.2" customHeight="1" x14ac:dyDescent="0.3">
      <c r="K275" s="8"/>
    </row>
    <row r="276" spans="11:11" ht="19.2" customHeight="1" x14ac:dyDescent="0.3">
      <c r="K276" s="8"/>
    </row>
    <row r="277" spans="11:11" ht="19.2" customHeight="1" x14ac:dyDescent="0.3">
      <c r="K277" s="8"/>
    </row>
    <row r="278" spans="11:11" ht="19.2" customHeight="1" x14ac:dyDescent="0.3">
      <c r="K278" s="8"/>
    </row>
    <row r="279" spans="11:11" ht="19.2" customHeight="1" x14ac:dyDescent="0.3">
      <c r="K279" s="8"/>
    </row>
    <row r="280" spans="11:11" ht="19.2" customHeight="1" x14ac:dyDescent="0.3">
      <c r="K280" s="8"/>
    </row>
    <row r="281" spans="11:11" ht="19.2" customHeight="1" x14ac:dyDescent="0.3">
      <c r="K281" s="8"/>
    </row>
    <row r="282" spans="11:11" ht="19.2" customHeight="1" x14ac:dyDescent="0.3">
      <c r="K282" s="8"/>
    </row>
    <row r="283" spans="11:11" ht="19.2" customHeight="1" x14ac:dyDescent="0.3">
      <c r="K283" s="8"/>
    </row>
    <row r="284" spans="11:11" ht="19.2" customHeight="1" x14ac:dyDescent="0.3">
      <c r="K284" s="8"/>
    </row>
    <row r="285" spans="11:11" ht="19.2" customHeight="1" x14ac:dyDescent="0.3">
      <c r="K285" s="8"/>
    </row>
    <row r="286" spans="11:11" ht="19.2" customHeight="1" x14ac:dyDescent="0.3">
      <c r="K286" s="8"/>
    </row>
    <row r="287" spans="11:11" ht="19.2" customHeight="1" x14ac:dyDescent="0.3">
      <c r="K287" s="8"/>
    </row>
    <row r="288" spans="11:11" ht="19.2" customHeight="1" x14ac:dyDescent="0.3">
      <c r="K288" s="8"/>
    </row>
    <row r="289" spans="11:11" ht="19.2" customHeight="1" x14ac:dyDescent="0.3">
      <c r="K289" s="8"/>
    </row>
    <row r="290" spans="11:11" ht="19.2" customHeight="1" x14ac:dyDescent="0.3">
      <c r="K290" s="8"/>
    </row>
    <row r="291" spans="11:11" ht="19.2" customHeight="1" x14ac:dyDescent="0.3">
      <c r="K291" s="8"/>
    </row>
    <row r="292" spans="11:11" ht="19.2" customHeight="1" x14ac:dyDescent="0.3">
      <c r="K292" s="8"/>
    </row>
    <row r="293" spans="11:11" ht="19.2" customHeight="1" x14ac:dyDescent="0.3">
      <c r="K293" s="8"/>
    </row>
    <row r="294" spans="11:11" ht="19.2" customHeight="1" x14ac:dyDescent="0.3">
      <c r="K294" s="8"/>
    </row>
    <row r="295" spans="11:11" ht="19.2" customHeight="1" x14ac:dyDescent="0.3">
      <c r="K295" s="8"/>
    </row>
    <row r="296" spans="11:11" ht="19.2" customHeight="1" x14ac:dyDescent="0.3">
      <c r="K296" s="8"/>
    </row>
    <row r="297" spans="11:11" ht="19.2" customHeight="1" x14ac:dyDescent="0.3">
      <c r="K297" s="8"/>
    </row>
    <row r="298" spans="11:11" ht="19.2" customHeight="1" x14ac:dyDescent="0.3">
      <c r="K298" s="8"/>
    </row>
    <row r="299" spans="11:11" ht="19.2" customHeight="1" x14ac:dyDescent="0.3">
      <c r="K299" s="8"/>
    </row>
    <row r="300" spans="11:11" ht="19.2" customHeight="1" x14ac:dyDescent="0.3">
      <c r="K300" s="8"/>
    </row>
    <row r="301" spans="11:11" ht="19.2" customHeight="1" x14ac:dyDescent="0.3">
      <c r="K301" s="8"/>
    </row>
    <row r="302" spans="11:11" ht="19.2" customHeight="1" x14ac:dyDescent="0.3">
      <c r="K302" s="8"/>
    </row>
    <row r="303" spans="11:11" ht="19.2" customHeight="1" x14ac:dyDescent="0.3">
      <c r="K303" s="8"/>
    </row>
    <row r="304" spans="11:11" ht="19.2" customHeight="1" x14ac:dyDescent="0.3">
      <c r="K304" s="8"/>
    </row>
    <row r="305" spans="11:11" ht="19.2" customHeight="1" x14ac:dyDescent="0.3">
      <c r="K305" s="8"/>
    </row>
    <row r="306" spans="11:11" ht="19.2" customHeight="1" x14ac:dyDescent="0.3">
      <c r="K306" s="8"/>
    </row>
    <row r="307" spans="11:11" ht="19.2" customHeight="1" x14ac:dyDescent="0.3">
      <c r="K307" s="8"/>
    </row>
    <row r="308" spans="11:11" ht="19.2" customHeight="1" x14ac:dyDescent="0.3">
      <c r="K308" s="8"/>
    </row>
    <row r="309" spans="11:11" ht="19.2" customHeight="1" x14ac:dyDescent="0.3">
      <c r="K309" s="8"/>
    </row>
    <row r="310" spans="11:11" ht="19.2" customHeight="1" x14ac:dyDescent="0.3">
      <c r="K310" s="8"/>
    </row>
    <row r="311" spans="11:11" ht="19.2" customHeight="1" x14ac:dyDescent="0.3">
      <c r="K311" s="8"/>
    </row>
    <row r="312" spans="11:11" ht="19.2" customHeight="1" x14ac:dyDescent="0.3">
      <c r="K312" s="8"/>
    </row>
    <row r="313" spans="11:11" ht="19.2" customHeight="1" x14ac:dyDescent="0.3">
      <c r="K313" s="8"/>
    </row>
    <row r="314" spans="11:11" ht="19.2" customHeight="1" x14ac:dyDescent="0.3">
      <c r="K314" s="8"/>
    </row>
    <row r="315" spans="11:11" ht="19.2" customHeight="1" x14ac:dyDescent="0.3">
      <c r="K315" s="8"/>
    </row>
    <row r="316" spans="11:11" ht="19.2" customHeight="1" x14ac:dyDescent="0.3">
      <c r="K316" s="8"/>
    </row>
    <row r="317" spans="11:11" ht="19.2" customHeight="1" x14ac:dyDescent="0.3">
      <c r="K317" s="8"/>
    </row>
    <row r="318" spans="11:11" ht="19.2" customHeight="1" x14ac:dyDescent="0.3">
      <c r="K318" s="8"/>
    </row>
    <row r="319" spans="11:11" ht="19.2" customHeight="1" x14ac:dyDescent="0.3">
      <c r="K319" s="8"/>
    </row>
    <row r="320" spans="11:11" ht="19.2" customHeight="1" x14ac:dyDescent="0.3">
      <c r="K320" s="8"/>
    </row>
    <row r="321" spans="11:11" ht="19.2" customHeight="1" x14ac:dyDescent="0.3">
      <c r="K321" s="8"/>
    </row>
    <row r="322" spans="11:11" ht="19.2" customHeight="1" x14ac:dyDescent="0.3">
      <c r="K322" s="8"/>
    </row>
    <row r="323" spans="11:11" ht="19.2" customHeight="1" x14ac:dyDescent="0.3">
      <c r="K323" s="8"/>
    </row>
    <row r="324" spans="11:11" ht="19.2" customHeight="1" x14ac:dyDescent="0.3">
      <c r="K324" s="8"/>
    </row>
    <row r="325" spans="11:11" ht="19.2" customHeight="1" x14ac:dyDescent="0.3">
      <c r="K325" s="8"/>
    </row>
    <row r="326" spans="11:11" ht="19.2" customHeight="1" x14ac:dyDescent="0.3">
      <c r="K326" s="8"/>
    </row>
    <row r="327" spans="11:11" ht="19.2" customHeight="1" x14ac:dyDescent="0.3">
      <c r="K327" s="8"/>
    </row>
    <row r="328" spans="11:11" ht="19.2" customHeight="1" x14ac:dyDescent="0.3">
      <c r="K328" s="8"/>
    </row>
    <row r="329" spans="11:11" ht="19.2" customHeight="1" x14ac:dyDescent="0.3">
      <c r="K329" s="8"/>
    </row>
    <row r="330" spans="11:11" ht="19.2" customHeight="1" x14ac:dyDescent="0.3">
      <c r="K330" s="8"/>
    </row>
    <row r="331" spans="11:11" ht="19.2" customHeight="1" x14ac:dyDescent="0.3">
      <c r="K331" s="8"/>
    </row>
    <row r="332" spans="11:11" ht="19.2" customHeight="1" x14ac:dyDescent="0.3">
      <c r="K332" s="8"/>
    </row>
    <row r="333" spans="11:11" ht="19.2" customHeight="1" x14ac:dyDescent="0.3">
      <c r="K333" s="8"/>
    </row>
    <row r="334" spans="11:11" ht="19.2" customHeight="1" x14ac:dyDescent="0.3">
      <c r="K334" s="8"/>
    </row>
    <row r="335" spans="11:11" ht="19.2" customHeight="1" x14ac:dyDescent="0.3">
      <c r="K335" s="8"/>
    </row>
    <row r="336" spans="11:11" ht="19.2" customHeight="1" x14ac:dyDescent="0.3">
      <c r="K336" s="8"/>
    </row>
    <row r="337" spans="11:11" ht="19.2" customHeight="1" x14ac:dyDescent="0.3">
      <c r="K337" s="8"/>
    </row>
    <row r="338" spans="11:11" ht="19.2" customHeight="1" x14ac:dyDescent="0.3">
      <c r="K338" s="8"/>
    </row>
    <row r="339" spans="11:11" ht="19.2" customHeight="1" x14ac:dyDescent="0.3">
      <c r="K339" s="8"/>
    </row>
    <row r="340" spans="11:11" ht="19.2" customHeight="1" x14ac:dyDescent="0.3">
      <c r="K340" s="8"/>
    </row>
    <row r="341" spans="11:11" ht="19.2" customHeight="1" x14ac:dyDescent="0.3">
      <c r="K341" s="8"/>
    </row>
    <row r="342" spans="11:11" ht="19.2" customHeight="1" x14ac:dyDescent="0.3">
      <c r="K342" s="8"/>
    </row>
    <row r="343" spans="11:11" ht="19.2" customHeight="1" x14ac:dyDescent="0.3">
      <c r="K343" s="8"/>
    </row>
    <row r="344" spans="11:11" ht="19.2" customHeight="1" x14ac:dyDescent="0.3">
      <c r="K344" s="8"/>
    </row>
    <row r="345" spans="11:11" ht="19.2" customHeight="1" x14ac:dyDescent="0.3">
      <c r="K345" s="8"/>
    </row>
    <row r="346" spans="11:11" ht="19.2" customHeight="1" x14ac:dyDescent="0.3">
      <c r="K346" s="8"/>
    </row>
    <row r="347" spans="11:11" ht="19.2" customHeight="1" x14ac:dyDescent="0.3">
      <c r="K347" s="8"/>
    </row>
    <row r="348" spans="11:11" ht="19.2" customHeight="1" x14ac:dyDescent="0.3">
      <c r="K348" s="8"/>
    </row>
    <row r="349" spans="11:11" ht="19.2" customHeight="1" x14ac:dyDescent="0.3">
      <c r="K349" s="8"/>
    </row>
    <row r="350" spans="11:11" ht="19.2" customHeight="1" x14ac:dyDescent="0.3">
      <c r="K350" s="8"/>
    </row>
    <row r="351" spans="11:11" ht="19.2" customHeight="1" x14ac:dyDescent="0.3">
      <c r="K351" s="8"/>
    </row>
    <row r="352" spans="11:11" ht="19.2" customHeight="1" x14ac:dyDescent="0.3">
      <c r="K352" s="8"/>
    </row>
    <row r="353" spans="11:11" ht="19.2" customHeight="1" x14ac:dyDescent="0.3">
      <c r="K353" s="8"/>
    </row>
    <row r="354" spans="11:11" ht="19.2" customHeight="1" x14ac:dyDescent="0.3">
      <c r="K354" s="8"/>
    </row>
    <row r="355" spans="11:11" ht="19.2" customHeight="1" x14ac:dyDescent="0.3">
      <c r="K355" s="8"/>
    </row>
    <row r="356" spans="11:11" ht="19.2" customHeight="1" x14ac:dyDescent="0.3">
      <c r="K356" s="8"/>
    </row>
    <row r="357" spans="11:11" ht="19.2" customHeight="1" x14ac:dyDescent="0.3">
      <c r="K357" s="8"/>
    </row>
    <row r="358" spans="11:11" ht="19.2" customHeight="1" x14ac:dyDescent="0.3">
      <c r="K358" s="8"/>
    </row>
    <row r="359" spans="11:11" ht="19.2" customHeight="1" x14ac:dyDescent="0.3">
      <c r="K359" s="8"/>
    </row>
    <row r="360" spans="11:11" ht="19.2" customHeight="1" x14ac:dyDescent="0.3">
      <c r="K360" s="8"/>
    </row>
    <row r="361" spans="11:11" ht="19.2" customHeight="1" x14ac:dyDescent="0.3">
      <c r="K361" s="8"/>
    </row>
    <row r="362" spans="11:11" ht="19.2" customHeight="1" x14ac:dyDescent="0.3">
      <c r="K362" s="8"/>
    </row>
    <row r="363" spans="11:11" ht="19.2" customHeight="1" x14ac:dyDescent="0.3">
      <c r="K363" s="8"/>
    </row>
    <row r="364" spans="11:11" ht="19.2" customHeight="1" x14ac:dyDescent="0.3">
      <c r="K364" s="8"/>
    </row>
    <row r="365" spans="11:11" ht="19.2" customHeight="1" x14ac:dyDescent="0.3">
      <c r="K365" s="8"/>
    </row>
    <row r="366" spans="11:11" ht="19.2" customHeight="1" x14ac:dyDescent="0.3">
      <c r="K366" s="8"/>
    </row>
    <row r="367" spans="11:11" ht="19.2" customHeight="1" x14ac:dyDescent="0.3">
      <c r="K367" s="8"/>
    </row>
    <row r="368" spans="11:11" ht="19.2" customHeight="1" x14ac:dyDescent="0.3">
      <c r="K368" s="8"/>
    </row>
    <row r="369" spans="11:11" ht="19.2" customHeight="1" x14ac:dyDescent="0.3">
      <c r="K369" s="8"/>
    </row>
    <row r="370" spans="11:11" ht="19.2" customHeight="1" x14ac:dyDescent="0.3">
      <c r="K370" s="8"/>
    </row>
    <row r="371" spans="11:11" ht="19.2" customHeight="1" x14ac:dyDescent="0.3">
      <c r="K371" s="8"/>
    </row>
    <row r="372" spans="11:11" ht="19.2" customHeight="1" x14ac:dyDescent="0.3">
      <c r="K372" s="8"/>
    </row>
    <row r="373" spans="11:11" ht="19.2" customHeight="1" x14ac:dyDescent="0.3">
      <c r="K373" s="8"/>
    </row>
    <row r="374" spans="11:11" ht="19.2" customHeight="1" x14ac:dyDescent="0.3">
      <c r="K374" s="8"/>
    </row>
    <row r="375" spans="11:11" ht="19.2" customHeight="1" x14ac:dyDescent="0.3">
      <c r="K375" s="8"/>
    </row>
    <row r="376" spans="11:11" ht="19.2" customHeight="1" x14ac:dyDescent="0.3">
      <c r="K376" s="8"/>
    </row>
    <row r="377" spans="11:11" ht="19.2" customHeight="1" x14ac:dyDescent="0.3">
      <c r="K377" s="8"/>
    </row>
    <row r="378" spans="11:11" ht="19.2" customHeight="1" x14ac:dyDescent="0.3">
      <c r="K378" s="8"/>
    </row>
    <row r="379" spans="11:11" ht="19.2" customHeight="1" x14ac:dyDescent="0.3">
      <c r="K379" s="8"/>
    </row>
    <row r="380" spans="11:11" ht="19.2" customHeight="1" x14ac:dyDescent="0.3">
      <c r="K380" s="8"/>
    </row>
    <row r="381" spans="11:11" ht="19.2" customHeight="1" x14ac:dyDescent="0.3">
      <c r="K381" s="8"/>
    </row>
    <row r="382" spans="11:11" ht="19.2" customHeight="1" x14ac:dyDescent="0.3">
      <c r="K382" s="8"/>
    </row>
    <row r="383" spans="11:11" ht="19.2" customHeight="1" x14ac:dyDescent="0.3">
      <c r="K383" s="8"/>
    </row>
    <row r="384" spans="11:11" ht="19.2" customHeight="1" x14ac:dyDescent="0.3">
      <c r="K384" s="8"/>
    </row>
    <row r="385" spans="11:11" ht="19.2" customHeight="1" x14ac:dyDescent="0.3">
      <c r="K385" s="8"/>
    </row>
    <row r="386" spans="11:11" ht="19.2" customHeight="1" x14ac:dyDescent="0.3">
      <c r="K386" s="8"/>
    </row>
    <row r="387" spans="11:11" ht="19.2" customHeight="1" x14ac:dyDescent="0.3">
      <c r="K387" s="8"/>
    </row>
    <row r="388" spans="11:11" ht="19.2" customHeight="1" x14ac:dyDescent="0.3">
      <c r="K388" s="8"/>
    </row>
    <row r="389" spans="11:11" ht="19.2" customHeight="1" x14ac:dyDescent="0.3">
      <c r="K389" s="8"/>
    </row>
    <row r="390" spans="11:11" ht="19.2" customHeight="1" x14ac:dyDescent="0.3">
      <c r="K390" s="8"/>
    </row>
    <row r="391" spans="11:11" ht="19.2" customHeight="1" x14ac:dyDescent="0.3">
      <c r="K391" s="8"/>
    </row>
    <row r="392" spans="11:11" ht="19.2" customHeight="1" x14ac:dyDescent="0.3">
      <c r="K392" s="8"/>
    </row>
    <row r="393" spans="11:11" ht="19.2" customHeight="1" x14ac:dyDescent="0.3">
      <c r="K393" s="8"/>
    </row>
    <row r="394" spans="11:11" ht="19.2" customHeight="1" x14ac:dyDescent="0.3">
      <c r="K394" s="8"/>
    </row>
    <row r="395" spans="11:11" ht="19.2" customHeight="1" x14ac:dyDescent="0.3">
      <c r="K395" s="8"/>
    </row>
    <row r="396" spans="11:11" ht="19.2" customHeight="1" x14ac:dyDescent="0.3">
      <c r="K396" s="8"/>
    </row>
    <row r="397" spans="11:11" ht="19.2" customHeight="1" x14ac:dyDescent="0.3">
      <c r="K397" s="8"/>
    </row>
    <row r="398" spans="11:11" ht="19.2" customHeight="1" x14ac:dyDescent="0.3">
      <c r="K398" s="8"/>
    </row>
    <row r="399" spans="11:11" ht="19.2" customHeight="1" x14ac:dyDescent="0.3">
      <c r="K399" s="8"/>
    </row>
    <row r="400" spans="11:11" ht="19.2" customHeight="1" x14ac:dyDescent="0.3">
      <c r="K400" s="8"/>
    </row>
    <row r="401" spans="11:11" ht="19.2" customHeight="1" x14ac:dyDescent="0.3">
      <c r="K401" s="8"/>
    </row>
    <row r="402" spans="11:11" ht="19.2" customHeight="1" x14ac:dyDescent="0.3">
      <c r="K402" s="8"/>
    </row>
    <row r="403" spans="11:11" ht="19.2" customHeight="1" x14ac:dyDescent="0.3">
      <c r="K403" s="8"/>
    </row>
    <row r="404" spans="11:11" ht="19.2" customHeight="1" x14ac:dyDescent="0.3">
      <c r="K404" s="8"/>
    </row>
    <row r="405" spans="11:11" ht="19.2" customHeight="1" x14ac:dyDescent="0.3">
      <c r="K405" s="8"/>
    </row>
    <row r="406" spans="11:11" ht="19.2" customHeight="1" x14ac:dyDescent="0.3">
      <c r="K406" s="8"/>
    </row>
    <row r="407" spans="11:11" ht="19.2" customHeight="1" x14ac:dyDescent="0.3">
      <c r="K407" s="8"/>
    </row>
    <row r="408" spans="11:11" ht="19.2" customHeight="1" x14ac:dyDescent="0.3">
      <c r="K408" s="8"/>
    </row>
    <row r="409" spans="11:11" ht="19.2" customHeight="1" x14ac:dyDescent="0.3">
      <c r="K409" s="8"/>
    </row>
    <row r="410" spans="11:11" ht="19.2" customHeight="1" x14ac:dyDescent="0.3">
      <c r="K410" s="8"/>
    </row>
    <row r="411" spans="11:11" ht="19.2" customHeight="1" x14ac:dyDescent="0.3">
      <c r="K411" s="8"/>
    </row>
    <row r="412" spans="11:11" ht="19.2" customHeight="1" x14ac:dyDescent="0.3">
      <c r="K412" s="8"/>
    </row>
    <row r="413" spans="11:11" ht="19.2" customHeight="1" x14ac:dyDescent="0.3">
      <c r="K413" s="8"/>
    </row>
    <row r="414" spans="11:11" ht="19.2" customHeight="1" x14ac:dyDescent="0.3">
      <c r="K414" s="8"/>
    </row>
    <row r="415" spans="11:11" ht="19.2" customHeight="1" x14ac:dyDescent="0.3">
      <c r="K415" s="8"/>
    </row>
    <row r="416" spans="11:11" ht="19.2" customHeight="1" x14ac:dyDescent="0.3">
      <c r="K416" s="8"/>
    </row>
    <row r="417" spans="11:11" ht="19.2" customHeight="1" x14ac:dyDescent="0.3">
      <c r="K417" s="8"/>
    </row>
    <row r="418" spans="11:11" ht="19.2" customHeight="1" x14ac:dyDescent="0.3">
      <c r="K418" s="8"/>
    </row>
    <row r="419" spans="11:11" ht="19.2" customHeight="1" x14ac:dyDescent="0.3">
      <c r="K419" s="8"/>
    </row>
    <row r="420" spans="11:11" ht="19.2" customHeight="1" x14ac:dyDescent="0.3">
      <c r="K420" s="8"/>
    </row>
    <row r="421" spans="11:11" ht="19.2" customHeight="1" x14ac:dyDescent="0.3">
      <c r="K421" s="8"/>
    </row>
    <row r="422" spans="11:11" ht="19.2" customHeight="1" x14ac:dyDescent="0.3">
      <c r="K422" s="8"/>
    </row>
    <row r="423" spans="11:11" ht="19.2" customHeight="1" x14ac:dyDescent="0.3">
      <c r="K423" s="8"/>
    </row>
    <row r="424" spans="11:11" ht="19.2" customHeight="1" x14ac:dyDescent="0.3">
      <c r="K424" s="8"/>
    </row>
    <row r="425" spans="11:11" ht="19.2" customHeight="1" x14ac:dyDescent="0.3">
      <c r="K425" s="8"/>
    </row>
    <row r="426" spans="11:11" ht="19.2" customHeight="1" x14ac:dyDescent="0.3">
      <c r="K426" s="8"/>
    </row>
    <row r="427" spans="11:11" ht="19.2" customHeight="1" x14ac:dyDescent="0.3">
      <c r="K427" s="8"/>
    </row>
    <row r="428" spans="11:11" ht="19.2" customHeight="1" x14ac:dyDescent="0.3">
      <c r="K428" s="8"/>
    </row>
    <row r="429" spans="11:11" ht="19.2" customHeight="1" x14ac:dyDescent="0.3">
      <c r="K429" s="8"/>
    </row>
    <row r="430" spans="11:11" ht="19.2" customHeight="1" x14ac:dyDescent="0.3">
      <c r="K430" s="8"/>
    </row>
    <row r="431" spans="11:11" ht="19.2" customHeight="1" x14ac:dyDescent="0.3">
      <c r="K431" s="8"/>
    </row>
    <row r="432" spans="11:11" ht="19.2" customHeight="1" x14ac:dyDescent="0.3">
      <c r="K432" s="8"/>
    </row>
    <row r="433" spans="11:11" ht="19.2" customHeight="1" x14ac:dyDescent="0.3">
      <c r="K433" s="8"/>
    </row>
    <row r="434" spans="11:11" ht="19.2" customHeight="1" x14ac:dyDescent="0.3">
      <c r="K434" s="8"/>
    </row>
    <row r="435" spans="11:11" ht="19.2" customHeight="1" x14ac:dyDescent="0.3">
      <c r="K435" s="8"/>
    </row>
    <row r="436" spans="11:11" ht="19.2" customHeight="1" x14ac:dyDescent="0.3">
      <c r="K436" s="8"/>
    </row>
    <row r="437" spans="11:11" ht="19.2" customHeight="1" x14ac:dyDescent="0.3">
      <c r="K437" s="8"/>
    </row>
    <row r="438" spans="11:11" ht="19.2" customHeight="1" x14ac:dyDescent="0.3">
      <c r="K438" s="8"/>
    </row>
    <row r="439" spans="11:11" ht="19.2" customHeight="1" x14ac:dyDescent="0.3">
      <c r="K439" s="8"/>
    </row>
    <row r="440" spans="11:11" ht="19.2" customHeight="1" x14ac:dyDescent="0.3">
      <c r="K440" s="8"/>
    </row>
    <row r="441" spans="11:11" ht="19.2" customHeight="1" x14ac:dyDescent="0.3">
      <c r="K441" s="8"/>
    </row>
    <row r="442" spans="11:11" ht="19.2" customHeight="1" x14ac:dyDescent="0.3">
      <c r="K442" s="8"/>
    </row>
    <row r="443" spans="11:11" ht="19.2" customHeight="1" x14ac:dyDescent="0.3">
      <c r="K443" s="8"/>
    </row>
    <row r="444" spans="11:11" ht="19.2" customHeight="1" x14ac:dyDescent="0.3">
      <c r="K444" s="8"/>
    </row>
    <row r="445" spans="11:11" ht="19.2" customHeight="1" x14ac:dyDescent="0.3">
      <c r="K445" s="8"/>
    </row>
    <row r="446" spans="11:11" ht="19.2" customHeight="1" x14ac:dyDescent="0.3">
      <c r="K446" s="8"/>
    </row>
    <row r="447" spans="11:11" ht="19.2" customHeight="1" x14ac:dyDescent="0.3">
      <c r="K447" s="8"/>
    </row>
    <row r="448" spans="11:11" ht="19.2" customHeight="1" x14ac:dyDescent="0.3">
      <c r="K448" s="8"/>
    </row>
    <row r="449" spans="11:11" ht="19.2" customHeight="1" x14ac:dyDescent="0.3">
      <c r="K449" s="8"/>
    </row>
    <row r="450" spans="11:11" ht="19.2" customHeight="1" x14ac:dyDescent="0.3">
      <c r="K450" s="8"/>
    </row>
    <row r="451" spans="11:11" ht="19.2" customHeight="1" x14ac:dyDescent="0.3">
      <c r="K451" s="8"/>
    </row>
    <row r="452" spans="11:11" ht="19.2" customHeight="1" x14ac:dyDescent="0.3">
      <c r="K452" s="8"/>
    </row>
    <row r="453" spans="11:11" ht="19.2" customHeight="1" x14ac:dyDescent="0.3">
      <c r="K453" s="8"/>
    </row>
    <row r="454" spans="11:11" ht="19.2" customHeight="1" x14ac:dyDescent="0.3">
      <c r="K454" s="8"/>
    </row>
    <row r="455" spans="11:11" ht="19.2" customHeight="1" x14ac:dyDescent="0.3">
      <c r="K455" s="8"/>
    </row>
    <row r="456" spans="11:11" ht="19.2" customHeight="1" x14ac:dyDescent="0.3">
      <c r="K456" s="8"/>
    </row>
    <row r="457" spans="11:11" ht="19.2" customHeight="1" x14ac:dyDescent="0.3">
      <c r="K457" s="8"/>
    </row>
    <row r="458" spans="11:11" ht="19.2" customHeight="1" x14ac:dyDescent="0.3">
      <c r="K458" s="8"/>
    </row>
    <row r="459" spans="11:11" ht="19.2" customHeight="1" x14ac:dyDescent="0.3">
      <c r="K459" s="8"/>
    </row>
    <row r="460" spans="11:11" ht="19.2" customHeight="1" x14ac:dyDescent="0.3">
      <c r="K460" s="8"/>
    </row>
    <row r="461" spans="11:11" ht="19.2" customHeight="1" x14ac:dyDescent="0.3">
      <c r="K461" s="8"/>
    </row>
    <row r="462" spans="11:11" ht="19.2" customHeight="1" x14ac:dyDescent="0.3">
      <c r="K462" s="8"/>
    </row>
    <row r="463" spans="11:11" ht="19.2" customHeight="1" x14ac:dyDescent="0.3">
      <c r="K463" s="8"/>
    </row>
    <row r="464" spans="11:11" ht="19.2" customHeight="1" x14ac:dyDescent="0.3">
      <c r="K464" s="8"/>
    </row>
    <row r="465" spans="11:11" ht="19.2" customHeight="1" x14ac:dyDescent="0.3">
      <c r="K465" s="8"/>
    </row>
    <row r="466" spans="11:11" ht="19.2" customHeight="1" x14ac:dyDescent="0.3">
      <c r="K466" s="8"/>
    </row>
    <row r="467" spans="11:11" ht="19.2" customHeight="1" x14ac:dyDescent="0.3">
      <c r="K467" s="8"/>
    </row>
    <row r="468" spans="11:11" ht="19.2" customHeight="1" x14ac:dyDescent="0.3">
      <c r="K468" s="8"/>
    </row>
    <row r="469" spans="11:11" ht="19.2" customHeight="1" x14ac:dyDescent="0.3">
      <c r="K469" s="8"/>
    </row>
    <row r="470" spans="11:11" ht="19.2" customHeight="1" x14ac:dyDescent="0.3">
      <c r="K470" s="8"/>
    </row>
    <row r="471" spans="11:11" ht="19.2" customHeight="1" x14ac:dyDescent="0.3">
      <c r="K471" s="8"/>
    </row>
    <row r="472" spans="11:11" ht="19.2" customHeight="1" x14ac:dyDescent="0.3">
      <c r="K472" s="8"/>
    </row>
    <row r="473" spans="11:11" ht="19.2" customHeight="1" x14ac:dyDescent="0.3">
      <c r="K473" s="8"/>
    </row>
    <row r="474" spans="11:11" ht="19.2" customHeight="1" x14ac:dyDescent="0.3">
      <c r="K474" s="8"/>
    </row>
    <row r="475" spans="11:11" ht="19.2" customHeight="1" x14ac:dyDescent="0.3">
      <c r="K475" s="8"/>
    </row>
    <row r="476" spans="11:11" ht="19.2" customHeight="1" x14ac:dyDescent="0.3">
      <c r="K476" s="8"/>
    </row>
    <row r="477" spans="11:11" ht="19.2" customHeight="1" x14ac:dyDescent="0.3">
      <c r="K477" s="8"/>
    </row>
    <row r="478" spans="11:11" ht="19.2" customHeight="1" x14ac:dyDescent="0.3">
      <c r="K478" s="8"/>
    </row>
    <row r="479" spans="11:11" ht="19.2" customHeight="1" x14ac:dyDescent="0.3">
      <c r="K479" s="8"/>
    </row>
    <row r="480" spans="11:11" ht="19.2" customHeight="1" x14ac:dyDescent="0.3">
      <c r="K480" s="8"/>
    </row>
    <row r="481" spans="11:11" ht="19.2" customHeight="1" x14ac:dyDescent="0.3">
      <c r="K481" s="8"/>
    </row>
    <row r="482" spans="11:11" ht="19.2" customHeight="1" x14ac:dyDescent="0.3">
      <c r="K482" s="8"/>
    </row>
    <row r="483" spans="11:11" ht="19.2" customHeight="1" x14ac:dyDescent="0.3">
      <c r="K483" s="8"/>
    </row>
    <row r="484" spans="11:11" ht="19.2" customHeight="1" x14ac:dyDescent="0.3">
      <c r="K484" s="8"/>
    </row>
    <row r="485" spans="11:11" ht="19.2" customHeight="1" x14ac:dyDescent="0.3">
      <c r="K485" s="8"/>
    </row>
    <row r="486" spans="11:11" ht="19.2" customHeight="1" x14ac:dyDescent="0.3">
      <c r="K486" s="8"/>
    </row>
    <row r="487" spans="11:11" ht="19.2" customHeight="1" x14ac:dyDescent="0.3">
      <c r="K487" s="8"/>
    </row>
    <row r="488" spans="11:11" ht="19.2" customHeight="1" x14ac:dyDescent="0.3">
      <c r="K488" s="8"/>
    </row>
    <row r="489" spans="11:11" ht="19.2" customHeight="1" x14ac:dyDescent="0.3">
      <c r="K489" s="8"/>
    </row>
    <row r="490" spans="11:11" ht="19.2" customHeight="1" x14ac:dyDescent="0.3">
      <c r="K490" s="8"/>
    </row>
    <row r="491" spans="11:11" ht="19.2" customHeight="1" x14ac:dyDescent="0.3">
      <c r="K491" s="8"/>
    </row>
    <row r="492" spans="11:11" ht="19.2" customHeight="1" x14ac:dyDescent="0.3">
      <c r="K492" s="8"/>
    </row>
    <row r="493" spans="11:11" ht="19.2" customHeight="1" x14ac:dyDescent="0.3">
      <c r="K493" s="8"/>
    </row>
    <row r="494" spans="11:11" ht="19.2" customHeight="1" x14ac:dyDescent="0.3">
      <c r="K494" s="8"/>
    </row>
    <row r="495" spans="11:11" ht="19.2" customHeight="1" x14ac:dyDescent="0.3">
      <c r="K495" s="8"/>
    </row>
    <row r="496" spans="11:11" ht="19.2" customHeight="1" x14ac:dyDescent="0.3">
      <c r="K496" s="8"/>
    </row>
    <row r="497" spans="11:11" ht="19.2" customHeight="1" x14ac:dyDescent="0.3">
      <c r="K497" s="8"/>
    </row>
    <row r="498" spans="11:11" ht="19.2" customHeight="1" x14ac:dyDescent="0.3">
      <c r="K498" s="8"/>
    </row>
    <row r="499" spans="11:11" ht="19.2" customHeight="1" x14ac:dyDescent="0.3">
      <c r="K499" s="8"/>
    </row>
    <row r="500" spans="11:11" ht="19.2" customHeight="1" x14ac:dyDescent="0.3">
      <c r="K500" s="8"/>
    </row>
    <row r="501" spans="11:11" ht="19.2" customHeight="1" x14ac:dyDescent="0.3">
      <c r="K501" s="8"/>
    </row>
    <row r="502" spans="11:11" ht="19.2" customHeight="1" x14ac:dyDescent="0.3">
      <c r="K502" s="8"/>
    </row>
    <row r="503" spans="11:11" ht="19.2" customHeight="1" x14ac:dyDescent="0.3">
      <c r="K503" s="8"/>
    </row>
    <row r="504" spans="11:11" ht="19.2" customHeight="1" x14ac:dyDescent="0.3">
      <c r="K504" s="8"/>
    </row>
    <row r="505" spans="11:11" ht="19.2" customHeight="1" x14ac:dyDescent="0.3">
      <c r="K505" s="8"/>
    </row>
    <row r="506" spans="11:11" ht="19.2" customHeight="1" x14ac:dyDescent="0.3">
      <c r="K506" s="8"/>
    </row>
    <row r="507" spans="11:11" ht="19.2" customHeight="1" x14ac:dyDescent="0.3">
      <c r="K507" s="8"/>
    </row>
    <row r="508" spans="11:11" ht="19.2" customHeight="1" x14ac:dyDescent="0.3">
      <c r="K508" s="8"/>
    </row>
    <row r="509" spans="11:11" ht="19.2" customHeight="1" x14ac:dyDescent="0.3">
      <c r="K509" s="8"/>
    </row>
    <row r="510" spans="11:11" ht="19.2" customHeight="1" x14ac:dyDescent="0.3">
      <c r="K510" s="8"/>
    </row>
    <row r="511" spans="11:11" ht="19.2" customHeight="1" x14ac:dyDescent="0.3">
      <c r="K511" s="8"/>
    </row>
    <row r="512" spans="11:11" ht="19.2" customHeight="1" x14ac:dyDescent="0.3">
      <c r="K512" s="8"/>
    </row>
    <row r="513" spans="11:11" ht="19.2" customHeight="1" x14ac:dyDescent="0.3">
      <c r="K513" s="8"/>
    </row>
    <row r="514" spans="11:11" ht="19.2" customHeight="1" x14ac:dyDescent="0.3">
      <c r="K514" s="8"/>
    </row>
    <row r="515" spans="11:11" ht="19.2" customHeight="1" x14ac:dyDescent="0.3">
      <c r="K515" s="8"/>
    </row>
    <row r="516" spans="11:11" ht="19.2" customHeight="1" x14ac:dyDescent="0.3">
      <c r="K516" s="8"/>
    </row>
    <row r="517" spans="11:11" ht="19.2" customHeight="1" x14ac:dyDescent="0.3">
      <c r="K517" s="8"/>
    </row>
    <row r="518" spans="11:11" ht="19.2" customHeight="1" x14ac:dyDescent="0.3">
      <c r="K518" s="8"/>
    </row>
    <row r="519" spans="11:11" ht="19.2" customHeight="1" x14ac:dyDescent="0.3">
      <c r="K519" s="8"/>
    </row>
    <row r="520" spans="11:11" ht="19.2" customHeight="1" x14ac:dyDescent="0.3">
      <c r="K520" s="8"/>
    </row>
    <row r="521" spans="11:11" ht="19.2" customHeight="1" x14ac:dyDescent="0.3">
      <c r="K521" s="8"/>
    </row>
    <row r="522" spans="11:11" ht="19.2" customHeight="1" x14ac:dyDescent="0.3">
      <c r="K522" s="8"/>
    </row>
    <row r="523" spans="11:11" ht="19.2" customHeight="1" x14ac:dyDescent="0.3">
      <c r="K523" s="8"/>
    </row>
    <row r="524" spans="11:11" ht="19.2" customHeight="1" x14ac:dyDescent="0.3">
      <c r="K524" s="8"/>
    </row>
    <row r="525" spans="11:11" ht="19.2" customHeight="1" x14ac:dyDescent="0.3">
      <c r="K525" s="8"/>
    </row>
    <row r="526" spans="11:11" ht="19.2" customHeight="1" x14ac:dyDescent="0.3">
      <c r="K526" s="8"/>
    </row>
    <row r="527" spans="11:11" ht="19.2" customHeight="1" x14ac:dyDescent="0.3">
      <c r="K527" s="8"/>
    </row>
    <row r="528" spans="11:11" ht="19.2" customHeight="1" x14ac:dyDescent="0.3">
      <c r="K528" s="8"/>
    </row>
    <row r="529" spans="11:11" ht="19.2" customHeight="1" x14ac:dyDescent="0.3">
      <c r="K529" s="8"/>
    </row>
    <row r="530" spans="11:11" ht="19.2" customHeight="1" x14ac:dyDescent="0.3">
      <c r="K530" s="8"/>
    </row>
    <row r="531" spans="11:11" ht="19.2" customHeight="1" x14ac:dyDescent="0.3">
      <c r="K531" s="8"/>
    </row>
    <row r="532" spans="11:11" ht="19.2" customHeight="1" x14ac:dyDescent="0.3">
      <c r="K532" s="8"/>
    </row>
    <row r="533" spans="11:11" ht="19.2" customHeight="1" x14ac:dyDescent="0.3">
      <c r="K533" s="8"/>
    </row>
    <row r="534" spans="11:11" ht="19.2" customHeight="1" x14ac:dyDescent="0.3">
      <c r="K534" s="8"/>
    </row>
    <row r="535" spans="11:11" ht="19.2" customHeight="1" x14ac:dyDescent="0.3">
      <c r="K535" s="8"/>
    </row>
    <row r="536" spans="11:11" ht="19.2" customHeight="1" x14ac:dyDescent="0.3">
      <c r="K536" s="8"/>
    </row>
    <row r="537" spans="11:11" ht="19.2" customHeight="1" x14ac:dyDescent="0.3">
      <c r="K537" s="8"/>
    </row>
    <row r="538" spans="11:11" ht="19.2" customHeight="1" x14ac:dyDescent="0.3">
      <c r="K538" s="8"/>
    </row>
    <row r="539" spans="11:11" ht="19.2" customHeight="1" x14ac:dyDescent="0.3">
      <c r="K539" s="8"/>
    </row>
    <row r="540" spans="11:11" ht="19.2" customHeight="1" x14ac:dyDescent="0.3">
      <c r="K540" s="8"/>
    </row>
    <row r="541" spans="11:11" ht="19.2" customHeight="1" x14ac:dyDescent="0.3">
      <c r="K541" s="8"/>
    </row>
    <row r="542" spans="11:11" ht="19.2" customHeight="1" x14ac:dyDescent="0.3">
      <c r="K542" s="8"/>
    </row>
    <row r="543" spans="11:11" ht="19.2" customHeight="1" x14ac:dyDescent="0.3">
      <c r="K543" s="8"/>
    </row>
    <row r="544" spans="11:11" ht="19.2" customHeight="1" x14ac:dyDescent="0.3">
      <c r="K544" s="8"/>
    </row>
    <row r="545" spans="11:11" ht="19.2" customHeight="1" x14ac:dyDescent="0.3">
      <c r="K545" s="8"/>
    </row>
    <row r="546" spans="11:11" ht="19.2" customHeight="1" x14ac:dyDescent="0.3">
      <c r="K546" s="8"/>
    </row>
    <row r="547" spans="11:11" ht="19.2" customHeight="1" x14ac:dyDescent="0.3">
      <c r="K547" s="8"/>
    </row>
    <row r="548" spans="11:11" ht="19.2" customHeight="1" x14ac:dyDescent="0.3">
      <c r="K548" s="8"/>
    </row>
    <row r="549" spans="11:11" ht="19.2" customHeight="1" x14ac:dyDescent="0.3">
      <c r="K549" s="8"/>
    </row>
    <row r="550" spans="11:11" ht="19.2" customHeight="1" x14ac:dyDescent="0.3">
      <c r="K550" s="8"/>
    </row>
    <row r="551" spans="11:11" ht="19.2" customHeight="1" x14ac:dyDescent="0.3">
      <c r="K551" s="8"/>
    </row>
    <row r="552" spans="11:11" ht="19.2" customHeight="1" x14ac:dyDescent="0.3">
      <c r="K552" s="8"/>
    </row>
    <row r="553" spans="11:11" ht="19.2" customHeight="1" x14ac:dyDescent="0.3">
      <c r="K553" s="8"/>
    </row>
    <row r="554" spans="11:11" ht="19.2" customHeight="1" x14ac:dyDescent="0.3">
      <c r="K554" s="8"/>
    </row>
    <row r="555" spans="11:11" ht="19.2" customHeight="1" x14ac:dyDescent="0.3">
      <c r="K555" s="8"/>
    </row>
    <row r="556" spans="11:11" ht="19.2" customHeight="1" x14ac:dyDescent="0.3">
      <c r="K556" s="8"/>
    </row>
    <row r="557" spans="11:11" ht="19.2" customHeight="1" x14ac:dyDescent="0.3">
      <c r="K557" s="8"/>
    </row>
    <row r="558" spans="11:11" ht="19.2" customHeight="1" x14ac:dyDescent="0.3">
      <c r="K558" s="8"/>
    </row>
    <row r="559" spans="11:11" ht="19.2" customHeight="1" x14ac:dyDescent="0.3">
      <c r="K559" s="8"/>
    </row>
    <row r="560" spans="11:11" ht="19.2" customHeight="1" x14ac:dyDescent="0.3">
      <c r="K560" s="8"/>
    </row>
    <row r="561" spans="11:11" ht="19.2" customHeight="1" x14ac:dyDescent="0.3">
      <c r="K561" s="8"/>
    </row>
    <row r="562" spans="11:11" ht="19.2" customHeight="1" x14ac:dyDescent="0.3">
      <c r="K562" s="8"/>
    </row>
    <row r="563" spans="11:11" ht="19.2" customHeight="1" x14ac:dyDescent="0.3">
      <c r="K563" s="8"/>
    </row>
    <row r="564" spans="11:11" ht="19.2" customHeight="1" x14ac:dyDescent="0.3">
      <c r="K564" s="8"/>
    </row>
    <row r="565" spans="11:11" ht="19.2" customHeight="1" x14ac:dyDescent="0.3">
      <c r="K565" s="8"/>
    </row>
    <row r="566" spans="11:11" ht="19.2" customHeight="1" x14ac:dyDescent="0.3">
      <c r="K566" s="8"/>
    </row>
    <row r="567" spans="11:11" ht="19.2" customHeight="1" x14ac:dyDescent="0.3">
      <c r="K567" s="8"/>
    </row>
    <row r="568" spans="11:11" ht="19.2" customHeight="1" x14ac:dyDescent="0.3">
      <c r="K568" s="8"/>
    </row>
    <row r="569" spans="11:11" ht="19.2" customHeight="1" x14ac:dyDescent="0.3">
      <c r="K569" s="8"/>
    </row>
    <row r="570" spans="11:11" ht="19.2" customHeight="1" x14ac:dyDescent="0.3">
      <c r="K570" s="8"/>
    </row>
    <row r="571" spans="11:11" ht="19.2" customHeight="1" x14ac:dyDescent="0.3">
      <c r="K571" s="8"/>
    </row>
    <row r="572" spans="11:11" ht="19.2" customHeight="1" x14ac:dyDescent="0.3">
      <c r="K572" s="8"/>
    </row>
    <row r="573" spans="11:11" ht="19.2" customHeight="1" x14ac:dyDescent="0.3">
      <c r="K573" s="8"/>
    </row>
    <row r="574" spans="11:11" ht="19.2" customHeight="1" x14ac:dyDescent="0.3">
      <c r="K574" s="8"/>
    </row>
    <row r="575" spans="11:11" ht="19.2" customHeight="1" x14ac:dyDescent="0.3">
      <c r="K575" s="8"/>
    </row>
    <row r="576" spans="11:11" ht="19.2" customHeight="1" x14ac:dyDescent="0.3">
      <c r="K576" s="8"/>
    </row>
    <row r="577" spans="11:11" ht="19.2" customHeight="1" x14ac:dyDescent="0.3">
      <c r="K577" s="8"/>
    </row>
    <row r="578" spans="11:11" ht="19.2" customHeight="1" x14ac:dyDescent="0.3">
      <c r="K578" s="8"/>
    </row>
    <row r="579" spans="11:11" ht="19.2" customHeight="1" x14ac:dyDescent="0.3">
      <c r="K579" s="8"/>
    </row>
    <row r="580" spans="11:11" ht="19.2" customHeight="1" x14ac:dyDescent="0.3">
      <c r="K580" s="8"/>
    </row>
    <row r="581" spans="11:11" ht="19.2" customHeight="1" x14ac:dyDescent="0.3">
      <c r="K581" s="8"/>
    </row>
    <row r="582" spans="11:11" ht="19.2" customHeight="1" x14ac:dyDescent="0.3">
      <c r="K582" s="8"/>
    </row>
    <row r="583" spans="11:11" ht="19.2" customHeight="1" x14ac:dyDescent="0.3">
      <c r="K583" s="8"/>
    </row>
    <row r="584" spans="11:11" ht="19.2" customHeight="1" x14ac:dyDescent="0.3">
      <c r="K584" s="8"/>
    </row>
    <row r="585" spans="11:11" ht="19.2" customHeight="1" x14ac:dyDescent="0.3">
      <c r="K585" s="8"/>
    </row>
    <row r="586" spans="11:11" ht="19.2" customHeight="1" x14ac:dyDescent="0.3">
      <c r="K586" s="8"/>
    </row>
    <row r="587" spans="11:11" ht="19.2" customHeight="1" x14ac:dyDescent="0.3">
      <c r="K587" s="8"/>
    </row>
    <row r="588" spans="11:11" ht="19.2" customHeight="1" x14ac:dyDescent="0.3">
      <c r="K588" s="8"/>
    </row>
    <row r="589" spans="11:11" ht="19.2" customHeight="1" x14ac:dyDescent="0.3">
      <c r="K589" s="8"/>
    </row>
    <row r="590" spans="11:11" ht="19.2" customHeight="1" x14ac:dyDescent="0.3">
      <c r="K590" s="8"/>
    </row>
    <row r="591" spans="11:11" ht="19.2" customHeight="1" x14ac:dyDescent="0.3">
      <c r="K591" s="8"/>
    </row>
    <row r="592" spans="11:11" ht="19.2" customHeight="1" x14ac:dyDescent="0.3">
      <c r="K592" s="8"/>
    </row>
    <row r="593" spans="11:11" ht="19.2" customHeight="1" x14ac:dyDescent="0.3">
      <c r="K593" s="8"/>
    </row>
    <row r="594" spans="11:11" ht="19.2" customHeight="1" x14ac:dyDescent="0.3">
      <c r="K594" s="8"/>
    </row>
    <row r="595" spans="11:11" ht="19.2" customHeight="1" x14ac:dyDescent="0.3">
      <c r="K595" s="8"/>
    </row>
    <row r="596" spans="11:11" ht="19.2" customHeight="1" x14ac:dyDescent="0.3">
      <c r="K596" s="8"/>
    </row>
    <row r="597" spans="11:11" ht="19.2" customHeight="1" x14ac:dyDescent="0.3">
      <c r="K597" s="8"/>
    </row>
    <row r="598" spans="11:11" ht="19.2" customHeight="1" x14ac:dyDescent="0.3">
      <c r="K598" s="8"/>
    </row>
    <row r="599" spans="11:11" ht="19.2" customHeight="1" x14ac:dyDescent="0.3">
      <c r="K599" s="8"/>
    </row>
    <row r="600" spans="11:11" ht="19.2" customHeight="1" x14ac:dyDescent="0.3">
      <c r="K600" s="8"/>
    </row>
    <row r="601" spans="11:11" ht="19.2" customHeight="1" x14ac:dyDescent="0.3">
      <c r="K601" s="8"/>
    </row>
    <row r="602" spans="11:11" ht="19.2" customHeight="1" x14ac:dyDescent="0.3">
      <c r="K602" s="8"/>
    </row>
    <row r="603" spans="11:11" ht="19.2" customHeight="1" x14ac:dyDescent="0.3">
      <c r="K603" s="8"/>
    </row>
    <row r="604" spans="11:11" ht="19.2" customHeight="1" x14ac:dyDescent="0.3">
      <c r="K604" s="8"/>
    </row>
    <row r="605" spans="11:11" ht="19.2" customHeight="1" x14ac:dyDescent="0.3">
      <c r="K605" s="8"/>
    </row>
    <row r="606" spans="11:11" ht="19.2" customHeight="1" x14ac:dyDescent="0.3">
      <c r="K606" s="8"/>
    </row>
    <row r="607" spans="11:11" ht="19.2" customHeight="1" x14ac:dyDescent="0.3">
      <c r="K607" s="8"/>
    </row>
    <row r="608" spans="11:11" ht="19.2" customHeight="1" x14ac:dyDescent="0.3">
      <c r="K608" s="8"/>
    </row>
    <row r="609" spans="11:11" ht="19.2" customHeight="1" x14ac:dyDescent="0.3">
      <c r="K609" s="8"/>
    </row>
    <row r="610" spans="11:11" ht="19.2" customHeight="1" x14ac:dyDescent="0.3">
      <c r="K610" s="8"/>
    </row>
    <row r="611" spans="11:11" ht="19.2" customHeight="1" x14ac:dyDescent="0.3">
      <c r="K611" s="8"/>
    </row>
    <row r="612" spans="11:11" ht="19.2" customHeight="1" x14ac:dyDescent="0.3">
      <c r="K612" s="8"/>
    </row>
    <row r="613" spans="11:11" ht="19.2" customHeight="1" x14ac:dyDescent="0.3">
      <c r="K613" s="8"/>
    </row>
    <row r="614" spans="11:11" ht="19.2" customHeight="1" x14ac:dyDescent="0.3">
      <c r="K614" s="8"/>
    </row>
    <row r="615" spans="11:11" ht="19.2" customHeight="1" x14ac:dyDescent="0.3">
      <c r="K615" s="8"/>
    </row>
    <row r="616" spans="11:11" ht="19.2" customHeight="1" x14ac:dyDescent="0.3">
      <c r="K616" s="8"/>
    </row>
    <row r="617" spans="11:11" ht="19.2" customHeight="1" x14ac:dyDescent="0.3">
      <c r="K617" s="8"/>
    </row>
    <row r="618" spans="11:11" ht="19.2" customHeight="1" x14ac:dyDescent="0.3">
      <c r="K618" s="8"/>
    </row>
    <row r="619" spans="11:11" ht="19.2" customHeight="1" x14ac:dyDescent="0.3">
      <c r="K619" s="8"/>
    </row>
    <row r="620" spans="11:11" ht="19.2" customHeight="1" x14ac:dyDescent="0.3">
      <c r="K620" s="8"/>
    </row>
    <row r="621" spans="11:11" ht="19.2" customHeight="1" x14ac:dyDescent="0.3">
      <c r="K621" s="8"/>
    </row>
    <row r="622" spans="11:11" ht="19.2" customHeight="1" x14ac:dyDescent="0.3">
      <c r="K622" s="8"/>
    </row>
    <row r="623" spans="11:11" ht="19.2" customHeight="1" x14ac:dyDescent="0.3">
      <c r="K623" s="8"/>
    </row>
    <row r="624" spans="11:11" ht="19.2" customHeight="1" x14ac:dyDescent="0.3">
      <c r="K624" s="8"/>
    </row>
    <row r="625" spans="11:11" ht="19.2" customHeight="1" x14ac:dyDescent="0.3">
      <c r="K625" s="8"/>
    </row>
    <row r="626" spans="11:11" ht="19.2" customHeight="1" x14ac:dyDescent="0.3">
      <c r="K626" s="8"/>
    </row>
    <row r="627" spans="11:11" ht="19.2" customHeight="1" x14ac:dyDescent="0.3">
      <c r="K627" s="8"/>
    </row>
    <row r="628" spans="11:11" ht="19.2" customHeight="1" x14ac:dyDescent="0.3">
      <c r="K628" s="8"/>
    </row>
    <row r="629" spans="11:11" ht="19.2" customHeight="1" x14ac:dyDescent="0.3">
      <c r="K629" s="8"/>
    </row>
    <row r="630" spans="11:11" ht="19.2" customHeight="1" x14ac:dyDescent="0.3">
      <c r="K630" s="8"/>
    </row>
    <row r="631" spans="11:11" ht="19.2" customHeight="1" x14ac:dyDescent="0.3">
      <c r="K631" s="8"/>
    </row>
    <row r="632" spans="11:11" ht="19.2" customHeight="1" x14ac:dyDescent="0.3">
      <c r="K632" s="8"/>
    </row>
    <row r="633" spans="11:11" ht="19.2" customHeight="1" x14ac:dyDescent="0.3">
      <c r="K633" s="8"/>
    </row>
    <row r="634" spans="11:11" ht="19.2" customHeight="1" x14ac:dyDescent="0.3">
      <c r="K634" s="8"/>
    </row>
    <row r="635" spans="11:11" ht="19.2" customHeight="1" x14ac:dyDescent="0.3">
      <c r="K635" s="8"/>
    </row>
    <row r="636" spans="11:11" ht="19.2" customHeight="1" x14ac:dyDescent="0.3">
      <c r="K636" s="8"/>
    </row>
    <row r="637" spans="11:11" ht="19.2" customHeight="1" x14ac:dyDescent="0.3">
      <c r="K637" s="8"/>
    </row>
    <row r="638" spans="11:11" ht="19.2" customHeight="1" x14ac:dyDescent="0.3">
      <c r="K638" s="8"/>
    </row>
    <row r="639" spans="11:11" ht="19.2" customHeight="1" x14ac:dyDescent="0.3">
      <c r="K639" s="8"/>
    </row>
    <row r="640" spans="11:11" ht="19.2" customHeight="1" x14ac:dyDescent="0.3">
      <c r="K640" s="8"/>
    </row>
    <row r="641" spans="11:11" ht="19.2" customHeight="1" x14ac:dyDescent="0.3">
      <c r="K641" s="8"/>
    </row>
    <row r="642" spans="11:11" ht="19.2" customHeight="1" x14ac:dyDescent="0.3">
      <c r="K642" s="8"/>
    </row>
    <row r="643" spans="11:11" ht="19.2" customHeight="1" x14ac:dyDescent="0.3">
      <c r="K643" s="8"/>
    </row>
    <row r="644" spans="11:11" ht="19.2" customHeight="1" x14ac:dyDescent="0.3">
      <c r="K644" s="8"/>
    </row>
    <row r="645" spans="11:11" ht="19.2" customHeight="1" x14ac:dyDescent="0.3">
      <c r="K645" s="8"/>
    </row>
    <row r="646" spans="11:11" ht="19.2" customHeight="1" x14ac:dyDescent="0.3">
      <c r="K646" s="8"/>
    </row>
    <row r="647" spans="11:11" ht="19.2" customHeight="1" x14ac:dyDescent="0.3">
      <c r="K647" s="8"/>
    </row>
    <row r="648" spans="11:11" ht="19.2" customHeight="1" x14ac:dyDescent="0.3">
      <c r="K648" s="8"/>
    </row>
    <row r="649" spans="11:11" ht="19.2" customHeight="1" x14ac:dyDescent="0.3">
      <c r="K649" s="8"/>
    </row>
    <row r="650" spans="11:11" ht="19.2" customHeight="1" x14ac:dyDescent="0.3">
      <c r="K650" s="8"/>
    </row>
    <row r="651" spans="11:11" ht="19.2" customHeight="1" x14ac:dyDescent="0.3">
      <c r="K651" s="8"/>
    </row>
    <row r="652" spans="11:11" ht="19.2" customHeight="1" x14ac:dyDescent="0.3">
      <c r="K652" s="8"/>
    </row>
    <row r="653" spans="11:11" ht="19.2" customHeight="1" x14ac:dyDescent="0.3">
      <c r="K653" s="8"/>
    </row>
    <row r="654" spans="11:11" ht="19.2" customHeight="1" x14ac:dyDescent="0.3">
      <c r="K654" s="8"/>
    </row>
    <row r="655" spans="11:11" ht="19.2" customHeight="1" x14ac:dyDescent="0.3">
      <c r="K655" s="8"/>
    </row>
    <row r="656" spans="11:11" ht="19.2" customHeight="1" x14ac:dyDescent="0.3">
      <c r="K656" s="8"/>
    </row>
    <row r="657" spans="11:11" ht="19.2" customHeight="1" x14ac:dyDescent="0.3">
      <c r="K657" s="8"/>
    </row>
    <row r="658" spans="11:11" ht="19.2" customHeight="1" x14ac:dyDescent="0.3">
      <c r="K658" s="8"/>
    </row>
    <row r="659" spans="11:11" ht="19.2" customHeight="1" x14ac:dyDescent="0.3">
      <c r="K659" s="8"/>
    </row>
    <row r="660" spans="11:11" ht="19.2" customHeight="1" x14ac:dyDescent="0.3">
      <c r="K660" s="8"/>
    </row>
    <row r="661" spans="11:11" ht="19.2" customHeight="1" x14ac:dyDescent="0.3">
      <c r="K661" s="8"/>
    </row>
    <row r="662" spans="11:11" ht="19.2" customHeight="1" x14ac:dyDescent="0.3">
      <c r="K662" s="8"/>
    </row>
    <row r="663" spans="11:11" ht="19.2" customHeight="1" x14ac:dyDescent="0.3">
      <c r="K663" s="8"/>
    </row>
    <row r="664" spans="11:11" ht="19.2" customHeight="1" x14ac:dyDescent="0.3">
      <c r="K664" s="8"/>
    </row>
    <row r="665" spans="11:11" ht="19.2" customHeight="1" x14ac:dyDescent="0.3">
      <c r="K665" s="8"/>
    </row>
    <row r="666" spans="11:11" ht="19.2" customHeight="1" x14ac:dyDescent="0.3">
      <c r="K666" s="8"/>
    </row>
    <row r="667" spans="11:11" ht="19.2" customHeight="1" x14ac:dyDescent="0.3">
      <c r="K667" s="8"/>
    </row>
    <row r="668" spans="11:11" ht="19.2" customHeight="1" x14ac:dyDescent="0.3">
      <c r="K668" s="8"/>
    </row>
    <row r="669" spans="11:11" ht="19.2" customHeight="1" x14ac:dyDescent="0.3">
      <c r="K669" s="8"/>
    </row>
    <row r="670" spans="11:11" ht="19.2" customHeight="1" x14ac:dyDescent="0.3">
      <c r="K670" s="8"/>
    </row>
    <row r="671" spans="11:11" ht="19.2" customHeight="1" x14ac:dyDescent="0.3">
      <c r="K671" s="8"/>
    </row>
    <row r="672" spans="11:11" ht="19.2" customHeight="1" x14ac:dyDescent="0.3">
      <c r="K672" s="8"/>
    </row>
    <row r="673" spans="11:11" ht="19.2" customHeight="1" x14ac:dyDescent="0.3">
      <c r="K673" s="8"/>
    </row>
    <row r="674" spans="11:11" ht="19.2" customHeight="1" x14ac:dyDescent="0.3">
      <c r="K674" s="8"/>
    </row>
    <row r="675" spans="11:11" ht="19.2" customHeight="1" x14ac:dyDescent="0.3">
      <c r="K675" s="8"/>
    </row>
    <row r="676" spans="11:11" ht="19.2" customHeight="1" x14ac:dyDescent="0.3">
      <c r="K676" s="8"/>
    </row>
    <row r="677" spans="11:11" ht="19.2" customHeight="1" x14ac:dyDescent="0.3">
      <c r="K677" s="8"/>
    </row>
    <row r="678" spans="11:11" ht="19.2" customHeight="1" x14ac:dyDescent="0.3">
      <c r="K678" s="8"/>
    </row>
    <row r="679" spans="11:11" ht="19.2" customHeight="1" x14ac:dyDescent="0.3">
      <c r="K679" s="8"/>
    </row>
    <row r="680" spans="11:11" ht="19.2" customHeight="1" x14ac:dyDescent="0.3">
      <c r="K680" s="8"/>
    </row>
    <row r="681" spans="11:11" ht="19.2" customHeight="1" x14ac:dyDescent="0.3">
      <c r="K681" s="8"/>
    </row>
    <row r="682" spans="11:11" ht="19.2" customHeight="1" x14ac:dyDescent="0.3">
      <c r="K682" s="8"/>
    </row>
    <row r="683" spans="11:11" ht="19.2" customHeight="1" x14ac:dyDescent="0.3">
      <c r="K683" s="8"/>
    </row>
    <row r="684" spans="11:11" ht="19.2" customHeight="1" x14ac:dyDescent="0.3">
      <c r="K684" s="8"/>
    </row>
    <row r="685" spans="11:11" ht="19.2" customHeight="1" x14ac:dyDescent="0.3">
      <c r="K685" s="8"/>
    </row>
    <row r="686" spans="11:11" ht="19.2" customHeight="1" x14ac:dyDescent="0.3">
      <c r="K686" s="8"/>
    </row>
    <row r="687" spans="11:11" ht="19.2" customHeight="1" x14ac:dyDescent="0.3">
      <c r="K687" s="8"/>
    </row>
    <row r="688" spans="11:11" ht="19.2" customHeight="1" x14ac:dyDescent="0.3">
      <c r="K688" s="8"/>
    </row>
    <row r="689" spans="11:11" ht="19.2" customHeight="1" x14ac:dyDescent="0.3">
      <c r="K689" s="8"/>
    </row>
    <row r="690" spans="11:11" ht="19.2" customHeight="1" x14ac:dyDescent="0.3">
      <c r="K690" s="8"/>
    </row>
    <row r="691" spans="11:11" ht="19.2" customHeight="1" x14ac:dyDescent="0.3">
      <c r="K691" s="8"/>
    </row>
    <row r="692" spans="11:11" ht="19.2" customHeight="1" x14ac:dyDescent="0.3">
      <c r="K692" s="8"/>
    </row>
    <row r="693" spans="11:11" ht="19.2" customHeight="1" x14ac:dyDescent="0.3">
      <c r="K693" s="8"/>
    </row>
    <row r="694" spans="11:11" ht="19.2" customHeight="1" x14ac:dyDescent="0.3">
      <c r="K694" s="8"/>
    </row>
    <row r="695" spans="11:11" ht="19.2" customHeight="1" x14ac:dyDescent="0.3">
      <c r="K695" s="8"/>
    </row>
    <row r="696" spans="11:11" ht="19.2" customHeight="1" x14ac:dyDescent="0.3">
      <c r="K696" s="8"/>
    </row>
    <row r="697" spans="11:11" ht="19.2" customHeight="1" x14ac:dyDescent="0.3">
      <c r="K697" s="8"/>
    </row>
    <row r="698" spans="11:11" ht="19.2" customHeight="1" x14ac:dyDescent="0.3">
      <c r="K698" s="8"/>
    </row>
    <row r="699" spans="11:11" ht="19.2" customHeight="1" x14ac:dyDescent="0.3">
      <c r="K699" s="8"/>
    </row>
    <row r="700" spans="11:11" ht="19.2" customHeight="1" x14ac:dyDescent="0.3">
      <c r="K700" s="8"/>
    </row>
    <row r="701" spans="11:11" ht="19.2" customHeight="1" x14ac:dyDescent="0.3">
      <c r="K701" s="8"/>
    </row>
    <row r="702" spans="11:11" ht="19.2" customHeight="1" x14ac:dyDescent="0.3">
      <c r="K702" s="8"/>
    </row>
    <row r="703" spans="11:11" ht="19.2" customHeight="1" x14ac:dyDescent="0.3">
      <c r="K703" s="8"/>
    </row>
    <row r="704" spans="11:11" ht="19.2" customHeight="1" x14ac:dyDescent="0.3">
      <c r="K704" s="8"/>
    </row>
    <row r="705" spans="11:11" ht="19.2" customHeight="1" x14ac:dyDescent="0.3">
      <c r="K705" s="8"/>
    </row>
    <row r="706" spans="11:11" ht="19.2" customHeight="1" x14ac:dyDescent="0.3">
      <c r="K706" s="8"/>
    </row>
    <row r="707" spans="11:11" ht="19.2" customHeight="1" x14ac:dyDescent="0.3">
      <c r="K707" s="8"/>
    </row>
    <row r="708" spans="11:11" ht="19.2" customHeight="1" x14ac:dyDescent="0.3">
      <c r="K708" s="8"/>
    </row>
    <row r="709" spans="11:11" ht="19.2" customHeight="1" x14ac:dyDescent="0.3">
      <c r="K709" s="8"/>
    </row>
    <row r="710" spans="11:11" ht="19.2" customHeight="1" x14ac:dyDescent="0.3">
      <c r="K710" s="8"/>
    </row>
    <row r="711" spans="11:11" ht="19.2" customHeight="1" x14ac:dyDescent="0.3">
      <c r="K711" s="8"/>
    </row>
    <row r="712" spans="11:11" ht="19.2" customHeight="1" x14ac:dyDescent="0.3">
      <c r="K712" s="8"/>
    </row>
    <row r="713" spans="11:11" ht="19.2" customHeight="1" x14ac:dyDescent="0.3">
      <c r="K713" s="8"/>
    </row>
    <row r="714" spans="11:11" ht="19.2" customHeight="1" x14ac:dyDescent="0.3">
      <c r="K714" s="8"/>
    </row>
    <row r="715" spans="11:11" ht="19.2" customHeight="1" x14ac:dyDescent="0.3">
      <c r="K715" s="8"/>
    </row>
    <row r="716" spans="11:11" ht="19.2" customHeight="1" x14ac:dyDescent="0.3">
      <c r="K716" s="8"/>
    </row>
    <row r="717" spans="11:11" ht="19.2" customHeight="1" x14ac:dyDescent="0.3">
      <c r="K717" s="8"/>
    </row>
    <row r="718" spans="11:11" ht="19.2" customHeight="1" x14ac:dyDescent="0.3">
      <c r="K718" s="8"/>
    </row>
    <row r="719" spans="11:11" ht="19.2" customHeight="1" x14ac:dyDescent="0.3">
      <c r="K719" s="8"/>
    </row>
    <row r="720" spans="11:11" ht="19.2" customHeight="1" x14ac:dyDescent="0.3">
      <c r="K720" s="8"/>
    </row>
    <row r="721" spans="11:11" ht="19.2" customHeight="1" x14ac:dyDescent="0.3">
      <c r="K721" s="8"/>
    </row>
    <row r="722" spans="11:11" ht="19.2" customHeight="1" x14ac:dyDescent="0.3">
      <c r="K722" s="8"/>
    </row>
    <row r="723" spans="11:11" ht="19.2" customHeight="1" x14ac:dyDescent="0.3">
      <c r="K723" s="8"/>
    </row>
    <row r="724" spans="11:11" ht="19.2" customHeight="1" x14ac:dyDescent="0.3">
      <c r="K724" s="8"/>
    </row>
    <row r="725" spans="11:11" ht="19.2" customHeight="1" x14ac:dyDescent="0.3">
      <c r="K725" s="8"/>
    </row>
    <row r="726" spans="11:11" ht="19.2" customHeight="1" x14ac:dyDescent="0.3">
      <c r="K726" s="8"/>
    </row>
    <row r="727" spans="11:11" ht="19.2" customHeight="1" x14ac:dyDescent="0.3">
      <c r="K727" s="8"/>
    </row>
    <row r="728" spans="11:11" ht="19.2" customHeight="1" x14ac:dyDescent="0.3">
      <c r="K728" s="8"/>
    </row>
    <row r="729" spans="11:11" ht="19.2" customHeight="1" x14ac:dyDescent="0.3">
      <c r="K729" s="8"/>
    </row>
    <row r="730" spans="11:11" ht="19.2" customHeight="1" x14ac:dyDescent="0.3">
      <c r="K730" s="8"/>
    </row>
    <row r="731" spans="11:11" ht="19.2" customHeight="1" x14ac:dyDescent="0.3">
      <c r="K731" s="8"/>
    </row>
    <row r="732" spans="11:11" ht="19.2" customHeight="1" x14ac:dyDescent="0.3">
      <c r="K732" s="8"/>
    </row>
    <row r="733" spans="11:11" ht="19.2" customHeight="1" x14ac:dyDescent="0.3">
      <c r="K733" s="8"/>
    </row>
    <row r="734" spans="11:11" ht="19.2" customHeight="1" x14ac:dyDescent="0.3">
      <c r="K734" s="8"/>
    </row>
    <row r="735" spans="11:11" ht="19.2" customHeight="1" x14ac:dyDescent="0.3">
      <c r="K735" s="8"/>
    </row>
    <row r="736" spans="11:11" ht="19.2" customHeight="1" x14ac:dyDescent="0.3">
      <c r="K736" s="8"/>
    </row>
    <row r="737" spans="11:11" ht="19.2" customHeight="1" x14ac:dyDescent="0.3">
      <c r="K737" s="8"/>
    </row>
    <row r="738" spans="11:11" ht="19.2" customHeight="1" x14ac:dyDescent="0.3">
      <c r="K738" s="8"/>
    </row>
    <row r="739" spans="11:11" ht="19.2" customHeight="1" x14ac:dyDescent="0.3">
      <c r="K739" s="8"/>
    </row>
    <row r="740" spans="11:11" ht="19.2" customHeight="1" x14ac:dyDescent="0.3">
      <c r="K740" s="8"/>
    </row>
    <row r="741" spans="11:11" ht="19.2" customHeight="1" x14ac:dyDescent="0.3">
      <c r="K741" s="8"/>
    </row>
    <row r="742" spans="11:11" ht="19.2" customHeight="1" x14ac:dyDescent="0.3">
      <c r="K742" s="8"/>
    </row>
    <row r="743" spans="11:11" ht="19.2" customHeight="1" x14ac:dyDescent="0.3">
      <c r="K743" s="8"/>
    </row>
    <row r="744" spans="11:11" ht="19.2" customHeight="1" x14ac:dyDescent="0.3">
      <c r="K744" s="8"/>
    </row>
    <row r="745" spans="11:11" ht="19.2" customHeight="1" x14ac:dyDescent="0.3">
      <c r="K745" s="8"/>
    </row>
    <row r="746" spans="11:11" ht="19.2" customHeight="1" x14ac:dyDescent="0.3">
      <c r="K746" s="8"/>
    </row>
    <row r="747" spans="11:11" ht="19.2" customHeight="1" x14ac:dyDescent="0.3">
      <c r="K747" s="8"/>
    </row>
    <row r="748" spans="11:11" ht="19.2" customHeight="1" x14ac:dyDescent="0.3">
      <c r="K748" s="8"/>
    </row>
    <row r="749" spans="11:11" ht="19.2" customHeight="1" x14ac:dyDescent="0.3">
      <c r="K749" s="8"/>
    </row>
    <row r="750" spans="11:11" ht="19.2" customHeight="1" x14ac:dyDescent="0.3">
      <c r="K750" s="8"/>
    </row>
    <row r="751" spans="11:11" ht="19.2" customHeight="1" x14ac:dyDescent="0.3">
      <c r="K751" s="8"/>
    </row>
    <row r="752" spans="11:11" ht="19.2" customHeight="1" x14ac:dyDescent="0.3">
      <c r="K752" s="8"/>
    </row>
    <row r="753" spans="11:11" ht="19.2" customHeight="1" x14ac:dyDescent="0.3">
      <c r="K753" s="8"/>
    </row>
    <row r="754" spans="11:11" ht="19.2" customHeight="1" x14ac:dyDescent="0.3">
      <c r="K754" s="8"/>
    </row>
    <row r="755" spans="11:11" ht="19.2" customHeight="1" x14ac:dyDescent="0.3">
      <c r="K755" s="8"/>
    </row>
    <row r="756" spans="11:11" ht="19.2" customHeight="1" x14ac:dyDescent="0.3">
      <c r="K756" s="8"/>
    </row>
    <row r="757" spans="11:11" ht="19.2" customHeight="1" x14ac:dyDescent="0.3">
      <c r="K757" s="8"/>
    </row>
    <row r="758" spans="11:11" ht="19.2" customHeight="1" x14ac:dyDescent="0.3">
      <c r="K758" s="8"/>
    </row>
    <row r="759" spans="11:11" ht="19.2" customHeight="1" x14ac:dyDescent="0.3">
      <c r="K759" s="8"/>
    </row>
    <row r="760" spans="11:11" ht="19.2" customHeight="1" x14ac:dyDescent="0.3">
      <c r="K760" s="8"/>
    </row>
    <row r="761" spans="11:11" ht="19.2" customHeight="1" x14ac:dyDescent="0.3">
      <c r="K761" s="8"/>
    </row>
    <row r="762" spans="11:11" ht="19.2" customHeight="1" x14ac:dyDescent="0.3">
      <c r="K762" s="8"/>
    </row>
    <row r="763" spans="11:11" ht="19.2" customHeight="1" x14ac:dyDescent="0.3">
      <c r="K763" s="8"/>
    </row>
    <row r="764" spans="11:11" ht="19.2" customHeight="1" x14ac:dyDescent="0.3">
      <c r="K764" s="8"/>
    </row>
    <row r="765" spans="11:11" ht="19.2" customHeight="1" x14ac:dyDescent="0.3">
      <c r="K765" s="8"/>
    </row>
    <row r="766" spans="11:11" ht="19.2" customHeight="1" x14ac:dyDescent="0.3">
      <c r="K766" s="8"/>
    </row>
    <row r="767" spans="11:11" ht="19.2" customHeight="1" x14ac:dyDescent="0.3">
      <c r="K767" s="8"/>
    </row>
    <row r="768" spans="11:11" ht="19.2" customHeight="1" x14ac:dyDescent="0.3">
      <c r="K768" s="8"/>
    </row>
    <row r="769" spans="11:11" ht="19.2" customHeight="1" x14ac:dyDescent="0.3">
      <c r="K769" s="8"/>
    </row>
    <row r="770" spans="11:11" ht="19.2" customHeight="1" x14ac:dyDescent="0.3">
      <c r="K770" s="8"/>
    </row>
    <row r="771" spans="11:11" ht="19.2" customHeight="1" x14ac:dyDescent="0.3">
      <c r="K771" s="8"/>
    </row>
    <row r="772" spans="11:11" ht="19.2" customHeight="1" x14ac:dyDescent="0.3">
      <c r="K772" s="8"/>
    </row>
    <row r="773" spans="11:11" ht="19.2" customHeight="1" x14ac:dyDescent="0.3">
      <c r="K773" s="8"/>
    </row>
    <row r="774" spans="11:11" ht="19.2" customHeight="1" x14ac:dyDescent="0.3">
      <c r="K774" s="8"/>
    </row>
    <row r="775" spans="11:11" ht="19.2" customHeight="1" x14ac:dyDescent="0.3">
      <c r="K775" s="8"/>
    </row>
    <row r="776" spans="11:11" ht="19.2" customHeight="1" x14ac:dyDescent="0.3">
      <c r="K776" s="8"/>
    </row>
    <row r="777" spans="11:11" ht="19.2" customHeight="1" x14ac:dyDescent="0.3">
      <c r="K777" s="8"/>
    </row>
    <row r="778" spans="11:11" ht="19.2" customHeight="1" x14ac:dyDescent="0.3">
      <c r="K778" s="8"/>
    </row>
    <row r="779" spans="11:11" ht="19.2" customHeight="1" x14ac:dyDescent="0.3">
      <c r="K779" s="8"/>
    </row>
    <row r="780" spans="11:11" ht="19.2" customHeight="1" x14ac:dyDescent="0.3">
      <c r="K780" s="8"/>
    </row>
    <row r="781" spans="11:11" ht="19.2" customHeight="1" x14ac:dyDescent="0.3">
      <c r="K781" s="8"/>
    </row>
    <row r="782" spans="11:11" ht="19.2" customHeight="1" x14ac:dyDescent="0.3">
      <c r="K782" s="8"/>
    </row>
    <row r="783" spans="11:11" ht="19.2" customHeight="1" x14ac:dyDescent="0.3">
      <c r="K783" s="8"/>
    </row>
    <row r="784" spans="11:11" ht="19.2" customHeight="1" x14ac:dyDescent="0.3">
      <c r="K784" s="8"/>
    </row>
    <row r="785" spans="11:11" ht="19.2" customHeight="1" x14ac:dyDescent="0.3">
      <c r="K785" s="8"/>
    </row>
    <row r="786" spans="11:11" ht="19.2" customHeight="1" x14ac:dyDescent="0.3">
      <c r="K786" s="8"/>
    </row>
    <row r="787" spans="11:11" ht="19.2" customHeight="1" x14ac:dyDescent="0.3">
      <c r="K787" s="8"/>
    </row>
    <row r="788" spans="11:11" ht="19.2" customHeight="1" x14ac:dyDescent="0.3">
      <c r="K788" s="8"/>
    </row>
    <row r="789" spans="11:11" ht="19.2" customHeight="1" x14ac:dyDescent="0.3">
      <c r="K789" s="8"/>
    </row>
    <row r="790" spans="11:11" ht="19.2" customHeight="1" x14ac:dyDescent="0.3">
      <c r="K790" s="8"/>
    </row>
    <row r="791" spans="11:11" ht="19.2" customHeight="1" x14ac:dyDescent="0.3">
      <c r="K791" s="8"/>
    </row>
    <row r="792" spans="11:11" ht="19.2" customHeight="1" x14ac:dyDescent="0.3">
      <c r="K792" s="8"/>
    </row>
    <row r="793" spans="11:11" ht="19.2" customHeight="1" x14ac:dyDescent="0.3">
      <c r="K793" s="8"/>
    </row>
    <row r="794" spans="11:11" ht="19.2" customHeight="1" x14ac:dyDescent="0.3">
      <c r="K794" s="8"/>
    </row>
    <row r="795" spans="11:11" ht="19.2" customHeight="1" x14ac:dyDescent="0.3">
      <c r="K795" s="8"/>
    </row>
    <row r="796" spans="11:11" ht="19.2" customHeight="1" x14ac:dyDescent="0.3">
      <c r="K796" s="8"/>
    </row>
    <row r="797" spans="11:11" ht="19.2" customHeight="1" x14ac:dyDescent="0.3">
      <c r="K797" s="8"/>
    </row>
    <row r="798" spans="11:11" ht="19.2" customHeight="1" x14ac:dyDescent="0.3">
      <c r="K798" s="8"/>
    </row>
    <row r="799" spans="11:11" ht="19.2" customHeight="1" x14ac:dyDescent="0.3">
      <c r="K799" s="8"/>
    </row>
    <row r="800" spans="11:11" ht="19.2" customHeight="1" x14ac:dyDescent="0.3">
      <c r="K800" s="8"/>
    </row>
    <row r="801" spans="11:11" ht="19.2" customHeight="1" x14ac:dyDescent="0.3">
      <c r="K801" s="8"/>
    </row>
    <row r="802" spans="11:11" ht="19.2" customHeight="1" x14ac:dyDescent="0.3">
      <c r="K802" s="8"/>
    </row>
    <row r="803" spans="11:11" ht="19.2" customHeight="1" x14ac:dyDescent="0.3">
      <c r="K803" s="8"/>
    </row>
    <row r="804" spans="11:11" ht="19.2" customHeight="1" x14ac:dyDescent="0.3">
      <c r="K804" s="8"/>
    </row>
    <row r="805" spans="11:11" ht="19.2" customHeight="1" x14ac:dyDescent="0.3">
      <c r="K805" s="8"/>
    </row>
    <row r="806" spans="11:11" ht="19.2" customHeight="1" x14ac:dyDescent="0.3">
      <c r="K806" s="8"/>
    </row>
    <row r="807" spans="11:11" ht="19.2" customHeight="1" x14ac:dyDescent="0.3">
      <c r="K807" s="8"/>
    </row>
    <row r="808" spans="11:11" ht="19.2" customHeight="1" x14ac:dyDescent="0.3">
      <c r="K808" s="8"/>
    </row>
    <row r="809" spans="11:11" ht="19.2" customHeight="1" x14ac:dyDescent="0.3">
      <c r="K809" s="8"/>
    </row>
    <row r="810" spans="11:11" ht="19.2" customHeight="1" x14ac:dyDescent="0.3">
      <c r="K810" s="8"/>
    </row>
    <row r="811" spans="11:11" ht="19.2" customHeight="1" x14ac:dyDescent="0.3">
      <c r="K811" s="8"/>
    </row>
    <row r="812" spans="11:11" ht="19.2" customHeight="1" x14ac:dyDescent="0.3">
      <c r="K812" s="8"/>
    </row>
    <row r="813" spans="11:11" ht="19.2" customHeight="1" x14ac:dyDescent="0.3">
      <c r="K813" s="8"/>
    </row>
    <row r="814" spans="11:11" ht="19.2" customHeight="1" x14ac:dyDescent="0.3">
      <c r="K814" s="8"/>
    </row>
    <row r="815" spans="11:11" ht="19.2" customHeight="1" x14ac:dyDescent="0.3">
      <c r="K815" s="8"/>
    </row>
    <row r="816" spans="11:11" ht="19.2" customHeight="1" x14ac:dyDescent="0.3">
      <c r="K816" s="8"/>
    </row>
    <row r="817" spans="11:11" ht="19.2" customHeight="1" x14ac:dyDescent="0.3">
      <c r="K817" s="8"/>
    </row>
    <row r="818" spans="11:11" ht="19.2" customHeight="1" x14ac:dyDescent="0.3">
      <c r="K818" s="8"/>
    </row>
    <row r="819" spans="11:11" ht="19.2" customHeight="1" x14ac:dyDescent="0.3">
      <c r="K819" s="8"/>
    </row>
    <row r="820" spans="11:11" ht="19.2" customHeight="1" x14ac:dyDescent="0.3">
      <c r="K820" s="8"/>
    </row>
    <row r="821" spans="11:11" ht="19.2" customHeight="1" x14ac:dyDescent="0.3">
      <c r="K821" s="8"/>
    </row>
    <row r="822" spans="11:11" ht="19.2" customHeight="1" x14ac:dyDescent="0.3">
      <c r="K822" s="8"/>
    </row>
    <row r="823" spans="11:11" ht="19.2" customHeight="1" x14ac:dyDescent="0.3">
      <c r="K823" s="8"/>
    </row>
    <row r="824" spans="11:11" ht="19.2" customHeight="1" x14ac:dyDescent="0.3">
      <c r="K824" s="8"/>
    </row>
    <row r="825" spans="11:11" ht="19.2" customHeight="1" x14ac:dyDescent="0.3">
      <c r="K825" s="8"/>
    </row>
    <row r="826" spans="11:11" ht="19.2" customHeight="1" x14ac:dyDescent="0.3">
      <c r="K826" s="8"/>
    </row>
    <row r="827" spans="11:11" ht="19.2" customHeight="1" x14ac:dyDescent="0.3">
      <c r="K827" s="8"/>
    </row>
    <row r="828" spans="11:11" ht="19.2" customHeight="1" x14ac:dyDescent="0.3">
      <c r="K828" s="8"/>
    </row>
    <row r="829" spans="11:11" ht="19.2" customHeight="1" x14ac:dyDescent="0.3">
      <c r="K829" s="8"/>
    </row>
    <row r="830" spans="11:11" ht="19.2" customHeight="1" x14ac:dyDescent="0.3">
      <c r="K830" s="8"/>
    </row>
    <row r="831" spans="11:11" ht="19.2" customHeight="1" x14ac:dyDescent="0.3">
      <c r="K831" s="8"/>
    </row>
    <row r="832" spans="11:11" ht="19.2" customHeight="1" x14ac:dyDescent="0.3">
      <c r="K832" s="8"/>
    </row>
    <row r="833" spans="11:11" ht="19.2" customHeight="1" x14ac:dyDescent="0.3">
      <c r="K833" s="8"/>
    </row>
    <row r="834" spans="11:11" ht="19.2" customHeight="1" x14ac:dyDescent="0.3">
      <c r="K834" s="8"/>
    </row>
    <row r="835" spans="11:11" ht="19.2" customHeight="1" x14ac:dyDescent="0.3">
      <c r="K835" s="8"/>
    </row>
    <row r="836" spans="11:11" ht="19.2" customHeight="1" x14ac:dyDescent="0.3">
      <c r="K836" s="8"/>
    </row>
    <row r="837" spans="11:11" ht="19.2" customHeight="1" x14ac:dyDescent="0.3">
      <c r="K837" s="8"/>
    </row>
    <row r="838" spans="11:11" ht="19.2" customHeight="1" x14ac:dyDescent="0.3">
      <c r="K838" s="8"/>
    </row>
    <row r="839" spans="11:11" ht="19.2" customHeight="1" x14ac:dyDescent="0.3">
      <c r="K839" s="8"/>
    </row>
    <row r="840" spans="11:11" ht="19.2" customHeight="1" x14ac:dyDescent="0.3">
      <c r="K840" s="8"/>
    </row>
    <row r="841" spans="11:11" ht="19.2" customHeight="1" x14ac:dyDescent="0.3">
      <c r="K841" s="8"/>
    </row>
    <row r="842" spans="11:11" ht="19.2" customHeight="1" x14ac:dyDescent="0.3">
      <c r="K842" s="8"/>
    </row>
    <row r="843" spans="11:11" ht="19.2" customHeight="1" x14ac:dyDescent="0.3">
      <c r="K843" s="8"/>
    </row>
    <row r="844" spans="11:11" ht="19.2" customHeight="1" x14ac:dyDescent="0.3">
      <c r="K844" s="8"/>
    </row>
    <row r="845" spans="11:11" ht="19.2" customHeight="1" x14ac:dyDescent="0.3">
      <c r="K845" s="8"/>
    </row>
    <row r="846" spans="11:11" ht="19.2" customHeight="1" x14ac:dyDescent="0.3">
      <c r="K846" s="8"/>
    </row>
    <row r="847" spans="11:11" ht="19.2" customHeight="1" x14ac:dyDescent="0.3">
      <c r="K847" s="8"/>
    </row>
    <row r="848" spans="11:11" ht="19.2" customHeight="1" x14ac:dyDescent="0.3">
      <c r="K848" s="8"/>
    </row>
    <row r="849" spans="11:11" ht="19.2" customHeight="1" x14ac:dyDescent="0.3">
      <c r="K849" s="8"/>
    </row>
    <row r="850" spans="11:11" ht="19.2" customHeight="1" x14ac:dyDescent="0.3">
      <c r="K850" s="8"/>
    </row>
    <row r="851" spans="11:11" ht="19.2" customHeight="1" x14ac:dyDescent="0.3">
      <c r="K851" s="8"/>
    </row>
    <row r="852" spans="11:11" ht="19.2" customHeight="1" x14ac:dyDescent="0.3">
      <c r="K852" s="8"/>
    </row>
    <row r="853" spans="11:11" ht="19.2" customHeight="1" x14ac:dyDescent="0.3">
      <c r="K853" s="8"/>
    </row>
    <row r="854" spans="11:11" ht="19.2" customHeight="1" x14ac:dyDescent="0.3">
      <c r="K854" s="8"/>
    </row>
    <row r="855" spans="11:11" ht="19.2" customHeight="1" x14ac:dyDescent="0.3">
      <c r="K855" s="8"/>
    </row>
    <row r="856" spans="11:11" ht="19.2" customHeight="1" x14ac:dyDescent="0.3">
      <c r="K856" s="8"/>
    </row>
    <row r="857" spans="11:11" ht="19.2" customHeight="1" x14ac:dyDescent="0.3">
      <c r="K857" s="8"/>
    </row>
    <row r="858" spans="11:11" ht="19.2" customHeight="1" x14ac:dyDescent="0.3">
      <c r="K858" s="8"/>
    </row>
    <row r="859" spans="11:11" ht="19.2" customHeight="1" x14ac:dyDescent="0.3">
      <c r="K859" s="8"/>
    </row>
    <row r="860" spans="11:11" ht="19.2" customHeight="1" x14ac:dyDescent="0.3">
      <c r="K860" s="8"/>
    </row>
    <row r="861" spans="11:11" ht="19.2" customHeight="1" x14ac:dyDescent="0.3">
      <c r="K861" s="8"/>
    </row>
    <row r="862" spans="11:11" ht="19.2" customHeight="1" x14ac:dyDescent="0.3">
      <c r="K862" s="8"/>
    </row>
    <row r="863" spans="11:11" ht="19.2" customHeight="1" x14ac:dyDescent="0.3">
      <c r="K863" s="8"/>
    </row>
    <row r="864" spans="11:11" ht="19.2" customHeight="1" x14ac:dyDescent="0.3">
      <c r="K864" s="8"/>
    </row>
    <row r="865" spans="11:11" ht="19.2" customHeight="1" x14ac:dyDescent="0.3">
      <c r="K865" s="8"/>
    </row>
    <row r="866" spans="11:11" ht="19.2" customHeight="1" x14ac:dyDescent="0.3">
      <c r="K866" s="8"/>
    </row>
    <row r="867" spans="11:11" ht="19.2" customHeight="1" x14ac:dyDescent="0.3">
      <c r="K867" s="8"/>
    </row>
    <row r="868" spans="11:11" ht="19.2" customHeight="1" x14ac:dyDescent="0.3">
      <c r="K868" s="8"/>
    </row>
    <row r="869" spans="11:11" ht="19.2" customHeight="1" x14ac:dyDescent="0.3">
      <c r="K869" s="8"/>
    </row>
    <row r="870" spans="11:11" ht="19.2" customHeight="1" x14ac:dyDescent="0.3">
      <c r="K870" s="8"/>
    </row>
    <row r="871" spans="11:11" ht="19.2" customHeight="1" x14ac:dyDescent="0.3">
      <c r="K871" s="8"/>
    </row>
    <row r="872" spans="11:11" ht="19.2" customHeight="1" x14ac:dyDescent="0.3">
      <c r="K872" s="8"/>
    </row>
    <row r="873" spans="11:11" ht="19.2" customHeight="1" x14ac:dyDescent="0.3">
      <c r="K873" s="8"/>
    </row>
    <row r="874" spans="11:11" ht="19.2" customHeight="1" x14ac:dyDescent="0.3">
      <c r="K874" s="8"/>
    </row>
    <row r="875" spans="11:11" ht="19.2" customHeight="1" x14ac:dyDescent="0.3">
      <c r="K875" s="8"/>
    </row>
    <row r="876" spans="11:11" ht="19.2" customHeight="1" x14ac:dyDescent="0.3">
      <c r="K876" s="8"/>
    </row>
    <row r="877" spans="11:11" ht="19.2" customHeight="1" x14ac:dyDescent="0.3">
      <c r="K877" s="8"/>
    </row>
    <row r="878" spans="11:11" ht="19.2" customHeight="1" x14ac:dyDescent="0.3">
      <c r="K878" s="8"/>
    </row>
    <row r="879" spans="11:11" ht="19.2" customHeight="1" x14ac:dyDescent="0.3">
      <c r="K879" s="8"/>
    </row>
    <row r="880" spans="11:11" ht="19.2" customHeight="1" x14ac:dyDescent="0.3">
      <c r="K880" s="8"/>
    </row>
    <row r="881" spans="11:11" ht="19.2" customHeight="1" x14ac:dyDescent="0.3">
      <c r="K881" s="8"/>
    </row>
    <row r="882" spans="11:11" ht="19.2" customHeight="1" x14ac:dyDescent="0.3">
      <c r="K882" s="8"/>
    </row>
    <row r="883" spans="11:11" ht="19.2" customHeight="1" x14ac:dyDescent="0.3">
      <c r="K883" s="8"/>
    </row>
    <row r="884" spans="11:11" ht="19.2" customHeight="1" x14ac:dyDescent="0.3">
      <c r="K884" s="8"/>
    </row>
    <row r="885" spans="11:11" ht="19.2" customHeight="1" x14ac:dyDescent="0.3">
      <c r="K885" s="8"/>
    </row>
    <row r="886" spans="11:11" ht="19.2" customHeight="1" x14ac:dyDescent="0.3">
      <c r="K886" s="8"/>
    </row>
    <row r="887" spans="11:11" ht="19.2" customHeight="1" x14ac:dyDescent="0.3">
      <c r="K887" s="8"/>
    </row>
    <row r="888" spans="11:11" ht="19.2" customHeight="1" x14ac:dyDescent="0.3">
      <c r="K888" s="8"/>
    </row>
    <row r="889" spans="11:11" ht="19.2" customHeight="1" x14ac:dyDescent="0.3">
      <c r="K889" s="8"/>
    </row>
    <row r="890" spans="11:11" ht="19.2" customHeight="1" x14ac:dyDescent="0.3">
      <c r="K890" s="8"/>
    </row>
    <row r="891" spans="11:11" ht="19.2" customHeight="1" x14ac:dyDescent="0.3">
      <c r="K891" s="8"/>
    </row>
    <row r="892" spans="11:11" ht="19.2" customHeight="1" x14ac:dyDescent="0.3">
      <c r="K892" s="8"/>
    </row>
    <row r="893" spans="11:11" ht="19.2" customHeight="1" x14ac:dyDescent="0.3">
      <c r="K893" s="8"/>
    </row>
    <row r="894" spans="11:11" ht="19.2" customHeight="1" x14ac:dyDescent="0.3">
      <c r="K894" s="8"/>
    </row>
    <row r="895" spans="11:11" ht="19.2" customHeight="1" x14ac:dyDescent="0.3">
      <c r="K895" s="8"/>
    </row>
    <row r="896" spans="11:11" ht="19.2" customHeight="1" x14ac:dyDescent="0.3">
      <c r="K896" s="8"/>
    </row>
    <row r="897" spans="11:11" ht="19.2" customHeight="1" x14ac:dyDescent="0.3">
      <c r="K897" s="8"/>
    </row>
    <row r="898" spans="11:11" ht="19.2" customHeight="1" x14ac:dyDescent="0.3">
      <c r="K898" s="8"/>
    </row>
    <row r="899" spans="11:11" ht="19.2" customHeight="1" x14ac:dyDescent="0.3">
      <c r="K899" s="8"/>
    </row>
    <row r="900" spans="11:11" ht="19.2" customHeight="1" x14ac:dyDescent="0.3">
      <c r="K900" s="8"/>
    </row>
    <row r="901" spans="11:11" ht="19.2" customHeight="1" x14ac:dyDescent="0.3">
      <c r="K901" s="8"/>
    </row>
    <row r="902" spans="11:11" ht="19.2" customHeight="1" x14ac:dyDescent="0.3">
      <c r="K902" s="8"/>
    </row>
    <row r="903" spans="11:11" ht="19.2" customHeight="1" x14ac:dyDescent="0.3">
      <c r="K903" s="8"/>
    </row>
    <row r="904" spans="11:11" ht="19.2" customHeight="1" x14ac:dyDescent="0.3">
      <c r="K904" s="8"/>
    </row>
    <row r="905" spans="11:11" ht="19.2" customHeight="1" x14ac:dyDescent="0.3">
      <c r="K905" s="8"/>
    </row>
    <row r="906" spans="11:11" ht="19.2" customHeight="1" x14ac:dyDescent="0.3">
      <c r="K906" s="8"/>
    </row>
    <row r="907" spans="11:11" ht="19.2" customHeight="1" x14ac:dyDescent="0.3">
      <c r="K907" s="8"/>
    </row>
    <row r="908" spans="11:11" ht="19.2" customHeight="1" x14ac:dyDescent="0.3">
      <c r="K908" s="8"/>
    </row>
    <row r="909" spans="11:11" ht="19.2" customHeight="1" x14ac:dyDescent="0.3">
      <c r="K909" s="8"/>
    </row>
    <row r="910" spans="11:11" ht="19.2" customHeight="1" x14ac:dyDescent="0.3">
      <c r="K910" s="8"/>
    </row>
    <row r="911" spans="11:11" ht="19.2" customHeight="1" x14ac:dyDescent="0.3">
      <c r="K911" s="8"/>
    </row>
    <row r="912" spans="11:11" ht="19.2" customHeight="1" x14ac:dyDescent="0.3">
      <c r="K912" s="8"/>
    </row>
    <row r="913" spans="11:11" ht="19.2" customHeight="1" x14ac:dyDescent="0.3">
      <c r="K913" s="8"/>
    </row>
    <row r="914" spans="11:11" ht="19.2" customHeight="1" x14ac:dyDescent="0.3">
      <c r="K914" s="8"/>
    </row>
    <row r="915" spans="11:11" ht="19.2" customHeight="1" x14ac:dyDescent="0.3">
      <c r="K915" s="8"/>
    </row>
    <row r="916" spans="11:11" ht="19.2" customHeight="1" x14ac:dyDescent="0.3">
      <c r="K916" s="8"/>
    </row>
    <row r="917" spans="11:11" ht="19.2" customHeight="1" x14ac:dyDescent="0.3">
      <c r="K917" s="8"/>
    </row>
    <row r="918" spans="11:11" ht="19.2" customHeight="1" x14ac:dyDescent="0.3">
      <c r="K918" s="8"/>
    </row>
    <row r="919" spans="11:11" ht="19.2" customHeight="1" x14ac:dyDescent="0.3">
      <c r="K919" s="8"/>
    </row>
    <row r="920" spans="11:11" ht="19.2" customHeight="1" x14ac:dyDescent="0.3">
      <c r="K920" s="8"/>
    </row>
    <row r="921" spans="11:11" ht="19.2" customHeight="1" x14ac:dyDescent="0.3">
      <c r="K921" s="8"/>
    </row>
    <row r="922" spans="11:11" ht="19.2" customHeight="1" x14ac:dyDescent="0.3">
      <c r="K922" s="8"/>
    </row>
    <row r="923" spans="11:11" ht="19.2" customHeight="1" x14ac:dyDescent="0.3">
      <c r="K923" s="8"/>
    </row>
    <row r="924" spans="11:11" ht="19.2" customHeight="1" x14ac:dyDescent="0.3">
      <c r="K924" s="8"/>
    </row>
    <row r="925" spans="11:11" ht="19.2" customHeight="1" x14ac:dyDescent="0.3">
      <c r="K925" s="8"/>
    </row>
    <row r="926" spans="11:11" ht="19.2" customHeight="1" x14ac:dyDescent="0.3">
      <c r="K926" s="8"/>
    </row>
    <row r="927" spans="11:11" ht="19.2" customHeight="1" x14ac:dyDescent="0.3">
      <c r="K927" s="8"/>
    </row>
    <row r="928" spans="11:11" ht="19.2" customHeight="1" x14ac:dyDescent="0.3">
      <c r="K928" s="8"/>
    </row>
    <row r="929" spans="11:11" ht="19.2" customHeight="1" x14ac:dyDescent="0.3">
      <c r="K929" s="8"/>
    </row>
    <row r="930" spans="11:11" ht="19.2" customHeight="1" x14ac:dyDescent="0.3">
      <c r="K930" s="8"/>
    </row>
    <row r="931" spans="11:11" ht="19.2" customHeight="1" x14ac:dyDescent="0.3">
      <c r="K931" s="8"/>
    </row>
    <row r="932" spans="11:11" ht="19.2" customHeight="1" x14ac:dyDescent="0.3">
      <c r="K932" s="8"/>
    </row>
    <row r="933" spans="11:11" ht="19.2" customHeight="1" x14ac:dyDescent="0.3">
      <c r="K933" s="8"/>
    </row>
    <row r="934" spans="11:11" ht="19.2" customHeight="1" x14ac:dyDescent="0.3">
      <c r="K934" s="8"/>
    </row>
    <row r="935" spans="11:11" ht="19.2" customHeight="1" x14ac:dyDescent="0.3">
      <c r="K935" s="8"/>
    </row>
    <row r="936" spans="11:11" ht="19.2" customHeight="1" x14ac:dyDescent="0.3">
      <c r="K936" s="8"/>
    </row>
    <row r="937" spans="11:11" ht="19.2" customHeight="1" x14ac:dyDescent="0.3">
      <c r="K937" s="8"/>
    </row>
    <row r="938" spans="11:11" ht="19.2" customHeight="1" x14ac:dyDescent="0.3">
      <c r="K938" s="8"/>
    </row>
    <row r="939" spans="11:11" ht="19.2" customHeight="1" x14ac:dyDescent="0.3">
      <c r="K939" s="8"/>
    </row>
    <row r="940" spans="11:11" ht="19.2" customHeight="1" x14ac:dyDescent="0.3">
      <c r="K940" s="8"/>
    </row>
    <row r="941" spans="11:11" ht="19.2" customHeight="1" x14ac:dyDescent="0.3">
      <c r="K941" s="8"/>
    </row>
    <row r="942" spans="11:11" ht="19.2" customHeight="1" x14ac:dyDescent="0.3">
      <c r="K942" s="8"/>
    </row>
    <row r="943" spans="11:11" ht="19.2" customHeight="1" x14ac:dyDescent="0.3">
      <c r="K943" s="8"/>
    </row>
    <row r="944" spans="11:11" ht="19.2" customHeight="1" x14ac:dyDescent="0.3">
      <c r="K944" s="8"/>
    </row>
    <row r="945" spans="11:11" ht="19.2" customHeight="1" x14ac:dyDescent="0.3">
      <c r="K945" s="8"/>
    </row>
    <row r="946" spans="11:11" ht="19.2" customHeight="1" x14ac:dyDescent="0.3">
      <c r="K946" s="8"/>
    </row>
    <row r="947" spans="11:11" ht="19.2" customHeight="1" x14ac:dyDescent="0.3">
      <c r="K947" s="8"/>
    </row>
    <row r="948" spans="11:11" ht="19.2" customHeight="1" x14ac:dyDescent="0.3">
      <c r="K948" s="8"/>
    </row>
    <row r="949" spans="11:11" ht="19.2" customHeight="1" x14ac:dyDescent="0.3">
      <c r="K949" s="8"/>
    </row>
    <row r="950" spans="11:11" ht="19.2" customHeight="1" x14ac:dyDescent="0.3">
      <c r="K950" s="8"/>
    </row>
    <row r="951" spans="11:11" ht="19.2" customHeight="1" x14ac:dyDescent="0.3">
      <c r="K951" s="8"/>
    </row>
    <row r="952" spans="11:11" ht="19.2" customHeight="1" x14ac:dyDescent="0.3">
      <c r="K952" s="8"/>
    </row>
    <row r="953" spans="11:11" ht="19.2" customHeight="1" x14ac:dyDescent="0.3">
      <c r="K953" s="8"/>
    </row>
    <row r="954" spans="11:11" ht="19.2" customHeight="1" x14ac:dyDescent="0.3">
      <c r="K954" s="8"/>
    </row>
    <row r="955" spans="11:11" ht="19.2" customHeight="1" x14ac:dyDescent="0.3">
      <c r="K955" s="8"/>
    </row>
    <row r="956" spans="11:11" ht="19.2" customHeight="1" x14ac:dyDescent="0.3">
      <c r="K956" s="8"/>
    </row>
    <row r="957" spans="11:11" ht="19.2" customHeight="1" x14ac:dyDescent="0.3">
      <c r="K957" s="8"/>
    </row>
    <row r="958" spans="11:11" ht="19.2" customHeight="1" x14ac:dyDescent="0.3">
      <c r="K958" s="8"/>
    </row>
    <row r="959" spans="11:11" ht="19.2" customHeight="1" x14ac:dyDescent="0.3">
      <c r="K959" s="8"/>
    </row>
    <row r="960" spans="11:11" ht="19.2" customHeight="1" x14ac:dyDescent="0.3">
      <c r="K960" s="8"/>
    </row>
    <row r="961" spans="11:11" ht="19.2" customHeight="1" x14ac:dyDescent="0.3">
      <c r="K961" s="8"/>
    </row>
    <row r="962" spans="11:11" ht="19.2" customHeight="1" x14ac:dyDescent="0.3">
      <c r="K962" s="8"/>
    </row>
    <row r="963" spans="11:11" ht="19.2" customHeight="1" x14ac:dyDescent="0.3">
      <c r="K963" s="8"/>
    </row>
    <row r="964" spans="11:11" ht="19.2" customHeight="1" x14ac:dyDescent="0.3">
      <c r="K964" s="8"/>
    </row>
    <row r="965" spans="11:11" ht="19.2" customHeight="1" x14ac:dyDescent="0.3">
      <c r="K965" s="8"/>
    </row>
    <row r="966" spans="11:11" ht="19.2" customHeight="1" x14ac:dyDescent="0.3">
      <c r="K966" s="8"/>
    </row>
    <row r="967" spans="11:11" ht="19.2" customHeight="1" x14ac:dyDescent="0.3">
      <c r="K967" s="8"/>
    </row>
    <row r="968" spans="11:11" ht="19.2" customHeight="1" x14ac:dyDescent="0.3">
      <c r="K968" s="8"/>
    </row>
    <row r="969" spans="11:11" ht="19.2" customHeight="1" x14ac:dyDescent="0.3">
      <c r="K969" s="8"/>
    </row>
    <row r="970" spans="11:11" ht="19.2" customHeight="1" x14ac:dyDescent="0.3">
      <c r="K970" s="8"/>
    </row>
    <row r="971" spans="11:11" ht="19.2" customHeight="1" x14ac:dyDescent="0.3">
      <c r="K971" s="8"/>
    </row>
    <row r="972" spans="11:11" ht="19.2" customHeight="1" x14ac:dyDescent="0.3">
      <c r="K972" s="8"/>
    </row>
    <row r="973" spans="11:11" ht="19.2" customHeight="1" x14ac:dyDescent="0.3">
      <c r="K973" s="8"/>
    </row>
    <row r="974" spans="11:11" ht="19.2" customHeight="1" x14ac:dyDescent="0.3">
      <c r="K974" s="8"/>
    </row>
    <row r="975" spans="11:11" ht="19.2" customHeight="1" x14ac:dyDescent="0.3">
      <c r="K975" s="8"/>
    </row>
    <row r="976" spans="11:11" ht="19.2" customHeight="1" x14ac:dyDescent="0.3">
      <c r="K976" s="8"/>
    </row>
    <row r="977" spans="11:11" ht="19.2" customHeight="1" x14ac:dyDescent="0.3">
      <c r="K977" s="8"/>
    </row>
    <row r="978" spans="11:11" ht="19.2" customHeight="1" x14ac:dyDescent="0.3">
      <c r="K978" s="8"/>
    </row>
    <row r="979" spans="11:11" ht="19.2" customHeight="1" x14ac:dyDescent="0.3">
      <c r="K979" s="8"/>
    </row>
    <row r="980" spans="11:11" ht="19.2" customHeight="1" x14ac:dyDescent="0.3">
      <c r="K980" s="8"/>
    </row>
    <row r="981" spans="11:11" ht="19.2" customHeight="1" x14ac:dyDescent="0.3">
      <c r="K981" s="8"/>
    </row>
    <row r="982" spans="11:11" ht="19.2" customHeight="1" x14ac:dyDescent="0.3">
      <c r="K982" s="8"/>
    </row>
    <row r="983" spans="11:11" ht="19.2" customHeight="1" x14ac:dyDescent="0.3">
      <c r="K983" s="8"/>
    </row>
    <row r="984" spans="11:11" ht="19.2" customHeight="1" x14ac:dyDescent="0.3">
      <c r="K984" s="8"/>
    </row>
    <row r="985" spans="11:11" ht="19.2" customHeight="1" x14ac:dyDescent="0.3">
      <c r="K985" s="8"/>
    </row>
    <row r="986" spans="11:11" ht="19.2" customHeight="1" x14ac:dyDescent="0.3">
      <c r="K986" s="8"/>
    </row>
    <row r="987" spans="11:11" ht="19.2" customHeight="1" x14ac:dyDescent="0.3">
      <c r="K987" s="8"/>
    </row>
    <row r="988" spans="11:11" ht="19.2" customHeight="1" x14ac:dyDescent="0.3">
      <c r="K988" s="8"/>
    </row>
    <row r="989" spans="11:11" ht="19.2" customHeight="1" x14ac:dyDescent="0.3">
      <c r="K989" s="8"/>
    </row>
    <row r="990" spans="11:11" ht="19.2" customHeight="1" x14ac:dyDescent="0.3">
      <c r="K990" s="8"/>
    </row>
    <row r="991" spans="11:11" ht="19.2" customHeight="1" x14ac:dyDescent="0.3">
      <c r="K991" s="8"/>
    </row>
    <row r="992" spans="11:11" ht="19.2" customHeight="1" x14ac:dyDescent="0.3">
      <c r="K992" s="8"/>
    </row>
    <row r="993" spans="11:11" ht="19.2" customHeight="1" x14ac:dyDescent="0.3">
      <c r="K993" s="8"/>
    </row>
    <row r="994" spans="11:11" ht="19.2" customHeight="1" x14ac:dyDescent="0.3">
      <c r="K994" s="8"/>
    </row>
    <row r="995" spans="11:11" ht="19.2" customHeight="1" x14ac:dyDescent="0.3">
      <c r="K995" s="8"/>
    </row>
    <row r="996" spans="11:11" ht="19.2" customHeight="1" x14ac:dyDescent="0.3">
      <c r="K996" s="8"/>
    </row>
    <row r="997" spans="11:11" ht="19.2" customHeight="1" x14ac:dyDescent="0.3">
      <c r="K997" s="8"/>
    </row>
    <row r="998" spans="11:11" ht="19.2" customHeight="1" x14ac:dyDescent="0.3">
      <c r="K998" s="8"/>
    </row>
    <row r="999" spans="11:11" ht="19.2" customHeight="1" x14ac:dyDescent="0.3">
      <c r="K999" s="8"/>
    </row>
    <row r="1000" spans="11:11" ht="19.2" customHeight="1" x14ac:dyDescent="0.3">
      <c r="K1000" s="8"/>
    </row>
    <row r="1001" spans="11:11" ht="19.2" customHeight="1" x14ac:dyDescent="0.3">
      <c r="K1001" s="8"/>
    </row>
    <row r="1002" spans="11:11" ht="19.2" customHeight="1" x14ac:dyDescent="0.3">
      <c r="K1002" s="8"/>
    </row>
    <row r="1003" spans="11:11" ht="19.2" customHeight="1" x14ac:dyDescent="0.3">
      <c r="K1003" s="8"/>
    </row>
    <row r="1004" spans="11:11" ht="19.2" customHeight="1" x14ac:dyDescent="0.3">
      <c r="K1004" s="8"/>
    </row>
    <row r="1005" spans="11:11" ht="19.2" customHeight="1" x14ac:dyDescent="0.3">
      <c r="K1005" s="8"/>
    </row>
    <row r="1006" spans="11:11" ht="19.2" customHeight="1" x14ac:dyDescent="0.3">
      <c r="K1006" s="8"/>
    </row>
    <row r="1007" spans="11:11" ht="19.2" customHeight="1" x14ac:dyDescent="0.3">
      <c r="K1007" s="8"/>
    </row>
    <row r="1008" spans="11:11" ht="19.2" customHeight="1" x14ac:dyDescent="0.3">
      <c r="K1008" s="8"/>
    </row>
    <row r="1009" spans="11:11" ht="19.2" customHeight="1" x14ac:dyDescent="0.3">
      <c r="K1009" s="8"/>
    </row>
    <row r="1010" spans="11:11" ht="19.2" customHeight="1" x14ac:dyDescent="0.3">
      <c r="K1010" s="8"/>
    </row>
    <row r="1011" spans="11:11" ht="19.2" customHeight="1" x14ac:dyDescent="0.3">
      <c r="K1011" s="8"/>
    </row>
    <row r="1012" spans="11:11" ht="19.2" customHeight="1" x14ac:dyDescent="0.3">
      <c r="K1012" s="8"/>
    </row>
    <row r="1013" spans="11:11" ht="19.2" customHeight="1" x14ac:dyDescent="0.3">
      <c r="K1013" s="8"/>
    </row>
    <row r="1014" spans="11:11" ht="19.2" customHeight="1" x14ac:dyDescent="0.3">
      <c r="K1014" s="8"/>
    </row>
    <row r="1015" spans="11:11" ht="19.2" customHeight="1" x14ac:dyDescent="0.3">
      <c r="K1015" s="8"/>
    </row>
    <row r="1016" spans="11:11" ht="19.2" customHeight="1" x14ac:dyDescent="0.3">
      <c r="K1016" s="8"/>
    </row>
    <row r="1017" spans="11:11" ht="19.2" customHeight="1" x14ac:dyDescent="0.3">
      <c r="K1017" s="8"/>
    </row>
    <row r="1018" spans="11:11" ht="19.2" customHeight="1" x14ac:dyDescent="0.3">
      <c r="K1018" s="8"/>
    </row>
    <row r="1019" spans="11:11" ht="19.2" customHeight="1" x14ac:dyDescent="0.3">
      <c r="K1019" s="8"/>
    </row>
    <row r="1020" spans="11:11" ht="19.2" customHeight="1" x14ac:dyDescent="0.3">
      <c r="K1020" s="8"/>
    </row>
    <row r="1021" spans="11:11" ht="19.2" customHeight="1" x14ac:dyDescent="0.3">
      <c r="K1021" s="8"/>
    </row>
    <row r="1022" spans="11:11" ht="19.2" customHeight="1" x14ac:dyDescent="0.3">
      <c r="K1022" s="8"/>
    </row>
    <row r="1023" spans="11:11" ht="19.2" customHeight="1" x14ac:dyDescent="0.3">
      <c r="K1023" s="8"/>
    </row>
    <row r="1024" spans="11:11" ht="19.2" customHeight="1" x14ac:dyDescent="0.3">
      <c r="K1024" s="8"/>
    </row>
    <row r="1025" spans="11:11" ht="19.2" customHeight="1" x14ac:dyDescent="0.3">
      <c r="K1025" s="8"/>
    </row>
    <row r="1026" spans="11:11" ht="19.2" customHeight="1" x14ac:dyDescent="0.3">
      <c r="K1026" s="8"/>
    </row>
    <row r="1027" spans="11:11" ht="19.2" customHeight="1" x14ac:dyDescent="0.3">
      <c r="K1027" s="8"/>
    </row>
    <row r="1028" spans="11:11" ht="19.2" customHeight="1" x14ac:dyDescent="0.3">
      <c r="K1028" s="8"/>
    </row>
    <row r="1029" spans="11:11" ht="19.2" customHeight="1" x14ac:dyDescent="0.3">
      <c r="K1029" s="8"/>
    </row>
    <row r="1030" spans="11:11" ht="19.2" customHeight="1" x14ac:dyDescent="0.3">
      <c r="K1030" s="8"/>
    </row>
    <row r="1031" spans="11:11" ht="19.2" customHeight="1" x14ac:dyDescent="0.3">
      <c r="K1031" s="8"/>
    </row>
    <row r="1032" spans="11:11" ht="19.2" customHeight="1" x14ac:dyDescent="0.3">
      <c r="K1032" s="8"/>
    </row>
    <row r="1033" spans="11:11" ht="19.2" customHeight="1" x14ac:dyDescent="0.3">
      <c r="K1033" s="8"/>
    </row>
    <row r="1034" spans="11:11" ht="19.2" customHeight="1" x14ac:dyDescent="0.3">
      <c r="K1034" s="8"/>
    </row>
    <row r="1035" spans="11:11" ht="19.2" customHeight="1" x14ac:dyDescent="0.3">
      <c r="K1035" s="8"/>
    </row>
    <row r="1036" spans="11:11" ht="19.2" customHeight="1" x14ac:dyDescent="0.3">
      <c r="K1036" s="8"/>
    </row>
    <row r="1037" spans="11:11" ht="19.2" customHeight="1" x14ac:dyDescent="0.3">
      <c r="K1037" s="8"/>
    </row>
    <row r="1038" spans="11:11" ht="19.2" customHeight="1" x14ac:dyDescent="0.3">
      <c r="K1038" s="8"/>
    </row>
    <row r="1039" spans="11:11" ht="19.2" customHeight="1" x14ac:dyDescent="0.3">
      <c r="K1039" s="8"/>
    </row>
    <row r="1040" spans="11:11" ht="19.2" customHeight="1" x14ac:dyDescent="0.3">
      <c r="K1040" s="8"/>
    </row>
    <row r="1041" spans="11:11" ht="19.2" customHeight="1" x14ac:dyDescent="0.3">
      <c r="K1041" s="8"/>
    </row>
    <row r="1042" spans="11:11" ht="19.2" customHeight="1" x14ac:dyDescent="0.3">
      <c r="K1042" s="8"/>
    </row>
    <row r="1043" spans="11:11" ht="19.2" customHeight="1" x14ac:dyDescent="0.3">
      <c r="K1043" s="8"/>
    </row>
    <row r="1044" spans="11:11" ht="19.2" customHeight="1" x14ac:dyDescent="0.3">
      <c r="K1044" s="8"/>
    </row>
    <row r="1045" spans="11:11" ht="19.2" customHeight="1" x14ac:dyDescent="0.3">
      <c r="K1045" s="8"/>
    </row>
    <row r="1046" spans="11:11" ht="19.2" customHeight="1" x14ac:dyDescent="0.3">
      <c r="K1046" s="8"/>
    </row>
    <row r="1047" spans="11:11" ht="19.2" customHeight="1" x14ac:dyDescent="0.3">
      <c r="K1047" s="8"/>
    </row>
    <row r="1048" spans="11:11" ht="19.2" customHeight="1" x14ac:dyDescent="0.3">
      <c r="K1048" s="8"/>
    </row>
    <row r="1049" spans="11:11" ht="19.2" customHeight="1" x14ac:dyDescent="0.3">
      <c r="K1049" s="8"/>
    </row>
    <row r="1050" spans="11:11" ht="19.2" customHeight="1" x14ac:dyDescent="0.3">
      <c r="K1050" s="8"/>
    </row>
    <row r="1051" spans="11:11" ht="19.2" customHeight="1" x14ac:dyDescent="0.3">
      <c r="K1051" s="8"/>
    </row>
    <row r="1052" spans="11:11" ht="19.2" customHeight="1" x14ac:dyDescent="0.3">
      <c r="K1052" s="8"/>
    </row>
    <row r="1053" spans="11:11" ht="19.2" customHeight="1" x14ac:dyDescent="0.3">
      <c r="K1053" s="8"/>
    </row>
    <row r="1054" spans="11:11" ht="19.2" customHeight="1" x14ac:dyDescent="0.3">
      <c r="K1054" s="8"/>
    </row>
    <row r="1055" spans="11:11" ht="19.2" customHeight="1" x14ac:dyDescent="0.3">
      <c r="K1055" s="8"/>
    </row>
    <row r="1056" spans="11:11" ht="19.2" customHeight="1" x14ac:dyDescent="0.3">
      <c r="K1056" s="8"/>
    </row>
    <row r="1057" spans="11:11" ht="19.2" customHeight="1" x14ac:dyDescent="0.3">
      <c r="K1057" s="8"/>
    </row>
    <row r="1058" spans="11:11" ht="19.2" customHeight="1" x14ac:dyDescent="0.3">
      <c r="K1058" s="8"/>
    </row>
    <row r="1059" spans="11:11" ht="19.2" customHeight="1" x14ac:dyDescent="0.3">
      <c r="K1059" s="8"/>
    </row>
    <row r="1060" spans="11:11" ht="19.2" customHeight="1" x14ac:dyDescent="0.3">
      <c r="K1060" s="8"/>
    </row>
    <row r="1061" spans="11:11" ht="19.2" customHeight="1" x14ac:dyDescent="0.3">
      <c r="K1061" s="8"/>
    </row>
    <row r="1062" spans="11:11" ht="19.2" customHeight="1" x14ac:dyDescent="0.3">
      <c r="K1062" s="8"/>
    </row>
    <row r="1063" spans="11:11" ht="19.2" customHeight="1" x14ac:dyDescent="0.3">
      <c r="K1063" s="8"/>
    </row>
    <row r="1064" spans="11:11" ht="19.2" customHeight="1" x14ac:dyDescent="0.3">
      <c r="K1064" s="8"/>
    </row>
    <row r="1065" spans="11:11" ht="19.2" customHeight="1" x14ac:dyDescent="0.3">
      <c r="K1065" s="8"/>
    </row>
    <row r="1066" spans="11:11" ht="19.2" customHeight="1" x14ac:dyDescent="0.3">
      <c r="K1066" s="8"/>
    </row>
    <row r="1067" spans="11:11" ht="19.2" customHeight="1" x14ac:dyDescent="0.3">
      <c r="K1067" s="8"/>
    </row>
    <row r="1068" spans="11:11" ht="19.2" customHeight="1" x14ac:dyDescent="0.3">
      <c r="K1068" s="8"/>
    </row>
    <row r="1069" spans="11:11" ht="19.2" customHeight="1" x14ac:dyDescent="0.3">
      <c r="K1069" s="8"/>
    </row>
    <row r="1070" spans="11:11" ht="19.2" customHeight="1" x14ac:dyDescent="0.3">
      <c r="K1070" s="8"/>
    </row>
    <row r="1071" spans="11:11" ht="19.2" customHeight="1" x14ac:dyDescent="0.3">
      <c r="K1071" s="8"/>
    </row>
    <row r="1072" spans="11:11" ht="19.2" customHeight="1" x14ac:dyDescent="0.3">
      <c r="K1072" s="8"/>
    </row>
    <row r="1073" spans="11:11" ht="19.2" customHeight="1" x14ac:dyDescent="0.3">
      <c r="K1073" s="8"/>
    </row>
    <row r="1074" spans="11:11" ht="19.2" customHeight="1" x14ac:dyDescent="0.3">
      <c r="K1074" s="8"/>
    </row>
    <row r="1075" spans="11:11" ht="19.2" customHeight="1" x14ac:dyDescent="0.3">
      <c r="K1075" s="8"/>
    </row>
    <row r="1076" spans="11:11" ht="19.2" customHeight="1" x14ac:dyDescent="0.3">
      <c r="K1076" s="8"/>
    </row>
    <row r="1077" spans="11:11" ht="19.2" customHeight="1" x14ac:dyDescent="0.3">
      <c r="K1077" s="8"/>
    </row>
    <row r="1078" spans="11:11" ht="19.2" customHeight="1" x14ac:dyDescent="0.3">
      <c r="K1078" s="8"/>
    </row>
    <row r="1079" spans="11:11" ht="19.2" customHeight="1" x14ac:dyDescent="0.3">
      <c r="K1079" s="8"/>
    </row>
    <row r="1080" spans="11:11" ht="19.2" customHeight="1" x14ac:dyDescent="0.3">
      <c r="K1080" s="8"/>
    </row>
    <row r="1081" spans="11:11" ht="19.2" customHeight="1" x14ac:dyDescent="0.3">
      <c r="K1081" s="8"/>
    </row>
    <row r="1082" spans="11:11" ht="19.2" customHeight="1" x14ac:dyDescent="0.3">
      <c r="K1082" s="8"/>
    </row>
    <row r="1083" spans="11:11" ht="19.2" customHeight="1" x14ac:dyDescent="0.3">
      <c r="K1083" s="8"/>
    </row>
    <row r="1084" spans="11:11" ht="19.2" customHeight="1" x14ac:dyDescent="0.3">
      <c r="K1084" s="8"/>
    </row>
    <row r="1085" spans="11:11" ht="19.2" customHeight="1" x14ac:dyDescent="0.3">
      <c r="K1085" s="8"/>
    </row>
    <row r="1086" spans="11:11" ht="19.2" customHeight="1" x14ac:dyDescent="0.3">
      <c r="K1086" s="8"/>
    </row>
    <row r="1087" spans="11:11" ht="19.2" customHeight="1" x14ac:dyDescent="0.3">
      <c r="K1087" s="8"/>
    </row>
    <row r="1088" spans="11:11" ht="19.2" customHeight="1" x14ac:dyDescent="0.3">
      <c r="K1088" s="8"/>
    </row>
    <row r="1089" spans="11:11" ht="19.2" customHeight="1" x14ac:dyDescent="0.3">
      <c r="K1089" s="8"/>
    </row>
    <row r="1090" spans="11:11" ht="19.2" customHeight="1" x14ac:dyDescent="0.3">
      <c r="K1090" s="8"/>
    </row>
    <row r="1091" spans="11:11" ht="19.2" customHeight="1" x14ac:dyDescent="0.3">
      <c r="K1091" s="8"/>
    </row>
    <row r="1092" spans="11:11" ht="19.2" customHeight="1" x14ac:dyDescent="0.3">
      <c r="K1092" s="8"/>
    </row>
    <row r="1093" spans="11:11" ht="19.2" customHeight="1" x14ac:dyDescent="0.3">
      <c r="K1093" s="8"/>
    </row>
    <row r="1094" spans="11:11" ht="19.2" customHeight="1" x14ac:dyDescent="0.3">
      <c r="K1094" s="8"/>
    </row>
    <row r="1095" spans="11:11" ht="19.2" customHeight="1" x14ac:dyDescent="0.3">
      <c r="K1095" s="8"/>
    </row>
    <row r="1096" spans="11:11" ht="19.2" customHeight="1" x14ac:dyDescent="0.3">
      <c r="K1096" s="8"/>
    </row>
    <row r="1097" spans="11:11" ht="19.2" customHeight="1" x14ac:dyDescent="0.3">
      <c r="K1097" s="8"/>
    </row>
    <row r="1098" spans="11:11" ht="19.2" customHeight="1" x14ac:dyDescent="0.3">
      <c r="K1098" s="8"/>
    </row>
    <row r="1099" spans="11:11" ht="19.2" customHeight="1" x14ac:dyDescent="0.3">
      <c r="K1099" s="8"/>
    </row>
    <row r="1100" spans="11:11" ht="19.2" customHeight="1" x14ac:dyDescent="0.3">
      <c r="K1100" s="8"/>
    </row>
    <row r="1101" spans="11:11" ht="19.2" customHeight="1" x14ac:dyDescent="0.3">
      <c r="K1101" s="8"/>
    </row>
    <row r="1102" spans="11:11" ht="19.2" customHeight="1" x14ac:dyDescent="0.3">
      <c r="K1102" s="8"/>
    </row>
    <row r="1103" spans="11:11" ht="19.2" customHeight="1" x14ac:dyDescent="0.3">
      <c r="K1103" s="8"/>
    </row>
    <row r="1104" spans="11:11" ht="19.2" customHeight="1" x14ac:dyDescent="0.3">
      <c r="K1104" s="8"/>
    </row>
    <row r="1105" spans="11:11" ht="19.2" customHeight="1" x14ac:dyDescent="0.3">
      <c r="K1105" s="8"/>
    </row>
    <row r="1106" spans="11:11" ht="19.2" customHeight="1" x14ac:dyDescent="0.3">
      <c r="K1106" s="8"/>
    </row>
    <row r="1107" spans="11:11" ht="19.2" customHeight="1" x14ac:dyDescent="0.3">
      <c r="K1107" s="8"/>
    </row>
    <row r="1108" spans="11:11" ht="19.2" customHeight="1" x14ac:dyDescent="0.3">
      <c r="K1108" s="8"/>
    </row>
    <row r="1109" spans="11:11" ht="19.2" customHeight="1" x14ac:dyDescent="0.3">
      <c r="K1109" s="8"/>
    </row>
    <row r="1110" spans="11:11" ht="19.2" customHeight="1" x14ac:dyDescent="0.3">
      <c r="K1110" s="8"/>
    </row>
    <row r="1111" spans="11:11" ht="19.2" customHeight="1" x14ac:dyDescent="0.3">
      <c r="K1111" s="8"/>
    </row>
    <row r="1112" spans="11:11" ht="19.2" customHeight="1" x14ac:dyDescent="0.3">
      <c r="K1112" s="8"/>
    </row>
    <row r="1113" spans="11:11" ht="19.2" customHeight="1" x14ac:dyDescent="0.3">
      <c r="K1113" s="8"/>
    </row>
    <row r="1114" spans="11:11" ht="19.2" customHeight="1" x14ac:dyDescent="0.3">
      <c r="K1114" s="8"/>
    </row>
    <row r="1115" spans="11:11" ht="19.2" customHeight="1" x14ac:dyDescent="0.3">
      <c r="K1115" s="8"/>
    </row>
    <row r="1116" spans="11:11" ht="19.2" customHeight="1" x14ac:dyDescent="0.3">
      <c r="K1116" s="8"/>
    </row>
    <row r="1117" spans="11:11" ht="19.2" customHeight="1" x14ac:dyDescent="0.3">
      <c r="K1117" s="8"/>
    </row>
    <row r="1118" spans="11:11" ht="19.2" customHeight="1" x14ac:dyDescent="0.3">
      <c r="K1118" s="8"/>
    </row>
    <row r="1119" spans="11:11" ht="19.2" customHeight="1" x14ac:dyDescent="0.3">
      <c r="K1119" s="8"/>
    </row>
    <row r="1120" spans="11:11" ht="19.2" customHeight="1" x14ac:dyDescent="0.3">
      <c r="K1120" s="8"/>
    </row>
    <row r="1121" spans="11:11" ht="19.2" customHeight="1" x14ac:dyDescent="0.3">
      <c r="K1121" s="8"/>
    </row>
    <row r="1122" spans="11:11" ht="19.2" customHeight="1" x14ac:dyDescent="0.3">
      <c r="K1122" s="8"/>
    </row>
    <row r="1123" spans="11:11" ht="19.2" customHeight="1" x14ac:dyDescent="0.3">
      <c r="K1123" s="8"/>
    </row>
    <row r="1124" spans="11:11" ht="19.2" customHeight="1" x14ac:dyDescent="0.3">
      <c r="K1124" s="8"/>
    </row>
    <row r="1125" spans="11:11" ht="19.2" customHeight="1" x14ac:dyDescent="0.3">
      <c r="K1125" s="8"/>
    </row>
    <row r="1126" spans="11:11" ht="19.2" customHeight="1" x14ac:dyDescent="0.3">
      <c r="K1126" s="8"/>
    </row>
    <row r="1127" spans="11:11" ht="19.2" customHeight="1" x14ac:dyDescent="0.3">
      <c r="K1127" s="8"/>
    </row>
    <row r="1128" spans="11:11" ht="19.2" customHeight="1" x14ac:dyDescent="0.3">
      <c r="K1128" s="8"/>
    </row>
    <row r="1129" spans="11:11" ht="19.2" customHeight="1" x14ac:dyDescent="0.3">
      <c r="K1129" s="8"/>
    </row>
    <row r="1130" spans="11:11" ht="19.2" customHeight="1" x14ac:dyDescent="0.3">
      <c r="K1130" s="8"/>
    </row>
    <row r="1131" spans="11:11" ht="19.2" customHeight="1" x14ac:dyDescent="0.3">
      <c r="K1131" s="8"/>
    </row>
    <row r="1132" spans="11:11" ht="19.2" customHeight="1" x14ac:dyDescent="0.3">
      <c r="K1132" s="8"/>
    </row>
    <row r="1133" spans="11:11" ht="19.2" customHeight="1" x14ac:dyDescent="0.3">
      <c r="K1133" s="8"/>
    </row>
    <row r="1134" spans="11:11" ht="19.2" customHeight="1" x14ac:dyDescent="0.3">
      <c r="K1134" s="8"/>
    </row>
    <row r="1135" spans="11:11" ht="19.2" customHeight="1" x14ac:dyDescent="0.3">
      <c r="K1135" s="8"/>
    </row>
    <row r="1136" spans="11:11" ht="19.2" customHeight="1" x14ac:dyDescent="0.3">
      <c r="K1136" s="8"/>
    </row>
    <row r="1137" spans="11:11" ht="19.2" customHeight="1" x14ac:dyDescent="0.3">
      <c r="K1137" s="8"/>
    </row>
    <row r="1138" spans="11:11" ht="19.2" customHeight="1" x14ac:dyDescent="0.3">
      <c r="K1138" s="8"/>
    </row>
    <row r="1139" spans="11:11" ht="19.2" customHeight="1" x14ac:dyDescent="0.3">
      <c r="K1139" s="8"/>
    </row>
    <row r="1140" spans="11:11" ht="19.2" customHeight="1" x14ac:dyDescent="0.3">
      <c r="K1140" s="8"/>
    </row>
    <row r="1141" spans="11:11" ht="19.2" customHeight="1" x14ac:dyDescent="0.3">
      <c r="K1141" s="8"/>
    </row>
    <row r="1142" spans="11:11" ht="19.2" customHeight="1" x14ac:dyDescent="0.3">
      <c r="K1142" s="8"/>
    </row>
    <row r="1143" spans="11:11" ht="19.2" customHeight="1" x14ac:dyDescent="0.3">
      <c r="K1143" s="8"/>
    </row>
    <row r="1144" spans="11:11" ht="19.2" customHeight="1" x14ac:dyDescent="0.3">
      <c r="K1144" s="8"/>
    </row>
    <row r="1145" spans="11:11" ht="19.2" customHeight="1" x14ac:dyDescent="0.3">
      <c r="K1145" s="8"/>
    </row>
    <row r="1146" spans="11:11" ht="19.2" customHeight="1" x14ac:dyDescent="0.3">
      <c r="K1146" s="8"/>
    </row>
    <row r="1147" spans="11:11" ht="19.2" customHeight="1" x14ac:dyDescent="0.3">
      <c r="K1147" s="8"/>
    </row>
    <row r="1148" spans="11:11" ht="19.2" customHeight="1" x14ac:dyDescent="0.3">
      <c r="K1148" s="8"/>
    </row>
    <row r="1149" spans="11:11" ht="19.2" customHeight="1" x14ac:dyDescent="0.3">
      <c r="K1149" s="8"/>
    </row>
    <row r="1150" spans="11:11" ht="19.2" customHeight="1" x14ac:dyDescent="0.3">
      <c r="K1150" s="8"/>
    </row>
    <row r="1151" spans="11:11" ht="19.2" customHeight="1" x14ac:dyDescent="0.3">
      <c r="K1151" s="8"/>
    </row>
    <row r="1152" spans="11:11" ht="19.2" customHeight="1" x14ac:dyDescent="0.3">
      <c r="K1152" s="8"/>
    </row>
    <row r="1153" spans="11:11" ht="19.2" customHeight="1" x14ac:dyDescent="0.3">
      <c r="K1153" s="8"/>
    </row>
    <row r="1154" spans="11:11" ht="19.2" customHeight="1" x14ac:dyDescent="0.3">
      <c r="K1154" s="8"/>
    </row>
    <row r="1155" spans="11:11" ht="19.2" customHeight="1" x14ac:dyDescent="0.3">
      <c r="K1155" s="8"/>
    </row>
    <row r="1156" spans="11:11" ht="19.2" customHeight="1" x14ac:dyDescent="0.3">
      <c r="K1156" s="8"/>
    </row>
    <row r="1157" spans="11:11" ht="19.2" customHeight="1" x14ac:dyDescent="0.3">
      <c r="K1157" s="8"/>
    </row>
    <row r="1158" spans="11:11" ht="19.2" customHeight="1" x14ac:dyDescent="0.3">
      <c r="K1158" s="8"/>
    </row>
    <row r="1159" spans="11:11" ht="19.2" customHeight="1" x14ac:dyDescent="0.3">
      <c r="K1159" s="8"/>
    </row>
    <row r="1160" spans="11:11" ht="19.2" customHeight="1" x14ac:dyDescent="0.3">
      <c r="K1160" s="8"/>
    </row>
    <row r="1161" spans="11:11" ht="19.2" customHeight="1" x14ac:dyDescent="0.3">
      <c r="K1161" s="8"/>
    </row>
    <row r="1162" spans="11:11" ht="19.2" customHeight="1" x14ac:dyDescent="0.3">
      <c r="K1162" s="8"/>
    </row>
    <row r="1163" spans="11:11" ht="19.2" customHeight="1" x14ac:dyDescent="0.3">
      <c r="K1163" s="8"/>
    </row>
    <row r="1164" spans="11:11" ht="19.2" customHeight="1" x14ac:dyDescent="0.3">
      <c r="K1164" s="8"/>
    </row>
    <row r="1165" spans="11:11" ht="19.2" customHeight="1" x14ac:dyDescent="0.3">
      <c r="K1165" s="8"/>
    </row>
    <row r="1166" spans="11:11" ht="19.2" customHeight="1" x14ac:dyDescent="0.3">
      <c r="K1166" s="8"/>
    </row>
    <row r="1167" spans="11:11" ht="19.2" customHeight="1" x14ac:dyDescent="0.3">
      <c r="K1167" s="8"/>
    </row>
    <row r="1168" spans="11:11" ht="19.2" customHeight="1" x14ac:dyDescent="0.3">
      <c r="K1168" s="8"/>
    </row>
    <row r="1169" spans="11:11" ht="19.2" customHeight="1" x14ac:dyDescent="0.3">
      <c r="K1169" s="8"/>
    </row>
    <row r="1170" spans="11:11" ht="19.2" customHeight="1" x14ac:dyDescent="0.3">
      <c r="K1170" s="8"/>
    </row>
    <row r="1171" spans="11:11" ht="19.2" customHeight="1" x14ac:dyDescent="0.3">
      <c r="K1171" s="8"/>
    </row>
    <row r="1172" spans="11:11" ht="19.2" customHeight="1" x14ac:dyDescent="0.3">
      <c r="K1172" s="8"/>
    </row>
    <row r="1173" spans="11:11" ht="19.2" customHeight="1" x14ac:dyDescent="0.3">
      <c r="K1173" s="8"/>
    </row>
    <row r="1174" spans="11:11" ht="19.2" customHeight="1" x14ac:dyDescent="0.3">
      <c r="K1174" s="8"/>
    </row>
    <row r="1175" spans="11:11" ht="19.2" customHeight="1" x14ac:dyDescent="0.3">
      <c r="K1175" s="8"/>
    </row>
    <row r="1176" spans="11:11" ht="19.2" customHeight="1" x14ac:dyDescent="0.3">
      <c r="K1176" s="8"/>
    </row>
    <row r="1177" spans="11:11" ht="19.2" customHeight="1" x14ac:dyDescent="0.3">
      <c r="K1177" s="8"/>
    </row>
    <row r="1178" spans="11:11" ht="19.2" customHeight="1" x14ac:dyDescent="0.3">
      <c r="K1178" s="8"/>
    </row>
    <row r="1179" spans="11:11" ht="19.2" customHeight="1" x14ac:dyDescent="0.3">
      <c r="K1179" s="8"/>
    </row>
    <row r="1180" spans="11:11" ht="19.2" customHeight="1" x14ac:dyDescent="0.3">
      <c r="K1180" s="8"/>
    </row>
    <row r="1181" spans="11:11" ht="19.2" customHeight="1" x14ac:dyDescent="0.3">
      <c r="K1181" s="8"/>
    </row>
    <row r="1182" spans="11:11" ht="19.2" customHeight="1" x14ac:dyDescent="0.3">
      <c r="K1182" s="8"/>
    </row>
    <row r="1183" spans="11:11" ht="19.2" customHeight="1" x14ac:dyDescent="0.3">
      <c r="K1183" s="8"/>
    </row>
    <row r="1184" spans="11:11" ht="19.2" customHeight="1" x14ac:dyDescent="0.3">
      <c r="K1184" s="8"/>
    </row>
    <row r="1185" spans="11:11" ht="19.2" customHeight="1" x14ac:dyDescent="0.3">
      <c r="K1185" s="8"/>
    </row>
    <row r="1186" spans="11:11" ht="19.2" customHeight="1" x14ac:dyDescent="0.3">
      <c r="K1186" s="8"/>
    </row>
    <row r="1187" spans="11:11" ht="19.2" customHeight="1" x14ac:dyDescent="0.3">
      <c r="K1187" s="8"/>
    </row>
    <row r="1188" spans="11:11" ht="19.2" customHeight="1" x14ac:dyDescent="0.3">
      <c r="K1188" s="8"/>
    </row>
    <row r="1189" spans="11:11" ht="19.2" customHeight="1" x14ac:dyDescent="0.3">
      <c r="K1189" s="8"/>
    </row>
    <row r="1190" spans="11:11" ht="19.2" customHeight="1" x14ac:dyDescent="0.3">
      <c r="K1190" s="8"/>
    </row>
    <row r="1191" spans="11:11" ht="19.2" customHeight="1" x14ac:dyDescent="0.3">
      <c r="K1191" s="8"/>
    </row>
    <row r="1192" spans="11:11" ht="19.2" customHeight="1" x14ac:dyDescent="0.3">
      <c r="K1192" s="8"/>
    </row>
    <row r="1193" spans="11:11" ht="19.2" customHeight="1" x14ac:dyDescent="0.3">
      <c r="K1193" s="8"/>
    </row>
    <row r="1194" spans="11:11" ht="19.2" customHeight="1" x14ac:dyDescent="0.3">
      <c r="K1194" s="8"/>
    </row>
    <row r="1195" spans="11:11" ht="19.2" customHeight="1" x14ac:dyDescent="0.3">
      <c r="K1195" s="8"/>
    </row>
    <row r="1196" spans="11:11" ht="19.2" customHeight="1" x14ac:dyDescent="0.3">
      <c r="K1196" s="8"/>
    </row>
    <row r="1197" spans="11:11" ht="19.2" customHeight="1" x14ac:dyDescent="0.3">
      <c r="K1197" s="8"/>
    </row>
    <row r="1198" spans="11:11" ht="19.2" customHeight="1" x14ac:dyDescent="0.3">
      <c r="K1198" s="8"/>
    </row>
    <row r="1199" spans="11:11" ht="19.2" customHeight="1" x14ac:dyDescent="0.3">
      <c r="K1199" s="8"/>
    </row>
    <row r="1200" spans="11:11" ht="19.2" customHeight="1" x14ac:dyDescent="0.3">
      <c r="K1200" s="8"/>
    </row>
    <row r="1201" spans="11:11" ht="19.2" customHeight="1" x14ac:dyDescent="0.3">
      <c r="K1201" s="8"/>
    </row>
    <row r="1202" spans="11:11" ht="19.2" customHeight="1" x14ac:dyDescent="0.3">
      <c r="K1202" s="8"/>
    </row>
    <row r="1203" spans="11:11" ht="19.2" customHeight="1" x14ac:dyDescent="0.3">
      <c r="K1203" s="8"/>
    </row>
    <row r="1204" spans="11:11" ht="19.2" customHeight="1" x14ac:dyDescent="0.3">
      <c r="K1204" s="8"/>
    </row>
    <row r="1205" spans="11:11" ht="19.2" customHeight="1" x14ac:dyDescent="0.3">
      <c r="K1205" s="8"/>
    </row>
    <row r="1206" spans="11:11" ht="19.2" customHeight="1" x14ac:dyDescent="0.3">
      <c r="K1206" s="8"/>
    </row>
    <row r="1207" spans="11:11" ht="19.2" customHeight="1" x14ac:dyDescent="0.3">
      <c r="K1207" s="8"/>
    </row>
    <row r="1208" spans="11:11" ht="19.2" customHeight="1" x14ac:dyDescent="0.3">
      <c r="K1208" s="8"/>
    </row>
    <row r="1209" spans="11:11" ht="19.2" customHeight="1" x14ac:dyDescent="0.3">
      <c r="K1209" s="8"/>
    </row>
    <row r="1210" spans="11:11" ht="19.2" customHeight="1" x14ac:dyDescent="0.3">
      <c r="K1210" s="8"/>
    </row>
    <row r="1211" spans="11:11" ht="19.2" customHeight="1" x14ac:dyDescent="0.3">
      <c r="K1211" s="8"/>
    </row>
    <row r="1212" spans="11:11" ht="19.2" customHeight="1" x14ac:dyDescent="0.3">
      <c r="K1212" s="8"/>
    </row>
    <row r="1213" spans="11:11" ht="19.2" customHeight="1" x14ac:dyDescent="0.3">
      <c r="K1213" s="8"/>
    </row>
    <row r="1214" spans="11:11" ht="19.2" customHeight="1" x14ac:dyDescent="0.3">
      <c r="K1214" s="8"/>
    </row>
    <row r="1215" spans="11:11" ht="19.2" customHeight="1" x14ac:dyDescent="0.3">
      <c r="K1215" s="8"/>
    </row>
    <row r="1216" spans="11:11" ht="19.2" customHeight="1" x14ac:dyDescent="0.3">
      <c r="K1216" s="8"/>
    </row>
    <row r="1217" spans="11:11" ht="19.2" customHeight="1" x14ac:dyDescent="0.3">
      <c r="K1217" s="8"/>
    </row>
    <row r="1218" spans="11:11" ht="19.2" customHeight="1" x14ac:dyDescent="0.3">
      <c r="K1218" s="8"/>
    </row>
    <row r="1219" spans="11:11" ht="19.2" customHeight="1" x14ac:dyDescent="0.3">
      <c r="K1219" s="8"/>
    </row>
    <row r="1220" spans="11:11" ht="19.2" customHeight="1" x14ac:dyDescent="0.3">
      <c r="K1220" s="8"/>
    </row>
    <row r="1221" spans="11:11" ht="19.2" customHeight="1" x14ac:dyDescent="0.3">
      <c r="K1221" s="8"/>
    </row>
    <row r="1222" spans="11:11" ht="19.2" customHeight="1" x14ac:dyDescent="0.3">
      <c r="K1222" s="8"/>
    </row>
    <row r="1223" spans="11:11" ht="19.2" customHeight="1" x14ac:dyDescent="0.3">
      <c r="K1223" s="8"/>
    </row>
    <row r="1224" spans="11:11" ht="19.2" customHeight="1" x14ac:dyDescent="0.3">
      <c r="K1224" s="8"/>
    </row>
    <row r="1225" spans="11:11" ht="19.2" customHeight="1" x14ac:dyDescent="0.3">
      <c r="K1225" s="8"/>
    </row>
    <row r="1226" spans="11:11" ht="19.2" customHeight="1" x14ac:dyDescent="0.3">
      <c r="K1226" s="8"/>
    </row>
    <row r="1227" spans="11:11" ht="19.2" customHeight="1" x14ac:dyDescent="0.3">
      <c r="K1227" s="8"/>
    </row>
    <row r="1228" spans="11:11" ht="19.2" customHeight="1" x14ac:dyDescent="0.3">
      <c r="K1228" s="8"/>
    </row>
    <row r="1229" spans="11:11" ht="19.2" customHeight="1" x14ac:dyDescent="0.3">
      <c r="K1229" s="8"/>
    </row>
    <row r="1230" spans="11:11" ht="19.2" customHeight="1" x14ac:dyDescent="0.3">
      <c r="K1230" s="8"/>
    </row>
    <row r="1231" spans="11:11" ht="19.2" customHeight="1" x14ac:dyDescent="0.3">
      <c r="K1231" s="8"/>
    </row>
    <row r="1232" spans="11:11" ht="19.2" customHeight="1" x14ac:dyDescent="0.3">
      <c r="K1232" s="8"/>
    </row>
    <row r="1233" spans="11:11" ht="19.2" customHeight="1" x14ac:dyDescent="0.3">
      <c r="K1233" s="8"/>
    </row>
    <row r="1234" spans="11:11" ht="19.2" customHeight="1" x14ac:dyDescent="0.3">
      <c r="K1234" s="8"/>
    </row>
    <row r="1235" spans="11:11" ht="19.2" customHeight="1" x14ac:dyDescent="0.3">
      <c r="K1235" s="8"/>
    </row>
    <row r="1236" spans="11:11" ht="19.2" customHeight="1" x14ac:dyDescent="0.3">
      <c r="K1236" s="8"/>
    </row>
    <row r="1237" spans="11:11" ht="19.2" customHeight="1" x14ac:dyDescent="0.3">
      <c r="K1237" s="8"/>
    </row>
    <row r="1238" spans="11:11" ht="19.2" customHeight="1" x14ac:dyDescent="0.3">
      <c r="K1238" s="8"/>
    </row>
    <row r="1239" spans="11:11" ht="19.2" customHeight="1" x14ac:dyDescent="0.3">
      <c r="K1239" s="8"/>
    </row>
    <row r="1240" spans="11:11" ht="19.2" customHeight="1" x14ac:dyDescent="0.3">
      <c r="K1240" s="8"/>
    </row>
    <row r="1241" spans="11:11" ht="19.2" customHeight="1" x14ac:dyDescent="0.3">
      <c r="K1241" s="8"/>
    </row>
    <row r="1242" spans="11:11" ht="19.2" customHeight="1" x14ac:dyDescent="0.3">
      <c r="K1242" s="8"/>
    </row>
    <row r="1243" spans="11:11" ht="19.2" customHeight="1" x14ac:dyDescent="0.3">
      <c r="K1243" s="8"/>
    </row>
    <row r="1244" spans="11:11" ht="19.2" customHeight="1" x14ac:dyDescent="0.3">
      <c r="K1244" s="8"/>
    </row>
    <row r="1245" spans="11:11" ht="19.2" customHeight="1" x14ac:dyDescent="0.3">
      <c r="K1245" s="8"/>
    </row>
    <row r="1246" spans="11:11" ht="19.2" customHeight="1" x14ac:dyDescent="0.3">
      <c r="K1246" s="8"/>
    </row>
    <row r="1247" spans="11:11" ht="19.2" customHeight="1" x14ac:dyDescent="0.3">
      <c r="K1247" s="8"/>
    </row>
    <row r="1248" spans="11:11" ht="19.2" customHeight="1" x14ac:dyDescent="0.3">
      <c r="K1248" s="8"/>
    </row>
    <row r="1249" spans="11:11" ht="19.2" customHeight="1" x14ac:dyDescent="0.3">
      <c r="K1249" s="8"/>
    </row>
    <row r="1250" spans="11:11" ht="19.2" customHeight="1" x14ac:dyDescent="0.3">
      <c r="K1250" s="8"/>
    </row>
    <row r="1251" spans="11:11" ht="19.2" customHeight="1" x14ac:dyDescent="0.3">
      <c r="K1251" s="8"/>
    </row>
    <row r="1252" spans="11:11" ht="19.2" customHeight="1" x14ac:dyDescent="0.3">
      <c r="K1252" s="8"/>
    </row>
    <row r="1253" spans="11:11" ht="19.2" customHeight="1" x14ac:dyDescent="0.3">
      <c r="K1253" s="8"/>
    </row>
    <row r="1254" spans="11:11" ht="19.2" customHeight="1" x14ac:dyDescent="0.3">
      <c r="K1254" s="8"/>
    </row>
    <row r="1255" spans="11:11" ht="19.2" customHeight="1" x14ac:dyDescent="0.3">
      <c r="K1255" s="8"/>
    </row>
    <row r="1256" spans="11:11" ht="19.2" customHeight="1" x14ac:dyDescent="0.3">
      <c r="K1256" s="8"/>
    </row>
    <row r="1257" spans="11:11" ht="19.2" customHeight="1" x14ac:dyDescent="0.3">
      <c r="K1257" s="8"/>
    </row>
    <row r="1258" spans="11:11" ht="19.2" customHeight="1" x14ac:dyDescent="0.3">
      <c r="K1258" s="8"/>
    </row>
    <row r="1259" spans="11:11" ht="19.2" customHeight="1" x14ac:dyDescent="0.3">
      <c r="K1259" s="8"/>
    </row>
    <row r="1260" spans="11:11" ht="19.2" customHeight="1" x14ac:dyDescent="0.3">
      <c r="K1260" s="8"/>
    </row>
    <row r="1261" spans="11:11" ht="19.2" customHeight="1" x14ac:dyDescent="0.3">
      <c r="K1261" s="8"/>
    </row>
    <row r="1262" spans="11:11" ht="19.2" customHeight="1" x14ac:dyDescent="0.3">
      <c r="K1262" s="8"/>
    </row>
    <row r="1263" spans="11:11" ht="19.2" customHeight="1" x14ac:dyDescent="0.3">
      <c r="K1263" s="8"/>
    </row>
    <row r="1264" spans="11:11" ht="19.2" customHeight="1" x14ac:dyDescent="0.3">
      <c r="K1264" s="8"/>
    </row>
    <row r="1265" spans="11:11" ht="19.2" customHeight="1" x14ac:dyDescent="0.3">
      <c r="K1265" s="8"/>
    </row>
    <row r="1266" spans="11:11" ht="19.2" customHeight="1" x14ac:dyDescent="0.3">
      <c r="K1266" s="8"/>
    </row>
    <row r="1267" spans="11:11" ht="19.2" customHeight="1" x14ac:dyDescent="0.3">
      <c r="K1267" s="8"/>
    </row>
    <row r="1268" spans="11:11" ht="19.2" customHeight="1" x14ac:dyDescent="0.3">
      <c r="K1268" s="8"/>
    </row>
    <row r="1269" spans="11:11" ht="19.2" customHeight="1" x14ac:dyDescent="0.3">
      <c r="K1269" s="8"/>
    </row>
    <row r="1270" spans="11:11" ht="19.2" customHeight="1" x14ac:dyDescent="0.3">
      <c r="K1270" s="8"/>
    </row>
    <row r="1271" spans="11:11" ht="19.2" customHeight="1" x14ac:dyDescent="0.3">
      <c r="K1271" s="8"/>
    </row>
    <row r="1272" spans="11:11" ht="19.2" customHeight="1" x14ac:dyDescent="0.3">
      <c r="K1272" s="8"/>
    </row>
    <row r="1273" spans="11:11" ht="19.2" customHeight="1" x14ac:dyDescent="0.3">
      <c r="K1273" s="8"/>
    </row>
    <row r="1274" spans="11:11" ht="19.2" customHeight="1" x14ac:dyDescent="0.3">
      <c r="K1274" s="8"/>
    </row>
    <row r="1275" spans="11:11" ht="19.2" customHeight="1" x14ac:dyDescent="0.3">
      <c r="K1275" s="8"/>
    </row>
    <row r="1276" spans="11:11" ht="19.2" customHeight="1" x14ac:dyDescent="0.3">
      <c r="K1276" s="8"/>
    </row>
    <row r="1277" spans="11:11" ht="19.2" customHeight="1" x14ac:dyDescent="0.3">
      <c r="K1277" s="8"/>
    </row>
    <row r="1278" spans="11:11" ht="19.2" customHeight="1" x14ac:dyDescent="0.3">
      <c r="K1278" s="8"/>
    </row>
    <row r="1279" spans="11:11" ht="19.2" customHeight="1" x14ac:dyDescent="0.3">
      <c r="K1279" s="8"/>
    </row>
    <row r="1280" spans="11:11" ht="19.2" customHeight="1" x14ac:dyDescent="0.3">
      <c r="K1280" s="8"/>
    </row>
    <row r="1281" spans="11:11" ht="19.2" customHeight="1" x14ac:dyDescent="0.3">
      <c r="K1281" s="8"/>
    </row>
    <row r="1282" spans="11:11" ht="19.2" customHeight="1" x14ac:dyDescent="0.3">
      <c r="K1282" s="8"/>
    </row>
    <row r="1283" spans="11:11" ht="19.2" customHeight="1" x14ac:dyDescent="0.3">
      <c r="K1283" s="8"/>
    </row>
    <row r="1284" spans="11:11" ht="19.2" customHeight="1" x14ac:dyDescent="0.3">
      <c r="K1284" s="8"/>
    </row>
    <row r="1285" spans="11:11" ht="19.2" customHeight="1" x14ac:dyDescent="0.3">
      <c r="K1285" s="8"/>
    </row>
    <row r="1286" spans="11:11" ht="19.2" customHeight="1" x14ac:dyDescent="0.3">
      <c r="K1286" s="8"/>
    </row>
    <row r="1287" spans="11:11" ht="19.2" customHeight="1" x14ac:dyDescent="0.3">
      <c r="K1287" s="8"/>
    </row>
    <row r="1288" spans="11:11" ht="19.2" customHeight="1" x14ac:dyDescent="0.3">
      <c r="K1288" s="8"/>
    </row>
    <row r="1289" spans="11:11" ht="19.2" customHeight="1" x14ac:dyDescent="0.3">
      <c r="K1289" s="8"/>
    </row>
    <row r="1290" spans="11:11" ht="19.2" customHeight="1" x14ac:dyDescent="0.3">
      <c r="K1290" s="8"/>
    </row>
    <row r="1291" spans="11:11" ht="19.2" customHeight="1" x14ac:dyDescent="0.3">
      <c r="K1291" s="8"/>
    </row>
    <row r="1292" spans="11:11" ht="19.2" customHeight="1" x14ac:dyDescent="0.3">
      <c r="K1292" s="8"/>
    </row>
    <row r="1293" spans="11:11" ht="19.2" customHeight="1" x14ac:dyDescent="0.3">
      <c r="K1293" s="8"/>
    </row>
    <row r="1294" spans="11:11" ht="19.2" customHeight="1" x14ac:dyDescent="0.3">
      <c r="K1294" s="8"/>
    </row>
    <row r="1295" spans="11:11" ht="19.2" customHeight="1" x14ac:dyDescent="0.3">
      <c r="K1295" s="8"/>
    </row>
    <row r="1296" spans="11:11" ht="19.2" customHeight="1" x14ac:dyDescent="0.3">
      <c r="K1296" s="8"/>
    </row>
    <row r="1297" spans="11:11" ht="19.2" customHeight="1" x14ac:dyDescent="0.3">
      <c r="K1297" s="8"/>
    </row>
    <row r="1298" spans="11:11" ht="19.2" customHeight="1" x14ac:dyDescent="0.3">
      <c r="K1298" s="8"/>
    </row>
    <row r="1299" spans="11:11" ht="19.2" customHeight="1" x14ac:dyDescent="0.3">
      <c r="K1299" s="8"/>
    </row>
    <row r="1300" spans="11:11" ht="19.2" customHeight="1" x14ac:dyDescent="0.3">
      <c r="K1300" s="8"/>
    </row>
    <row r="1301" spans="11:11" ht="19.2" customHeight="1" x14ac:dyDescent="0.3">
      <c r="K1301" s="8"/>
    </row>
    <row r="1302" spans="11:11" ht="19.2" customHeight="1" x14ac:dyDescent="0.3">
      <c r="K1302" s="8"/>
    </row>
    <row r="1303" spans="11:11" ht="19.2" customHeight="1" x14ac:dyDescent="0.3">
      <c r="K1303" s="8"/>
    </row>
    <row r="1304" spans="11:11" ht="19.2" customHeight="1" x14ac:dyDescent="0.3">
      <c r="K1304" s="8"/>
    </row>
    <row r="1305" spans="11:11" ht="19.2" customHeight="1" x14ac:dyDescent="0.3">
      <c r="K1305" s="8"/>
    </row>
    <row r="1306" spans="11:11" ht="19.2" customHeight="1" x14ac:dyDescent="0.3">
      <c r="K1306" s="8"/>
    </row>
    <row r="1307" spans="11:11" ht="19.2" customHeight="1" x14ac:dyDescent="0.3">
      <c r="K1307" s="8"/>
    </row>
    <row r="1308" spans="11:11" ht="19.2" customHeight="1" x14ac:dyDescent="0.3">
      <c r="K1308" s="8"/>
    </row>
    <row r="1309" spans="11:11" ht="19.2" customHeight="1" x14ac:dyDescent="0.3">
      <c r="K1309" s="8"/>
    </row>
    <row r="1310" spans="11:11" ht="19.2" customHeight="1" x14ac:dyDescent="0.3">
      <c r="K1310" s="8"/>
    </row>
    <row r="1311" spans="11:11" ht="19.2" customHeight="1" x14ac:dyDescent="0.3">
      <c r="K1311" s="8"/>
    </row>
    <row r="1312" spans="11:11" ht="19.2" customHeight="1" x14ac:dyDescent="0.3">
      <c r="K1312" s="8"/>
    </row>
    <row r="1313" spans="11:11" ht="19.2" customHeight="1" x14ac:dyDescent="0.3">
      <c r="K1313" s="8"/>
    </row>
    <row r="1314" spans="11:11" ht="19.2" customHeight="1" x14ac:dyDescent="0.3">
      <c r="K1314" s="8"/>
    </row>
    <row r="1315" spans="11:11" ht="19.2" customHeight="1" x14ac:dyDescent="0.3">
      <c r="K1315" s="8"/>
    </row>
    <row r="1316" spans="11:11" ht="19.2" customHeight="1" x14ac:dyDescent="0.3">
      <c r="K1316" s="8"/>
    </row>
    <row r="1317" spans="11:11" ht="19.2" customHeight="1" x14ac:dyDescent="0.3">
      <c r="K1317" s="8"/>
    </row>
    <row r="1318" spans="11:11" ht="19.2" customHeight="1" x14ac:dyDescent="0.3">
      <c r="K1318" s="8"/>
    </row>
    <row r="1319" spans="11:11" ht="19.2" customHeight="1" x14ac:dyDescent="0.3">
      <c r="K1319" s="8"/>
    </row>
    <row r="1320" spans="11:11" ht="19.2" customHeight="1" x14ac:dyDescent="0.3">
      <c r="K1320" s="8"/>
    </row>
    <row r="1321" spans="11:11" ht="19.2" customHeight="1" x14ac:dyDescent="0.3">
      <c r="K1321" s="8"/>
    </row>
    <row r="1322" spans="11:11" ht="19.2" customHeight="1" x14ac:dyDescent="0.3">
      <c r="K1322" s="8"/>
    </row>
    <row r="1323" spans="11:11" ht="19.2" customHeight="1" x14ac:dyDescent="0.3">
      <c r="K1323" s="8"/>
    </row>
    <row r="1324" spans="11:11" ht="19.2" customHeight="1" x14ac:dyDescent="0.3">
      <c r="K1324" s="8"/>
    </row>
    <row r="1325" spans="11:11" ht="19.2" customHeight="1" x14ac:dyDescent="0.3">
      <c r="K1325" s="8"/>
    </row>
    <row r="1326" spans="11:11" ht="19.2" customHeight="1" x14ac:dyDescent="0.3">
      <c r="K1326" s="8"/>
    </row>
    <row r="1327" spans="11:11" ht="19.2" customHeight="1" x14ac:dyDescent="0.3">
      <c r="K1327" s="8"/>
    </row>
    <row r="1328" spans="11:11" ht="19.2" customHeight="1" x14ac:dyDescent="0.3">
      <c r="K1328" s="8"/>
    </row>
    <row r="1329" spans="11:11" ht="19.2" customHeight="1" x14ac:dyDescent="0.3">
      <c r="K1329" s="8"/>
    </row>
    <row r="1330" spans="11:11" ht="19.2" customHeight="1" x14ac:dyDescent="0.3">
      <c r="K1330" s="8"/>
    </row>
    <row r="1331" spans="11:11" ht="19.2" customHeight="1" x14ac:dyDescent="0.3">
      <c r="K1331" s="8"/>
    </row>
    <row r="1332" spans="11:11" ht="19.2" customHeight="1" x14ac:dyDescent="0.3">
      <c r="K1332" s="8"/>
    </row>
    <row r="1333" spans="11:11" ht="19.2" customHeight="1" x14ac:dyDescent="0.3">
      <c r="K1333" s="8"/>
    </row>
    <row r="1334" spans="11:11" ht="19.2" customHeight="1" x14ac:dyDescent="0.3">
      <c r="K1334" s="8"/>
    </row>
    <row r="1335" spans="11:11" ht="19.2" customHeight="1" x14ac:dyDescent="0.3">
      <c r="K1335" s="8"/>
    </row>
    <row r="1336" spans="11:11" ht="19.2" customHeight="1" x14ac:dyDescent="0.3">
      <c r="K1336" s="8"/>
    </row>
    <row r="1337" spans="11:11" ht="19.2" customHeight="1" x14ac:dyDescent="0.3">
      <c r="K1337" s="8"/>
    </row>
    <row r="1338" spans="11:11" ht="19.2" customHeight="1" x14ac:dyDescent="0.3">
      <c r="K1338" s="8"/>
    </row>
    <row r="1339" spans="11:11" ht="19.2" customHeight="1" x14ac:dyDescent="0.3">
      <c r="K1339" s="8"/>
    </row>
    <row r="1340" spans="11:11" ht="19.2" customHeight="1" x14ac:dyDescent="0.3">
      <c r="K1340" s="8"/>
    </row>
    <row r="1341" spans="11:11" ht="19.2" customHeight="1" x14ac:dyDescent="0.3">
      <c r="K1341" s="8"/>
    </row>
    <row r="1342" spans="11:11" ht="19.2" customHeight="1" x14ac:dyDescent="0.3">
      <c r="K1342" s="8"/>
    </row>
    <row r="1343" spans="11:11" ht="19.2" customHeight="1" x14ac:dyDescent="0.3">
      <c r="K1343" s="8"/>
    </row>
    <row r="1344" spans="11:11" ht="19.2" customHeight="1" x14ac:dyDescent="0.3">
      <c r="K1344" s="8"/>
    </row>
    <row r="1345" spans="11:11" ht="19.2" customHeight="1" x14ac:dyDescent="0.3">
      <c r="K1345" s="8"/>
    </row>
    <row r="1346" spans="11:11" ht="19.2" customHeight="1" x14ac:dyDescent="0.3">
      <c r="K1346" s="8"/>
    </row>
    <row r="1347" spans="11:11" ht="19.2" customHeight="1" x14ac:dyDescent="0.3">
      <c r="K1347" s="8"/>
    </row>
    <row r="1348" spans="11:11" ht="19.2" customHeight="1" x14ac:dyDescent="0.3">
      <c r="K1348" s="8"/>
    </row>
    <row r="1349" spans="11:11" ht="19.2" customHeight="1" x14ac:dyDescent="0.3">
      <c r="K1349" s="8"/>
    </row>
    <row r="1350" spans="11:11" ht="19.2" customHeight="1" x14ac:dyDescent="0.3">
      <c r="K1350" s="8"/>
    </row>
    <row r="1351" spans="11:11" ht="19.2" customHeight="1" x14ac:dyDescent="0.3">
      <c r="K1351" s="8"/>
    </row>
    <row r="1352" spans="11:11" ht="19.2" customHeight="1" x14ac:dyDescent="0.3">
      <c r="K1352" s="8"/>
    </row>
    <row r="1353" spans="11:11" ht="19.2" customHeight="1" x14ac:dyDescent="0.3">
      <c r="K1353" s="8"/>
    </row>
    <row r="1354" spans="11:11" ht="19.2" customHeight="1" x14ac:dyDescent="0.3">
      <c r="K1354" s="8"/>
    </row>
    <row r="1355" spans="11:11" ht="19.2" customHeight="1" x14ac:dyDescent="0.3">
      <c r="K1355" s="8"/>
    </row>
    <row r="1356" spans="11:11" ht="19.2" customHeight="1" x14ac:dyDescent="0.3">
      <c r="K1356" s="8"/>
    </row>
    <row r="1357" spans="11:11" ht="19.2" customHeight="1" x14ac:dyDescent="0.3">
      <c r="K1357" s="8"/>
    </row>
    <row r="1358" spans="11:11" ht="19.2" customHeight="1" x14ac:dyDescent="0.3">
      <c r="K1358" s="8"/>
    </row>
    <row r="1359" spans="11:11" ht="19.2" customHeight="1" x14ac:dyDescent="0.3">
      <c r="K1359" s="8"/>
    </row>
    <row r="1360" spans="11:11" ht="19.2" customHeight="1" x14ac:dyDescent="0.3">
      <c r="K1360" s="8"/>
    </row>
    <row r="1361" spans="11:11" ht="19.2" customHeight="1" x14ac:dyDescent="0.3">
      <c r="K1361" s="8"/>
    </row>
    <row r="1362" spans="11:11" ht="19.2" customHeight="1" x14ac:dyDescent="0.3">
      <c r="K1362" s="8"/>
    </row>
    <row r="1363" spans="11:11" ht="19.2" customHeight="1" x14ac:dyDescent="0.3">
      <c r="K1363" s="8"/>
    </row>
    <row r="1364" spans="11:11" ht="19.2" customHeight="1" x14ac:dyDescent="0.3">
      <c r="K1364" s="8"/>
    </row>
    <row r="1365" spans="11:11" ht="19.2" customHeight="1" x14ac:dyDescent="0.3">
      <c r="K1365" s="8"/>
    </row>
    <row r="1366" spans="11:11" ht="19.2" customHeight="1" x14ac:dyDescent="0.3">
      <c r="K1366" s="8"/>
    </row>
    <row r="1367" spans="11:11" ht="19.2" customHeight="1" x14ac:dyDescent="0.3">
      <c r="K1367" s="8"/>
    </row>
    <row r="1368" spans="11:11" ht="19.2" customHeight="1" x14ac:dyDescent="0.3">
      <c r="K1368" s="8"/>
    </row>
    <row r="1369" spans="11:11" ht="19.2" customHeight="1" x14ac:dyDescent="0.3">
      <c r="K1369" s="8"/>
    </row>
    <row r="1370" spans="11:11" ht="19.2" customHeight="1" x14ac:dyDescent="0.3">
      <c r="K1370" s="8"/>
    </row>
    <row r="1371" spans="11:11" ht="19.2" customHeight="1" x14ac:dyDescent="0.3">
      <c r="K1371" s="8"/>
    </row>
    <row r="1372" spans="11:11" ht="19.2" customHeight="1" x14ac:dyDescent="0.3">
      <c r="K1372" s="8"/>
    </row>
    <row r="1373" spans="11:11" ht="19.2" customHeight="1" x14ac:dyDescent="0.3">
      <c r="K1373" s="8"/>
    </row>
    <row r="1374" spans="11:11" ht="19.2" customHeight="1" x14ac:dyDescent="0.3">
      <c r="K1374" s="8"/>
    </row>
    <row r="1375" spans="11:11" ht="19.2" customHeight="1" x14ac:dyDescent="0.3">
      <c r="K1375" s="8"/>
    </row>
    <row r="1376" spans="11:11" ht="19.2" customHeight="1" x14ac:dyDescent="0.3">
      <c r="K1376" s="8"/>
    </row>
    <row r="1377" spans="11:11" ht="19.2" customHeight="1" x14ac:dyDescent="0.3">
      <c r="K1377" s="8"/>
    </row>
    <row r="1378" spans="11:11" ht="19.2" customHeight="1" x14ac:dyDescent="0.3">
      <c r="K1378" s="8"/>
    </row>
    <row r="1379" spans="11:11" ht="19.2" customHeight="1" x14ac:dyDescent="0.3">
      <c r="K1379" s="8"/>
    </row>
    <row r="1380" spans="11:11" ht="19.2" customHeight="1" x14ac:dyDescent="0.3">
      <c r="K1380" s="8"/>
    </row>
    <row r="1381" spans="11:11" ht="19.2" customHeight="1" x14ac:dyDescent="0.3">
      <c r="K1381" s="8"/>
    </row>
    <row r="1382" spans="11:11" ht="19.2" customHeight="1" x14ac:dyDescent="0.3">
      <c r="K1382" s="8"/>
    </row>
    <row r="1383" spans="11:11" ht="19.2" customHeight="1" x14ac:dyDescent="0.3">
      <c r="K1383" s="8"/>
    </row>
    <row r="1384" spans="11:11" ht="19.2" customHeight="1" x14ac:dyDescent="0.3">
      <c r="K1384" s="8"/>
    </row>
    <row r="1385" spans="11:11" ht="19.2" customHeight="1" x14ac:dyDescent="0.3">
      <c r="K1385" s="8"/>
    </row>
    <row r="1386" spans="11:11" ht="19.2" customHeight="1" x14ac:dyDescent="0.3">
      <c r="K1386" s="8"/>
    </row>
    <row r="1387" spans="11:11" ht="19.2" customHeight="1" x14ac:dyDescent="0.3">
      <c r="K1387" s="8"/>
    </row>
    <row r="1388" spans="11:11" ht="19.2" customHeight="1" x14ac:dyDescent="0.3">
      <c r="K1388" s="8"/>
    </row>
    <row r="1389" spans="11:11" ht="19.2" customHeight="1" x14ac:dyDescent="0.3">
      <c r="K1389" s="8"/>
    </row>
    <row r="1390" spans="11:11" ht="19.2" customHeight="1" x14ac:dyDescent="0.3">
      <c r="K1390" s="8"/>
    </row>
    <row r="1391" spans="11:11" ht="19.2" customHeight="1" x14ac:dyDescent="0.3">
      <c r="K1391" s="8"/>
    </row>
    <row r="1392" spans="11:11" ht="19.2" customHeight="1" x14ac:dyDescent="0.3">
      <c r="K1392" s="8"/>
    </row>
    <row r="1393" spans="11:11" ht="19.2" customHeight="1" x14ac:dyDescent="0.3">
      <c r="K1393" s="8"/>
    </row>
    <row r="1394" spans="11:11" ht="19.2" customHeight="1" x14ac:dyDescent="0.3">
      <c r="K1394" s="8"/>
    </row>
    <row r="1395" spans="11:11" ht="19.2" customHeight="1" x14ac:dyDescent="0.3">
      <c r="K1395" s="8"/>
    </row>
    <row r="1396" spans="11:11" ht="19.2" customHeight="1" x14ac:dyDescent="0.3">
      <c r="K1396" s="8"/>
    </row>
    <row r="1397" spans="11:11" ht="19.2" customHeight="1" x14ac:dyDescent="0.3">
      <c r="K1397" s="8"/>
    </row>
    <row r="1398" spans="11:11" ht="19.2" customHeight="1" x14ac:dyDescent="0.3">
      <c r="K1398" s="8"/>
    </row>
    <row r="1399" spans="11:11" ht="19.2" customHeight="1" x14ac:dyDescent="0.3">
      <c r="K1399" s="8"/>
    </row>
    <row r="1400" spans="11:11" ht="19.2" customHeight="1" x14ac:dyDescent="0.3">
      <c r="K1400" s="8"/>
    </row>
    <row r="1401" spans="11:11" ht="19.2" customHeight="1" x14ac:dyDescent="0.3">
      <c r="K1401" s="8"/>
    </row>
    <row r="1402" spans="11:11" ht="19.2" customHeight="1" x14ac:dyDescent="0.3">
      <c r="K1402" s="8"/>
    </row>
    <row r="1403" spans="11:11" ht="19.2" customHeight="1" x14ac:dyDescent="0.3">
      <c r="K1403" s="8"/>
    </row>
    <row r="1404" spans="11:11" ht="19.2" customHeight="1" x14ac:dyDescent="0.3">
      <c r="K1404" s="8"/>
    </row>
    <row r="1405" spans="11:11" ht="19.2" customHeight="1" x14ac:dyDescent="0.3">
      <c r="K1405" s="8"/>
    </row>
    <row r="1406" spans="11:11" ht="19.2" customHeight="1" x14ac:dyDescent="0.3">
      <c r="K1406" s="8"/>
    </row>
    <row r="1407" spans="11:11" ht="19.2" customHeight="1" x14ac:dyDescent="0.3">
      <c r="K1407" s="8"/>
    </row>
    <row r="1408" spans="11:11" ht="19.2" customHeight="1" x14ac:dyDescent="0.3">
      <c r="K1408" s="8"/>
    </row>
    <row r="1409" spans="11:11" ht="19.2" customHeight="1" x14ac:dyDescent="0.3">
      <c r="K1409" s="8"/>
    </row>
    <row r="1410" spans="11:11" ht="19.2" customHeight="1" x14ac:dyDescent="0.3">
      <c r="K1410" s="8"/>
    </row>
    <row r="1411" spans="11:11" ht="19.2" customHeight="1" x14ac:dyDescent="0.3">
      <c r="K1411" s="8"/>
    </row>
    <row r="1412" spans="11:11" ht="19.2" customHeight="1" x14ac:dyDescent="0.3">
      <c r="K1412" s="8"/>
    </row>
    <row r="1413" spans="11:11" ht="19.2" customHeight="1" x14ac:dyDescent="0.3">
      <c r="K1413" s="8"/>
    </row>
    <row r="1414" spans="11:11" ht="19.2" customHeight="1" x14ac:dyDescent="0.3">
      <c r="K1414" s="8"/>
    </row>
    <row r="1415" spans="11:11" ht="19.2" customHeight="1" x14ac:dyDescent="0.3">
      <c r="K1415" s="8"/>
    </row>
    <row r="1416" spans="11:11" ht="19.2" customHeight="1" x14ac:dyDescent="0.3">
      <c r="K1416" s="8"/>
    </row>
    <row r="1417" spans="11:11" ht="19.2" customHeight="1" x14ac:dyDescent="0.3">
      <c r="K1417" s="8"/>
    </row>
    <row r="1418" spans="11:11" ht="19.2" customHeight="1" x14ac:dyDescent="0.3">
      <c r="K1418" s="8"/>
    </row>
    <row r="1419" spans="11:11" ht="19.2" customHeight="1" x14ac:dyDescent="0.3">
      <c r="K1419" s="8"/>
    </row>
    <row r="1420" spans="11:11" ht="19.2" customHeight="1" x14ac:dyDescent="0.3">
      <c r="K1420" s="8"/>
    </row>
    <row r="1421" spans="11:11" ht="19.2" customHeight="1" x14ac:dyDescent="0.3">
      <c r="K1421" s="8"/>
    </row>
    <row r="1422" spans="11:11" ht="19.2" customHeight="1" x14ac:dyDescent="0.3">
      <c r="K1422" s="8"/>
    </row>
    <row r="1423" spans="11:11" ht="19.2" customHeight="1" x14ac:dyDescent="0.3">
      <c r="K1423" s="8"/>
    </row>
    <row r="1424" spans="11:11" ht="19.2" customHeight="1" x14ac:dyDescent="0.3">
      <c r="K1424" s="8"/>
    </row>
    <row r="1425" spans="11:11" ht="19.2" customHeight="1" x14ac:dyDescent="0.3">
      <c r="K1425" s="8"/>
    </row>
    <row r="1426" spans="11:11" ht="19.2" customHeight="1" x14ac:dyDescent="0.3">
      <c r="K1426" s="8"/>
    </row>
    <row r="1427" spans="11:11" ht="19.2" customHeight="1" x14ac:dyDescent="0.3">
      <c r="K1427" s="8"/>
    </row>
    <row r="1428" spans="11:11" ht="19.2" customHeight="1" x14ac:dyDescent="0.3">
      <c r="K1428" s="8"/>
    </row>
    <row r="1429" spans="11:11" ht="19.2" customHeight="1" x14ac:dyDescent="0.3">
      <c r="K1429" s="8"/>
    </row>
    <row r="1430" spans="11:11" ht="19.2" customHeight="1" x14ac:dyDescent="0.3">
      <c r="K1430" s="8"/>
    </row>
    <row r="1431" spans="11:11" ht="19.2" customHeight="1" x14ac:dyDescent="0.3">
      <c r="K1431" s="8"/>
    </row>
    <row r="1432" spans="11:11" ht="19.2" customHeight="1" x14ac:dyDescent="0.3">
      <c r="K1432" s="8"/>
    </row>
    <row r="1433" spans="11:11" ht="19.2" customHeight="1" x14ac:dyDescent="0.3">
      <c r="K1433" s="8"/>
    </row>
    <row r="1434" spans="11:11" ht="19.2" customHeight="1" x14ac:dyDescent="0.3">
      <c r="K1434" s="8"/>
    </row>
    <row r="1435" spans="11:11" ht="19.2" customHeight="1" x14ac:dyDescent="0.3">
      <c r="K1435" s="8"/>
    </row>
    <row r="1436" spans="11:11" ht="19.2" customHeight="1" x14ac:dyDescent="0.3">
      <c r="K1436" s="8"/>
    </row>
    <row r="1437" spans="11:11" ht="19.2" customHeight="1" x14ac:dyDescent="0.3">
      <c r="K1437" s="8"/>
    </row>
    <row r="1438" spans="11:11" ht="19.2" customHeight="1" x14ac:dyDescent="0.3">
      <c r="K1438" s="8"/>
    </row>
    <row r="1439" spans="11:11" ht="19.2" customHeight="1" x14ac:dyDescent="0.3">
      <c r="K1439" s="8"/>
    </row>
    <row r="1440" spans="11:11" ht="19.2" customHeight="1" x14ac:dyDescent="0.3">
      <c r="K1440" s="8"/>
    </row>
    <row r="1441" spans="11:11" ht="19.2" customHeight="1" x14ac:dyDescent="0.3">
      <c r="K1441" s="8"/>
    </row>
    <row r="1442" spans="11:11" ht="19.2" customHeight="1" x14ac:dyDescent="0.3">
      <c r="K1442" s="8"/>
    </row>
    <row r="1443" spans="11:11" ht="19.2" customHeight="1" x14ac:dyDescent="0.3">
      <c r="K1443" s="8"/>
    </row>
    <row r="1444" spans="11:11" ht="19.2" customHeight="1" x14ac:dyDescent="0.3">
      <c r="K1444" s="8"/>
    </row>
    <row r="1445" spans="11:11" ht="19.2" customHeight="1" x14ac:dyDescent="0.3">
      <c r="K1445" s="8"/>
    </row>
    <row r="1446" spans="11:11" ht="19.2" customHeight="1" x14ac:dyDescent="0.3">
      <c r="K1446" s="8"/>
    </row>
    <row r="1447" spans="11:11" ht="19.2" customHeight="1" x14ac:dyDescent="0.3">
      <c r="K1447" s="8"/>
    </row>
    <row r="1448" spans="11:11" ht="19.2" customHeight="1" x14ac:dyDescent="0.3">
      <c r="K1448" s="8"/>
    </row>
    <row r="1449" spans="11:11" ht="19.2" customHeight="1" x14ac:dyDescent="0.3">
      <c r="K1449" s="8"/>
    </row>
    <row r="1450" spans="11:11" ht="19.2" customHeight="1" x14ac:dyDescent="0.3">
      <c r="K1450" s="8"/>
    </row>
    <row r="1451" spans="11:11" ht="19.2" customHeight="1" x14ac:dyDescent="0.3">
      <c r="K1451" s="8"/>
    </row>
    <row r="1452" spans="11:11" ht="19.2" customHeight="1" x14ac:dyDescent="0.3">
      <c r="K1452" s="8"/>
    </row>
    <row r="1453" spans="11:11" ht="19.2" customHeight="1" x14ac:dyDescent="0.3">
      <c r="K1453" s="8"/>
    </row>
    <row r="1454" spans="11:11" ht="19.2" customHeight="1" x14ac:dyDescent="0.3">
      <c r="K1454" s="8"/>
    </row>
    <row r="1455" spans="11:11" ht="19.2" customHeight="1" x14ac:dyDescent="0.3">
      <c r="K1455" s="8"/>
    </row>
    <row r="1456" spans="11:11" ht="19.2" customHeight="1" x14ac:dyDescent="0.3">
      <c r="K1456" s="8"/>
    </row>
    <row r="1457" spans="11:11" ht="19.2" customHeight="1" x14ac:dyDescent="0.3">
      <c r="K1457" s="8"/>
    </row>
    <row r="1458" spans="11:11" ht="19.2" customHeight="1" x14ac:dyDescent="0.3">
      <c r="K1458" s="8"/>
    </row>
    <row r="1459" spans="11:11" ht="19.2" customHeight="1" x14ac:dyDescent="0.3">
      <c r="K1459" s="8"/>
    </row>
    <row r="1460" spans="11:11" ht="19.2" customHeight="1" x14ac:dyDescent="0.3">
      <c r="K1460" s="8"/>
    </row>
    <row r="1461" spans="11:11" ht="19.2" customHeight="1" x14ac:dyDescent="0.3">
      <c r="K1461" s="8"/>
    </row>
    <row r="1462" spans="11:11" ht="19.2" customHeight="1" x14ac:dyDescent="0.3">
      <c r="K1462" s="8"/>
    </row>
    <row r="1463" spans="11:11" ht="19.2" customHeight="1" x14ac:dyDescent="0.3">
      <c r="K1463" s="8"/>
    </row>
    <row r="1464" spans="11:11" ht="19.2" customHeight="1" x14ac:dyDescent="0.3">
      <c r="K1464" s="8"/>
    </row>
    <row r="1465" spans="11:11" ht="19.2" customHeight="1" x14ac:dyDescent="0.3">
      <c r="K1465" s="8"/>
    </row>
    <row r="1466" spans="11:11" ht="19.2" customHeight="1" x14ac:dyDescent="0.3">
      <c r="K1466" s="8"/>
    </row>
    <row r="1467" spans="11:11" ht="19.2" customHeight="1" x14ac:dyDescent="0.3">
      <c r="K1467" s="8"/>
    </row>
    <row r="1468" spans="11:11" ht="19.2" customHeight="1" x14ac:dyDescent="0.3">
      <c r="K1468" s="8"/>
    </row>
    <row r="1469" spans="11:11" ht="19.2" customHeight="1" x14ac:dyDescent="0.3">
      <c r="K1469" s="8"/>
    </row>
    <row r="1470" spans="11:11" ht="19.2" customHeight="1" x14ac:dyDescent="0.3">
      <c r="K1470" s="8"/>
    </row>
    <row r="1471" spans="11:11" ht="19.2" customHeight="1" x14ac:dyDescent="0.3">
      <c r="K1471" s="8"/>
    </row>
    <row r="1472" spans="11:11" ht="19.2" customHeight="1" x14ac:dyDescent="0.3">
      <c r="K1472" s="8"/>
    </row>
    <row r="1473" spans="11:11" ht="19.2" customHeight="1" x14ac:dyDescent="0.3">
      <c r="K1473" s="8"/>
    </row>
    <row r="1474" spans="11:11" ht="19.2" customHeight="1" x14ac:dyDescent="0.3">
      <c r="K1474" s="8"/>
    </row>
    <row r="1475" spans="11:11" ht="19.2" customHeight="1" x14ac:dyDescent="0.3">
      <c r="K1475" s="8"/>
    </row>
    <row r="1476" spans="11:11" ht="19.2" customHeight="1" x14ac:dyDescent="0.3">
      <c r="K1476" s="8"/>
    </row>
    <row r="1477" spans="11:11" ht="19.2" customHeight="1" x14ac:dyDescent="0.3">
      <c r="K1477" s="8"/>
    </row>
    <row r="1478" spans="11:11" ht="19.2" customHeight="1" x14ac:dyDescent="0.3">
      <c r="K1478" s="8"/>
    </row>
    <row r="1479" spans="11:11" ht="19.2" customHeight="1" x14ac:dyDescent="0.3">
      <c r="K1479" s="8"/>
    </row>
    <row r="1480" spans="11:11" ht="19.2" customHeight="1" x14ac:dyDescent="0.3">
      <c r="K1480" s="8"/>
    </row>
    <row r="1481" spans="11:11" ht="19.2" customHeight="1" x14ac:dyDescent="0.3">
      <c r="K1481" s="8"/>
    </row>
    <row r="1482" spans="11:11" ht="19.2" customHeight="1" x14ac:dyDescent="0.3">
      <c r="K1482" s="8"/>
    </row>
    <row r="1483" spans="11:11" ht="19.2" customHeight="1" x14ac:dyDescent="0.3">
      <c r="K1483" s="8"/>
    </row>
    <row r="1484" spans="11:11" ht="19.2" customHeight="1" x14ac:dyDescent="0.3">
      <c r="K1484" s="8"/>
    </row>
    <row r="1485" spans="11:11" ht="19.2" customHeight="1" x14ac:dyDescent="0.3">
      <c r="K1485" s="8"/>
    </row>
    <row r="1486" spans="11:11" ht="19.2" customHeight="1" x14ac:dyDescent="0.3">
      <c r="K1486" s="8"/>
    </row>
    <row r="1487" spans="11:11" ht="19.2" customHeight="1" x14ac:dyDescent="0.3">
      <c r="K1487" s="8"/>
    </row>
    <row r="1488" spans="11:11" ht="19.2" customHeight="1" x14ac:dyDescent="0.3">
      <c r="K1488" s="8"/>
    </row>
    <row r="1489" spans="11:11" ht="19.2" customHeight="1" x14ac:dyDescent="0.3">
      <c r="K1489" s="8"/>
    </row>
    <row r="1490" spans="11:11" ht="19.2" customHeight="1" x14ac:dyDescent="0.3">
      <c r="K1490" s="8"/>
    </row>
    <row r="1491" spans="11:11" ht="19.2" customHeight="1" x14ac:dyDescent="0.3">
      <c r="K1491" s="8"/>
    </row>
    <row r="1492" spans="11:11" ht="19.2" customHeight="1" x14ac:dyDescent="0.3">
      <c r="K1492" s="8"/>
    </row>
    <row r="1493" spans="11:11" ht="19.2" customHeight="1" x14ac:dyDescent="0.3">
      <c r="K1493" s="8"/>
    </row>
    <row r="1494" spans="11:11" ht="19.2" customHeight="1" x14ac:dyDescent="0.3">
      <c r="K1494" s="8"/>
    </row>
    <row r="1495" spans="11:11" ht="19.2" customHeight="1" x14ac:dyDescent="0.3">
      <c r="K1495" s="8"/>
    </row>
    <row r="1496" spans="11:11" ht="19.2" customHeight="1" x14ac:dyDescent="0.3">
      <c r="K1496" s="8"/>
    </row>
    <row r="1497" spans="11:11" ht="19.2" customHeight="1" x14ac:dyDescent="0.3">
      <c r="K1497" s="8"/>
    </row>
    <row r="1498" spans="11:11" ht="19.2" customHeight="1" x14ac:dyDescent="0.3">
      <c r="K1498" s="8"/>
    </row>
    <row r="1499" spans="11:11" ht="19.2" customHeight="1" x14ac:dyDescent="0.3">
      <c r="K1499" s="8"/>
    </row>
    <row r="1500" spans="11:11" ht="19.2" customHeight="1" x14ac:dyDescent="0.3">
      <c r="K1500" s="8"/>
    </row>
    <row r="1501" spans="11:11" ht="19.2" customHeight="1" x14ac:dyDescent="0.3">
      <c r="K1501" s="8"/>
    </row>
    <row r="1502" spans="11:11" ht="19.2" customHeight="1" x14ac:dyDescent="0.3">
      <c r="K1502" s="8"/>
    </row>
    <row r="1503" spans="11:11" ht="19.2" customHeight="1" x14ac:dyDescent="0.3">
      <c r="K1503" s="8"/>
    </row>
    <row r="1504" spans="11:11" ht="19.2" customHeight="1" x14ac:dyDescent="0.3">
      <c r="K1504" s="8"/>
    </row>
    <row r="1505" spans="11:11" ht="19.2" customHeight="1" x14ac:dyDescent="0.3">
      <c r="K1505" s="8"/>
    </row>
    <row r="1506" spans="11:11" ht="19.2" customHeight="1" x14ac:dyDescent="0.3">
      <c r="K1506" s="8"/>
    </row>
    <row r="1507" spans="11:11" ht="19.2" customHeight="1" x14ac:dyDescent="0.3">
      <c r="K1507" s="8"/>
    </row>
    <row r="1508" spans="11:11" ht="19.2" customHeight="1" x14ac:dyDescent="0.3">
      <c r="K1508" s="8"/>
    </row>
    <row r="1509" spans="11:11" ht="19.2" customHeight="1" x14ac:dyDescent="0.3">
      <c r="K1509" s="8"/>
    </row>
    <row r="1510" spans="11:11" ht="19.2" customHeight="1" x14ac:dyDescent="0.3">
      <c r="K1510" s="8"/>
    </row>
    <row r="1511" spans="11:11" ht="19.2" customHeight="1" x14ac:dyDescent="0.3">
      <c r="K1511" s="8"/>
    </row>
    <row r="1512" spans="11:11" ht="19.2" customHeight="1" x14ac:dyDescent="0.3">
      <c r="K1512" s="8"/>
    </row>
    <row r="1513" spans="11:11" ht="19.2" customHeight="1" x14ac:dyDescent="0.3">
      <c r="K1513" s="8"/>
    </row>
    <row r="1514" spans="11:11" ht="19.2" customHeight="1" x14ac:dyDescent="0.3">
      <c r="K1514" s="8"/>
    </row>
    <row r="1515" spans="11:11" ht="19.2" customHeight="1" x14ac:dyDescent="0.3">
      <c r="K1515" s="8"/>
    </row>
    <row r="1516" spans="11:11" ht="19.2" customHeight="1" x14ac:dyDescent="0.3">
      <c r="K1516" s="8"/>
    </row>
    <row r="1517" spans="11:11" ht="19.2" customHeight="1" x14ac:dyDescent="0.3">
      <c r="K1517" s="8"/>
    </row>
    <row r="1518" spans="11:11" ht="19.2" customHeight="1" x14ac:dyDescent="0.3">
      <c r="K1518" s="8"/>
    </row>
    <row r="1519" spans="11:11" ht="19.2" customHeight="1" x14ac:dyDescent="0.3">
      <c r="K1519" s="8"/>
    </row>
    <row r="1520" spans="11:11" ht="19.2" customHeight="1" x14ac:dyDescent="0.3">
      <c r="K1520" s="8"/>
    </row>
    <row r="1521" spans="11:11" ht="19.2" customHeight="1" x14ac:dyDescent="0.3">
      <c r="K1521" s="8"/>
    </row>
    <row r="1522" spans="11:11" ht="19.2" customHeight="1" x14ac:dyDescent="0.3">
      <c r="K1522" s="8"/>
    </row>
    <row r="1523" spans="11:11" ht="19.2" customHeight="1" x14ac:dyDescent="0.3">
      <c r="K1523" s="8"/>
    </row>
    <row r="1524" spans="11:11" ht="19.2" customHeight="1" x14ac:dyDescent="0.3">
      <c r="K1524" s="8"/>
    </row>
    <row r="1525" spans="11:11" ht="19.2" customHeight="1" x14ac:dyDescent="0.3">
      <c r="K1525" s="8"/>
    </row>
    <row r="1526" spans="11:11" ht="19.2" customHeight="1" x14ac:dyDescent="0.3">
      <c r="K1526" s="8"/>
    </row>
    <row r="1527" spans="11:11" ht="19.2" customHeight="1" x14ac:dyDescent="0.3">
      <c r="K1527" s="8"/>
    </row>
    <row r="1528" spans="11:11" ht="19.2" customHeight="1" x14ac:dyDescent="0.3">
      <c r="K1528" s="8"/>
    </row>
    <row r="1529" spans="11:11" ht="19.2" customHeight="1" x14ac:dyDescent="0.3">
      <c r="K1529" s="8"/>
    </row>
    <row r="1530" spans="11:11" ht="19.2" customHeight="1" x14ac:dyDescent="0.3">
      <c r="K1530" s="8"/>
    </row>
    <row r="1531" spans="11:11" ht="19.2" customHeight="1" x14ac:dyDescent="0.3">
      <c r="K1531" s="8"/>
    </row>
    <row r="1532" spans="11:11" ht="19.2" customHeight="1" x14ac:dyDescent="0.3">
      <c r="K1532" s="8"/>
    </row>
    <row r="1533" spans="11:11" ht="19.2" customHeight="1" x14ac:dyDescent="0.3">
      <c r="K1533" s="8"/>
    </row>
    <row r="1534" spans="11:11" ht="19.2" customHeight="1" x14ac:dyDescent="0.3">
      <c r="K1534" s="8"/>
    </row>
    <row r="1535" spans="11:11" ht="19.2" customHeight="1" x14ac:dyDescent="0.3">
      <c r="K1535" s="8"/>
    </row>
    <row r="1536" spans="11:11" ht="19.2" customHeight="1" x14ac:dyDescent="0.3">
      <c r="K1536" s="8"/>
    </row>
    <row r="1537" spans="11:11" ht="19.2" customHeight="1" x14ac:dyDescent="0.3">
      <c r="K1537" s="8"/>
    </row>
    <row r="1538" spans="11:11" ht="19.2" customHeight="1" x14ac:dyDescent="0.3">
      <c r="K1538" s="8"/>
    </row>
    <row r="1539" spans="11:11" ht="19.2" customHeight="1" x14ac:dyDescent="0.3">
      <c r="K1539" s="8"/>
    </row>
    <row r="1540" spans="11:11" ht="19.2" customHeight="1" x14ac:dyDescent="0.3">
      <c r="K1540" s="8"/>
    </row>
    <row r="1541" spans="11:11" ht="19.2" customHeight="1" x14ac:dyDescent="0.3">
      <c r="K1541" s="8"/>
    </row>
    <row r="1542" spans="11:11" ht="19.2" customHeight="1" x14ac:dyDescent="0.3">
      <c r="K1542" s="8"/>
    </row>
    <row r="1543" spans="11:11" ht="19.2" customHeight="1" x14ac:dyDescent="0.3">
      <c r="K1543" s="8"/>
    </row>
    <row r="1544" spans="11:11" ht="19.2" customHeight="1" x14ac:dyDescent="0.3">
      <c r="K1544" s="8"/>
    </row>
    <row r="1545" spans="11:11" ht="19.2" customHeight="1" x14ac:dyDescent="0.3">
      <c r="K1545" s="8"/>
    </row>
    <row r="1546" spans="11:11" ht="19.2" customHeight="1" x14ac:dyDescent="0.3">
      <c r="K1546" s="8"/>
    </row>
    <row r="1547" spans="11:11" ht="19.2" customHeight="1" x14ac:dyDescent="0.3">
      <c r="K1547" s="8"/>
    </row>
    <row r="1548" spans="11:11" ht="19.2" customHeight="1" x14ac:dyDescent="0.3">
      <c r="K1548" s="8"/>
    </row>
    <row r="1549" spans="11:11" ht="19.2" customHeight="1" x14ac:dyDescent="0.3">
      <c r="K1549" s="8"/>
    </row>
    <row r="1550" spans="11:11" ht="19.2" customHeight="1" x14ac:dyDescent="0.3">
      <c r="K1550" s="8"/>
    </row>
    <row r="1551" spans="11:11" ht="19.2" customHeight="1" x14ac:dyDescent="0.3">
      <c r="K1551" s="8"/>
    </row>
    <row r="1552" spans="11:11" ht="19.2" customHeight="1" x14ac:dyDescent="0.3">
      <c r="K1552" s="8"/>
    </row>
    <row r="1553" spans="11:11" ht="19.2" customHeight="1" x14ac:dyDescent="0.3">
      <c r="K1553" s="8"/>
    </row>
    <row r="1554" spans="11:11" ht="19.2" customHeight="1" x14ac:dyDescent="0.3">
      <c r="K1554" s="8"/>
    </row>
    <row r="1555" spans="11:11" ht="19.2" customHeight="1" x14ac:dyDescent="0.3">
      <c r="K1555" s="8"/>
    </row>
    <row r="1556" spans="11:11" ht="19.2" customHeight="1" x14ac:dyDescent="0.3">
      <c r="K1556" s="8"/>
    </row>
    <row r="1557" spans="11:11" ht="19.2" customHeight="1" x14ac:dyDescent="0.3">
      <c r="K1557" s="8"/>
    </row>
    <row r="1558" spans="11:11" ht="19.2" customHeight="1" x14ac:dyDescent="0.3">
      <c r="K1558" s="8"/>
    </row>
    <row r="1559" spans="11:11" ht="19.2" customHeight="1" x14ac:dyDescent="0.3">
      <c r="K1559" s="8"/>
    </row>
    <row r="1560" spans="11:11" ht="19.2" customHeight="1" x14ac:dyDescent="0.3">
      <c r="K1560" s="8"/>
    </row>
    <row r="1561" spans="11:11" ht="19.2" customHeight="1" x14ac:dyDescent="0.3">
      <c r="K1561" s="8"/>
    </row>
    <row r="1562" spans="11:11" ht="19.2" customHeight="1" x14ac:dyDescent="0.3">
      <c r="K1562" s="8"/>
    </row>
    <row r="1563" spans="11:11" ht="19.2" customHeight="1" x14ac:dyDescent="0.3">
      <c r="K1563" s="8"/>
    </row>
    <row r="1564" spans="11:11" ht="19.2" customHeight="1" x14ac:dyDescent="0.3">
      <c r="K1564" s="8"/>
    </row>
    <row r="1565" spans="11:11" ht="19.2" customHeight="1" x14ac:dyDescent="0.3">
      <c r="K1565" s="8"/>
    </row>
    <row r="1566" spans="11:11" ht="19.2" customHeight="1" x14ac:dyDescent="0.3">
      <c r="K1566" s="8"/>
    </row>
    <row r="1567" spans="11:11" ht="19.2" customHeight="1" x14ac:dyDescent="0.3">
      <c r="K1567" s="8"/>
    </row>
    <row r="1568" spans="11:11" ht="19.2" customHeight="1" x14ac:dyDescent="0.3">
      <c r="K1568" s="8"/>
    </row>
    <row r="1569" spans="11:11" ht="19.2" customHeight="1" x14ac:dyDescent="0.3">
      <c r="K1569" s="8"/>
    </row>
    <row r="1570" spans="11:11" ht="19.2" customHeight="1" x14ac:dyDescent="0.3">
      <c r="K1570" s="8"/>
    </row>
    <row r="1571" spans="11:11" ht="19.2" customHeight="1" x14ac:dyDescent="0.3">
      <c r="K1571" s="8"/>
    </row>
    <row r="1572" spans="11:11" ht="19.2" customHeight="1" x14ac:dyDescent="0.3">
      <c r="K1572" s="8"/>
    </row>
    <row r="1573" spans="11:11" ht="19.2" customHeight="1" x14ac:dyDescent="0.3">
      <c r="K1573" s="8"/>
    </row>
    <row r="1574" spans="11:11" ht="19.2" customHeight="1" x14ac:dyDescent="0.3">
      <c r="K1574" s="8"/>
    </row>
    <row r="1575" spans="11:11" ht="19.2" customHeight="1" x14ac:dyDescent="0.3">
      <c r="K1575" s="8"/>
    </row>
    <row r="1576" spans="11:11" ht="19.2" customHeight="1" x14ac:dyDescent="0.3">
      <c r="K1576" s="8"/>
    </row>
    <row r="1577" spans="11:11" ht="19.2" customHeight="1" x14ac:dyDescent="0.3">
      <c r="K1577" s="8"/>
    </row>
    <row r="1578" spans="11:11" ht="19.2" customHeight="1" x14ac:dyDescent="0.3">
      <c r="K1578" s="8"/>
    </row>
    <row r="1579" spans="11:11" ht="19.2" customHeight="1" x14ac:dyDescent="0.3">
      <c r="K1579" s="8"/>
    </row>
    <row r="1580" spans="11:11" ht="19.2" customHeight="1" x14ac:dyDescent="0.3">
      <c r="K1580" s="8"/>
    </row>
    <row r="1581" spans="11:11" ht="19.2" customHeight="1" x14ac:dyDescent="0.3">
      <c r="K1581" s="8"/>
    </row>
    <row r="1582" spans="11:11" ht="19.2" customHeight="1" x14ac:dyDescent="0.3">
      <c r="K1582" s="8"/>
    </row>
    <row r="1583" spans="11:11" ht="19.2" customHeight="1" x14ac:dyDescent="0.3">
      <c r="K1583" s="8"/>
    </row>
    <row r="1584" spans="11:11" ht="19.2" customHeight="1" x14ac:dyDescent="0.3">
      <c r="K1584" s="8"/>
    </row>
    <row r="1585" spans="11:11" ht="19.2" customHeight="1" x14ac:dyDescent="0.3">
      <c r="K1585" s="8"/>
    </row>
    <row r="1586" spans="11:11" ht="19.2" customHeight="1" x14ac:dyDescent="0.3">
      <c r="K1586" s="8"/>
    </row>
    <row r="1587" spans="11:11" ht="19.2" customHeight="1" x14ac:dyDescent="0.3">
      <c r="K1587" s="8"/>
    </row>
    <row r="1588" spans="11:11" ht="19.2" customHeight="1" x14ac:dyDescent="0.3">
      <c r="K1588" s="8"/>
    </row>
    <row r="1589" spans="11:11" ht="19.2" customHeight="1" x14ac:dyDescent="0.3">
      <c r="K1589" s="8"/>
    </row>
    <row r="1590" spans="11:11" ht="19.2" customHeight="1" x14ac:dyDescent="0.3">
      <c r="K1590" s="8"/>
    </row>
    <row r="1591" spans="11:11" ht="19.2" customHeight="1" x14ac:dyDescent="0.3">
      <c r="K1591" s="8"/>
    </row>
    <row r="1592" spans="11:11" ht="19.2" customHeight="1" x14ac:dyDescent="0.3">
      <c r="K1592" s="8"/>
    </row>
    <row r="1593" spans="11:11" ht="19.2" customHeight="1" x14ac:dyDescent="0.3">
      <c r="K1593" s="8"/>
    </row>
    <row r="1594" spans="11:11" ht="19.2" customHeight="1" x14ac:dyDescent="0.3">
      <c r="K1594" s="8"/>
    </row>
    <row r="1595" spans="11:11" ht="19.2" customHeight="1" x14ac:dyDescent="0.3">
      <c r="K1595" s="8"/>
    </row>
    <row r="1596" spans="11:11" ht="19.2" customHeight="1" x14ac:dyDescent="0.3">
      <c r="K1596" s="8"/>
    </row>
    <row r="1597" spans="11:11" ht="19.2" customHeight="1" x14ac:dyDescent="0.3">
      <c r="K1597" s="8"/>
    </row>
    <row r="1598" spans="11:11" ht="19.2" customHeight="1" x14ac:dyDescent="0.3">
      <c r="K1598" s="8"/>
    </row>
    <row r="1599" spans="11:11" ht="19.2" customHeight="1" x14ac:dyDescent="0.3">
      <c r="K1599" s="8"/>
    </row>
    <row r="1600" spans="11:11" ht="19.2" customHeight="1" x14ac:dyDescent="0.3">
      <c r="K1600" s="8"/>
    </row>
    <row r="1601" spans="11:11" ht="19.2" customHeight="1" x14ac:dyDescent="0.3">
      <c r="K1601" s="8"/>
    </row>
    <row r="1602" spans="11:11" ht="19.2" customHeight="1" x14ac:dyDescent="0.3">
      <c r="K1602" s="8"/>
    </row>
    <row r="1603" spans="11:11" ht="19.2" customHeight="1" x14ac:dyDescent="0.3">
      <c r="K1603" s="8"/>
    </row>
    <row r="1604" spans="11:11" ht="19.2" customHeight="1" x14ac:dyDescent="0.3">
      <c r="K1604" s="8"/>
    </row>
    <row r="1605" spans="11:11" ht="19.2" customHeight="1" x14ac:dyDescent="0.3">
      <c r="K1605" s="8"/>
    </row>
    <row r="1606" spans="11:11" ht="19.2" customHeight="1" x14ac:dyDescent="0.3">
      <c r="K1606" s="8"/>
    </row>
    <row r="1607" spans="11:11" ht="19.2" customHeight="1" x14ac:dyDescent="0.3">
      <c r="K1607" s="8"/>
    </row>
    <row r="1608" spans="11:11" ht="19.2" customHeight="1" x14ac:dyDescent="0.3">
      <c r="K1608" s="8"/>
    </row>
    <row r="1609" spans="11:11" ht="19.2" customHeight="1" x14ac:dyDescent="0.3">
      <c r="K1609" s="8"/>
    </row>
    <row r="1610" spans="11:11" ht="19.2" customHeight="1" x14ac:dyDescent="0.3">
      <c r="K1610" s="8"/>
    </row>
    <row r="1611" spans="11:11" ht="19.2" customHeight="1" x14ac:dyDescent="0.3">
      <c r="K1611" s="8"/>
    </row>
    <row r="1612" spans="11:11" ht="19.2" customHeight="1" x14ac:dyDescent="0.3">
      <c r="K1612" s="8"/>
    </row>
    <row r="1613" spans="11:11" ht="19.2" customHeight="1" x14ac:dyDescent="0.3">
      <c r="K1613" s="8"/>
    </row>
    <row r="1614" spans="11:11" ht="19.2" customHeight="1" x14ac:dyDescent="0.3">
      <c r="K1614" s="8"/>
    </row>
    <row r="1615" spans="11:11" ht="19.2" customHeight="1" x14ac:dyDescent="0.3">
      <c r="K1615" s="8"/>
    </row>
    <row r="1616" spans="11:11" ht="19.2" customHeight="1" x14ac:dyDescent="0.3">
      <c r="K1616" s="8"/>
    </row>
    <row r="1617" spans="11:11" ht="19.2" customHeight="1" x14ac:dyDescent="0.3">
      <c r="K1617" s="8"/>
    </row>
    <row r="1618" spans="11:11" ht="19.2" customHeight="1" x14ac:dyDescent="0.3">
      <c r="K1618" s="8"/>
    </row>
    <row r="1619" spans="11:11" ht="19.2" customHeight="1" x14ac:dyDescent="0.3">
      <c r="K1619" s="8"/>
    </row>
    <row r="1620" spans="11:11" ht="19.2" customHeight="1" x14ac:dyDescent="0.3">
      <c r="K1620" s="8"/>
    </row>
    <row r="1621" spans="11:11" ht="19.2" customHeight="1" x14ac:dyDescent="0.3">
      <c r="K1621" s="8"/>
    </row>
    <row r="1622" spans="11:11" ht="19.2" customHeight="1" x14ac:dyDescent="0.3">
      <c r="K1622" s="8"/>
    </row>
    <row r="1623" spans="11:11" ht="19.2" customHeight="1" x14ac:dyDescent="0.3">
      <c r="K1623" s="8"/>
    </row>
    <row r="1624" spans="11:11" ht="19.2" customHeight="1" x14ac:dyDescent="0.3">
      <c r="K1624" s="8"/>
    </row>
    <row r="1625" spans="11:11" ht="19.2" customHeight="1" x14ac:dyDescent="0.3">
      <c r="K1625" s="8"/>
    </row>
    <row r="1626" spans="11:11" ht="19.2" customHeight="1" x14ac:dyDescent="0.3">
      <c r="K1626" s="8"/>
    </row>
    <row r="1627" spans="11:11" ht="19.2" customHeight="1" x14ac:dyDescent="0.3">
      <c r="K1627" s="8"/>
    </row>
    <row r="1628" spans="11:11" ht="19.2" customHeight="1" x14ac:dyDescent="0.3">
      <c r="K1628" s="8"/>
    </row>
    <row r="1629" spans="11:11" ht="19.2" customHeight="1" x14ac:dyDescent="0.3">
      <c r="K1629" s="8"/>
    </row>
    <row r="1630" spans="11:11" ht="19.2" customHeight="1" x14ac:dyDescent="0.3">
      <c r="K1630" s="8"/>
    </row>
    <row r="1631" spans="11:11" ht="19.2" customHeight="1" x14ac:dyDescent="0.3">
      <c r="K1631" s="8"/>
    </row>
    <row r="1632" spans="11:11" ht="19.2" customHeight="1" x14ac:dyDescent="0.3">
      <c r="K1632" s="8"/>
    </row>
    <row r="1633" spans="11:11" ht="19.2" customHeight="1" x14ac:dyDescent="0.3">
      <c r="K1633" s="8"/>
    </row>
    <row r="1634" spans="11:11" ht="19.2" customHeight="1" x14ac:dyDescent="0.3">
      <c r="K1634" s="8"/>
    </row>
    <row r="1635" spans="11:11" ht="19.2" customHeight="1" x14ac:dyDescent="0.3">
      <c r="K1635" s="8"/>
    </row>
    <row r="1636" spans="11:11" ht="19.2" customHeight="1" x14ac:dyDescent="0.3">
      <c r="K1636" s="8"/>
    </row>
    <row r="1637" spans="11:11" ht="19.2" customHeight="1" x14ac:dyDescent="0.3">
      <c r="K1637" s="8"/>
    </row>
    <row r="1638" spans="11:11" ht="19.2" customHeight="1" x14ac:dyDescent="0.3">
      <c r="K1638" s="8"/>
    </row>
    <row r="1639" spans="11:11" ht="19.2" customHeight="1" x14ac:dyDescent="0.3">
      <c r="K1639" s="8"/>
    </row>
    <row r="1640" spans="11:11" ht="19.2" customHeight="1" x14ac:dyDescent="0.3">
      <c r="K1640" s="8"/>
    </row>
    <row r="1641" spans="11:11" ht="19.2" customHeight="1" x14ac:dyDescent="0.3">
      <c r="K1641" s="8"/>
    </row>
    <row r="1642" spans="11:11" ht="19.2" customHeight="1" x14ac:dyDescent="0.3">
      <c r="K1642" s="8"/>
    </row>
    <row r="1643" spans="11:11" ht="19.2" customHeight="1" x14ac:dyDescent="0.3">
      <c r="K1643" s="8"/>
    </row>
    <row r="1644" spans="11:11" ht="19.2" customHeight="1" x14ac:dyDescent="0.3">
      <c r="K1644" s="8"/>
    </row>
    <row r="1645" spans="11:11" ht="19.2" customHeight="1" x14ac:dyDescent="0.3">
      <c r="K1645" s="8"/>
    </row>
    <row r="1646" spans="11:11" ht="19.2" customHeight="1" x14ac:dyDescent="0.3">
      <c r="K1646" s="8"/>
    </row>
    <row r="1647" spans="11:11" ht="19.2" customHeight="1" x14ac:dyDescent="0.3">
      <c r="K1647" s="8"/>
    </row>
    <row r="1648" spans="11:11" ht="19.2" customHeight="1" x14ac:dyDescent="0.3">
      <c r="K1648" s="8"/>
    </row>
    <row r="1649" spans="11:11" ht="19.2" customHeight="1" x14ac:dyDescent="0.3">
      <c r="K1649" s="8"/>
    </row>
    <row r="1650" spans="11:11" ht="19.2" customHeight="1" x14ac:dyDescent="0.3">
      <c r="K1650" s="8"/>
    </row>
    <row r="1651" spans="11:11" ht="19.2" customHeight="1" x14ac:dyDescent="0.3">
      <c r="K1651" s="8"/>
    </row>
    <row r="1652" spans="11:11" ht="19.2" customHeight="1" x14ac:dyDescent="0.3">
      <c r="K1652" s="8"/>
    </row>
    <row r="1653" spans="11:11" ht="19.2" customHeight="1" x14ac:dyDescent="0.3">
      <c r="K1653" s="8"/>
    </row>
    <row r="1654" spans="11:11" ht="19.2" customHeight="1" x14ac:dyDescent="0.3">
      <c r="K1654" s="8"/>
    </row>
    <row r="1655" spans="11:11" ht="19.2" customHeight="1" x14ac:dyDescent="0.3">
      <c r="K1655" s="8"/>
    </row>
    <row r="1656" spans="11:11" ht="19.2" customHeight="1" x14ac:dyDescent="0.3">
      <c r="K1656" s="8"/>
    </row>
    <row r="1657" spans="11:11" ht="19.2" customHeight="1" x14ac:dyDescent="0.3">
      <c r="K1657" s="8"/>
    </row>
    <row r="1658" spans="11:11" ht="19.2" customHeight="1" x14ac:dyDescent="0.3">
      <c r="K1658" s="8"/>
    </row>
    <row r="1659" spans="11:11" ht="19.2" customHeight="1" x14ac:dyDescent="0.3">
      <c r="K1659" s="8"/>
    </row>
    <row r="1660" spans="11:11" ht="19.2" customHeight="1" x14ac:dyDescent="0.3">
      <c r="K1660" s="8"/>
    </row>
    <row r="1661" spans="11:11" ht="19.2" customHeight="1" x14ac:dyDescent="0.3">
      <c r="K1661" s="8"/>
    </row>
    <row r="1662" spans="11:11" ht="19.2" customHeight="1" x14ac:dyDescent="0.3">
      <c r="K1662" s="8"/>
    </row>
    <row r="1663" spans="11:11" ht="19.2" customHeight="1" x14ac:dyDescent="0.3">
      <c r="K1663" s="8"/>
    </row>
    <row r="1664" spans="11:11" ht="19.2" customHeight="1" x14ac:dyDescent="0.3">
      <c r="K1664" s="8"/>
    </row>
    <row r="1665" spans="11:11" ht="19.2" customHeight="1" x14ac:dyDescent="0.3">
      <c r="K1665" s="8"/>
    </row>
    <row r="1666" spans="11:11" ht="19.2" customHeight="1" x14ac:dyDescent="0.3">
      <c r="K1666" s="8"/>
    </row>
    <row r="1667" spans="11:11" ht="19.2" customHeight="1" x14ac:dyDescent="0.3">
      <c r="K1667" s="8"/>
    </row>
    <row r="1668" spans="11:11" ht="19.2" customHeight="1" x14ac:dyDescent="0.3">
      <c r="K1668" s="8"/>
    </row>
    <row r="1669" spans="11:11" ht="19.2" customHeight="1" x14ac:dyDescent="0.3">
      <c r="K1669" s="8"/>
    </row>
    <row r="1670" spans="11:11" ht="19.2" customHeight="1" x14ac:dyDescent="0.3">
      <c r="K1670" s="8"/>
    </row>
    <row r="1671" spans="11:11" ht="19.2" customHeight="1" x14ac:dyDescent="0.3">
      <c r="K1671" s="8"/>
    </row>
    <row r="1672" spans="11:11" ht="19.2" customHeight="1" x14ac:dyDescent="0.3">
      <c r="K1672" s="8"/>
    </row>
    <row r="1673" spans="11:11" ht="19.2" customHeight="1" x14ac:dyDescent="0.3">
      <c r="K1673" s="8"/>
    </row>
    <row r="1674" spans="11:11" ht="19.2" customHeight="1" x14ac:dyDescent="0.3">
      <c r="K1674" s="8"/>
    </row>
    <row r="1675" spans="11:11" ht="19.2" customHeight="1" x14ac:dyDescent="0.3">
      <c r="K1675" s="8"/>
    </row>
    <row r="1676" spans="11:11" ht="19.2" customHeight="1" x14ac:dyDescent="0.3">
      <c r="K1676" s="8"/>
    </row>
    <row r="1677" spans="11:11" ht="19.2" customHeight="1" x14ac:dyDescent="0.3">
      <c r="K1677" s="8"/>
    </row>
    <row r="1678" spans="11:11" ht="19.2" customHeight="1" x14ac:dyDescent="0.3">
      <c r="K1678" s="8"/>
    </row>
    <row r="1679" spans="11:11" ht="19.2" customHeight="1" x14ac:dyDescent="0.3">
      <c r="K1679" s="8"/>
    </row>
    <row r="1680" spans="11:11" ht="19.2" customHeight="1" x14ac:dyDescent="0.3">
      <c r="K1680" s="8"/>
    </row>
    <row r="1681" spans="11:11" ht="19.2" customHeight="1" x14ac:dyDescent="0.3">
      <c r="K1681" s="8"/>
    </row>
    <row r="1682" spans="11:11" ht="19.2" customHeight="1" x14ac:dyDescent="0.3">
      <c r="K1682" s="8"/>
    </row>
    <row r="1683" spans="11:11" ht="19.2" customHeight="1" x14ac:dyDescent="0.3">
      <c r="K1683" s="8"/>
    </row>
    <row r="1684" spans="11:11" ht="19.2" customHeight="1" x14ac:dyDescent="0.3">
      <c r="K1684" s="8"/>
    </row>
    <row r="1685" spans="11:11" ht="19.2" customHeight="1" x14ac:dyDescent="0.3">
      <c r="K1685" s="8"/>
    </row>
    <row r="1686" spans="11:11" ht="19.2" customHeight="1" x14ac:dyDescent="0.3">
      <c r="K1686" s="8"/>
    </row>
    <row r="1687" spans="11:11" ht="19.2" customHeight="1" x14ac:dyDescent="0.3">
      <c r="K1687" s="8"/>
    </row>
    <row r="1688" spans="11:11" ht="19.2" customHeight="1" x14ac:dyDescent="0.3">
      <c r="K1688" s="8"/>
    </row>
    <row r="1689" spans="11:11" ht="19.2" customHeight="1" x14ac:dyDescent="0.3">
      <c r="K1689" s="8"/>
    </row>
    <row r="1690" spans="11:11" ht="19.2" customHeight="1" x14ac:dyDescent="0.3">
      <c r="K1690" s="8"/>
    </row>
    <row r="1691" spans="11:11" ht="19.2" customHeight="1" x14ac:dyDescent="0.3">
      <c r="K1691" s="8"/>
    </row>
    <row r="1692" spans="11:11" ht="19.2" customHeight="1" x14ac:dyDescent="0.3">
      <c r="K1692" s="8"/>
    </row>
    <row r="1693" spans="11:11" ht="19.2" customHeight="1" x14ac:dyDescent="0.3">
      <c r="K1693" s="8"/>
    </row>
    <row r="1694" spans="11:11" ht="19.2" customHeight="1" x14ac:dyDescent="0.3">
      <c r="K1694" s="8"/>
    </row>
    <row r="1695" spans="11:11" ht="19.2" customHeight="1" x14ac:dyDescent="0.3">
      <c r="K1695" s="8"/>
    </row>
    <row r="1696" spans="11:11" ht="19.2" customHeight="1" x14ac:dyDescent="0.3">
      <c r="K1696" s="8"/>
    </row>
    <row r="1697" spans="11:11" ht="19.2" customHeight="1" x14ac:dyDescent="0.3">
      <c r="K1697" s="8"/>
    </row>
    <row r="1698" spans="11:11" ht="19.2" customHeight="1" x14ac:dyDescent="0.3">
      <c r="K1698" s="8"/>
    </row>
    <row r="1699" spans="11:11" ht="19.2" customHeight="1" x14ac:dyDescent="0.3">
      <c r="K1699" s="8"/>
    </row>
    <row r="1700" spans="11:11" ht="19.2" customHeight="1" x14ac:dyDescent="0.3">
      <c r="K1700" s="8"/>
    </row>
    <row r="1701" spans="11:11" ht="19.2" customHeight="1" x14ac:dyDescent="0.3">
      <c r="K1701" s="8"/>
    </row>
    <row r="1702" spans="11:11" ht="19.2" customHeight="1" x14ac:dyDescent="0.3">
      <c r="K1702" s="8"/>
    </row>
    <row r="1703" spans="11:11" ht="19.2" customHeight="1" x14ac:dyDescent="0.3">
      <c r="K1703" s="8"/>
    </row>
    <row r="1704" spans="11:11" ht="19.2" customHeight="1" x14ac:dyDescent="0.3">
      <c r="K1704" s="8"/>
    </row>
    <row r="1705" spans="11:11" ht="19.2" customHeight="1" x14ac:dyDescent="0.3">
      <c r="K1705" s="8"/>
    </row>
    <row r="1706" spans="11:11" ht="19.2" customHeight="1" x14ac:dyDescent="0.3">
      <c r="K1706" s="8"/>
    </row>
    <row r="1707" spans="11:11" ht="19.2" customHeight="1" x14ac:dyDescent="0.3">
      <c r="K1707" s="8"/>
    </row>
    <row r="1708" spans="11:11" ht="19.2" customHeight="1" x14ac:dyDescent="0.3">
      <c r="K1708" s="8"/>
    </row>
    <row r="1709" spans="11:11" ht="19.2" customHeight="1" x14ac:dyDescent="0.3">
      <c r="K1709" s="8"/>
    </row>
    <row r="1710" spans="11:11" ht="19.2" customHeight="1" x14ac:dyDescent="0.3">
      <c r="K1710" s="8"/>
    </row>
    <row r="1711" spans="11:11" ht="19.2" customHeight="1" x14ac:dyDescent="0.3">
      <c r="K1711" s="8"/>
    </row>
    <row r="1712" spans="11:11" ht="19.2" customHeight="1" x14ac:dyDescent="0.3">
      <c r="K1712" s="8"/>
    </row>
    <row r="1713" spans="11:11" ht="19.2" customHeight="1" x14ac:dyDescent="0.3">
      <c r="K1713" s="8"/>
    </row>
    <row r="1714" spans="11:11" ht="19.2" customHeight="1" x14ac:dyDescent="0.3">
      <c r="K1714" s="8"/>
    </row>
    <row r="1715" spans="11:11" ht="19.2" customHeight="1" x14ac:dyDescent="0.3">
      <c r="K1715" s="8"/>
    </row>
    <row r="1716" spans="11:11" ht="19.2" customHeight="1" x14ac:dyDescent="0.3">
      <c r="K1716" s="8"/>
    </row>
    <row r="1717" spans="11:11" ht="19.2" customHeight="1" x14ac:dyDescent="0.3">
      <c r="K1717" s="8"/>
    </row>
    <row r="1718" spans="11:11" ht="19.2" customHeight="1" x14ac:dyDescent="0.3">
      <c r="K1718" s="8"/>
    </row>
    <row r="1719" spans="11:11" ht="19.2" customHeight="1" x14ac:dyDescent="0.3">
      <c r="K1719" s="8"/>
    </row>
    <row r="1720" spans="11:11" ht="19.2" customHeight="1" x14ac:dyDescent="0.3">
      <c r="K1720" s="8"/>
    </row>
    <row r="1721" spans="11:11" ht="19.2" customHeight="1" x14ac:dyDescent="0.3">
      <c r="K1721" s="8"/>
    </row>
    <row r="1722" spans="11:11" ht="19.2" customHeight="1" x14ac:dyDescent="0.3">
      <c r="K1722" s="8"/>
    </row>
    <row r="1723" spans="11:11" ht="19.2" customHeight="1" x14ac:dyDescent="0.3">
      <c r="K1723" s="8"/>
    </row>
    <row r="1724" spans="11:11" ht="19.2" customHeight="1" x14ac:dyDescent="0.3">
      <c r="K1724" s="8"/>
    </row>
    <row r="1725" spans="11:11" ht="19.2" customHeight="1" x14ac:dyDescent="0.3">
      <c r="K1725" s="8"/>
    </row>
    <row r="1726" spans="11:11" ht="19.2" customHeight="1" x14ac:dyDescent="0.3">
      <c r="K1726" s="8"/>
    </row>
    <row r="1727" spans="11:11" ht="19.2" customHeight="1" x14ac:dyDescent="0.3">
      <c r="K1727" s="8"/>
    </row>
    <row r="1728" spans="11:11" ht="19.2" customHeight="1" x14ac:dyDescent="0.3">
      <c r="K1728" s="8"/>
    </row>
    <row r="1729" spans="11:11" ht="19.2" customHeight="1" x14ac:dyDescent="0.3">
      <c r="K1729" s="8"/>
    </row>
    <row r="1730" spans="11:11" ht="19.2" customHeight="1" x14ac:dyDescent="0.3">
      <c r="K1730" s="8"/>
    </row>
    <row r="1731" spans="11:11" ht="19.2" customHeight="1" x14ac:dyDescent="0.3">
      <c r="K1731" s="8"/>
    </row>
    <row r="1732" spans="11:11" ht="19.2" customHeight="1" x14ac:dyDescent="0.3">
      <c r="K1732" s="8"/>
    </row>
    <row r="1733" spans="11:11" ht="19.2" customHeight="1" x14ac:dyDescent="0.3">
      <c r="K1733" s="8"/>
    </row>
    <row r="1734" spans="11:11" ht="19.2" customHeight="1" x14ac:dyDescent="0.3">
      <c r="K1734" s="8"/>
    </row>
    <row r="1735" spans="11:11" ht="19.2" customHeight="1" x14ac:dyDescent="0.3">
      <c r="K1735" s="8"/>
    </row>
    <row r="1736" spans="11:11" ht="19.2" customHeight="1" x14ac:dyDescent="0.3">
      <c r="K1736" s="8"/>
    </row>
    <row r="1737" spans="11:11" ht="19.2" customHeight="1" x14ac:dyDescent="0.3">
      <c r="K1737" s="8"/>
    </row>
    <row r="1738" spans="11:11" ht="19.2" customHeight="1" x14ac:dyDescent="0.3">
      <c r="K1738" s="8"/>
    </row>
    <row r="1739" spans="11:11" ht="19.2" customHeight="1" x14ac:dyDescent="0.3">
      <c r="K1739" s="8"/>
    </row>
    <row r="1740" spans="11:11" ht="19.2" customHeight="1" x14ac:dyDescent="0.3">
      <c r="K1740" s="8"/>
    </row>
    <row r="1741" spans="11:11" ht="19.2" customHeight="1" x14ac:dyDescent="0.3">
      <c r="K1741" s="8"/>
    </row>
    <row r="1742" spans="11:11" ht="19.2" customHeight="1" x14ac:dyDescent="0.3">
      <c r="K1742" s="8"/>
    </row>
    <row r="1743" spans="11:11" ht="19.2" customHeight="1" x14ac:dyDescent="0.3">
      <c r="K1743" s="8"/>
    </row>
    <row r="1744" spans="11:11" ht="19.2" customHeight="1" x14ac:dyDescent="0.3">
      <c r="K1744" s="8"/>
    </row>
    <row r="1745" spans="11:11" ht="19.2" customHeight="1" x14ac:dyDescent="0.3">
      <c r="K1745" s="8"/>
    </row>
    <row r="1746" spans="11:11" ht="19.2" customHeight="1" x14ac:dyDescent="0.3">
      <c r="K1746" s="8"/>
    </row>
    <row r="1747" spans="11:11" ht="19.2" customHeight="1" x14ac:dyDescent="0.3">
      <c r="K1747" s="8"/>
    </row>
    <row r="1748" spans="11:11" ht="19.2" customHeight="1" x14ac:dyDescent="0.3">
      <c r="K1748" s="8"/>
    </row>
    <row r="1749" spans="11:11" ht="19.2" customHeight="1" x14ac:dyDescent="0.3">
      <c r="K1749" s="8"/>
    </row>
    <row r="1750" spans="11:11" ht="19.2" customHeight="1" x14ac:dyDescent="0.3">
      <c r="K1750" s="8"/>
    </row>
    <row r="1751" spans="11:11" ht="19.2" customHeight="1" x14ac:dyDescent="0.3">
      <c r="K1751" s="8"/>
    </row>
    <row r="1752" spans="11:11" ht="19.2" customHeight="1" x14ac:dyDescent="0.3">
      <c r="K1752" s="8"/>
    </row>
    <row r="1753" spans="11:11" ht="19.2" customHeight="1" x14ac:dyDescent="0.3">
      <c r="K1753" s="8"/>
    </row>
    <row r="1754" spans="11:11" ht="19.2" customHeight="1" x14ac:dyDescent="0.3">
      <c r="K1754" s="8"/>
    </row>
    <row r="1755" spans="11:11" ht="19.2" customHeight="1" x14ac:dyDescent="0.3">
      <c r="K1755" s="8"/>
    </row>
    <row r="1756" spans="11:11" ht="19.2" customHeight="1" x14ac:dyDescent="0.3">
      <c r="K1756" s="8"/>
    </row>
    <row r="1757" spans="11:11" ht="19.2" customHeight="1" x14ac:dyDescent="0.3">
      <c r="K1757" s="8"/>
    </row>
    <row r="1758" spans="11:11" ht="19.2" customHeight="1" x14ac:dyDescent="0.3">
      <c r="K1758" s="8"/>
    </row>
    <row r="1759" spans="11:11" ht="19.2" customHeight="1" x14ac:dyDescent="0.3">
      <c r="K1759" s="8"/>
    </row>
    <row r="1760" spans="11:11" ht="19.2" customHeight="1" x14ac:dyDescent="0.3">
      <c r="K1760" s="8"/>
    </row>
    <row r="1761" spans="11:11" ht="19.2" customHeight="1" x14ac:dyDescent="0.3">
      <c r="K1761" s="8"/>
    </row>
    <row r="1762" spans="11:11" ht="19.2" customHeight="1" x14ac:dyDescent="0.3">
      <c r="K1762" s="8"/>
    </row>
    <row r="1763" spans="11:11" ht="19.2" customHeight="1" x14ac:dyDescent="0.3">
      <c r="K1763" s="8"/>
    </row>
    <row r="1764" spans="11:11" ht="19.2" customHeight="1" x14ac:dyDescent="0.3">
      <c r="K1764" s="8"/>
    </row>
    <row r="1765" spans="11:11" ht="19.2" customHeight="1" x14ac:dyDescent="0.3">
      <c r="K1765" s="8"/>
    </row>
    <row r="1766" spans="11:11" ht="19.2" customHeight="1" x14ac:dyDescent="0.3">
      <c r="K1766" s="8"/>
    </row>
    <row r="1767" spans="11:11" ht="19.2" customHeight="1" x14ac:dyDescent="0.3">
      <c r="K1767" s="8"/>
    </row>
    <row r="1768" spans="11:11" ht="19.2" customHeight="1" x14ac:dyDescent="0.3">
      <c r="K1768" s="8"/>
    </row>
    <row r="1769" spans="11:11" ht="19.2" customHeight="1" x14ac:dyDescent="0.3">
      <c r="K1769" s="8"/>
    </row>
    <row r="1770" spans="11:11" ht="19.2" customHeight="1" x14ac:dyDescent="0.3">
      <c r="K1770" s="8"/>
    </row>
    <row r="1771" spans="11:11" ht="19.2" customHeight="1" x14ac:dyDescent="0.3">
      <c r="K1771" s="8"/>
    </row>
    <row r="1772" spans="11:11" ht="19.2" customHeight="1" x14ac:dyDescent="0.3">
      <c r="K1772" s="8"/>
    </row>
    <row r="1773" spans="11:11" ht="19.2" customHeight="1" x14ac:dyDescent="0.3">
      <c r="K1773" s="8"/>
    </row>
    <row r="1774" spans="11:11" ht="19.2" customHeight="1" x14ac:dyDescent="0.3">
      <c r="K1774" s="8"/>
    </row>
    <row r="1775" spans="11:11" ht="19.2" customHeight="1" x14ac:dyDescent="0.3">
      <c r="K1775" s="8"/>
    </row>
    <row r="1776" spans="11:11" ht="19.2" customHeight="1" x14ac:dyDescent="0.3">
      <c r="K1776" s="8"/>
    </row>
    <row r="1777" spans="11:11" ht="19.2" customHeight="1" x14ac:dyDescent="0.3">
      <c r="K1777" s="8"/>
    </row>
    <row r="1778" spans="11:11" ht="19.2" customHeight="1" x14ac:dyDescent="0.3">
      <c r="K1778" s="8"/>
    </row>
    <row r="1779" spans="11:11" ht="19.2" customHeight="1" x14ac:dyDescent="0.3">
      <c r="K1779" s="8"/>
    </row>
    <row r="1780" spans="11:11" ht="19.2" customHeight="1" x14ac:dyDescent="0.3">
      <c r="K1780" s="8"/>
    </row>
    <row r="1781" spans="11:11" ht="19.2" customHeight="1" x14ac:dyDescent="0.3">
      <c r="K1781" s="8"/>
    </row>
    <row r="1782" spans="11:11" ht="19.2" customHeight="1" x14ac:dyDescent="0.3">
      <c r="K1782" s="8"/>
    </row>
    <row r="1783" spans="11:11" ht="19.2" customHeight="1" x14ac:dyDescent="0.3">
      <c r="K1783" s="8"/>
    </row>
    <row r="1784" spans="11:11" ht="19.2" customHeight="1" x14ac:dyDescent="0.3">
      <c r="K1784" s="8"/>
    </row>
    <row r="1785" spans="11:11" ht="19.2" customHeight="1" x14ac:dyDescent="0.3">
      <c r="K1785" s="8"/>
    </row>
    <row r="1786" spans="11:11" ht="19.2" customHeight="1" x14ac:dyDescent="0.3">
      <c r="K1786" s="8"/>
    </row>
    <row r="1787" spans="11:11" ht="19.2" customHeight="1" x14ac:dyDescent="0.3">
      <c r="K1787" s="8"/>
    </row>
    <row r="1788" spans="11:11" ht="19.2" customHeight="1" x14ac:dyDescent="0.3">
      <c r="K1788" s="8"/>
    </row>
    <row r="1789" spans="11:11" ht="19.2" customHeight="1" x14ac:dyDescent="0.3">
      <c r="K1789" s="8"/>
    </row>
    <row r="1790" spans="11:11" ht="19.2" customHeight="1" x14ac:dyDescent="0.3">
      <c r="K1790" s="8"/>
    </row>
    <row r="1791" spans="11:11" ht="19.2" customHeight="1" x14ac:dyDescent="0.3">
      <c r="K1791" s="8"/>
    </row>
    <row r="1792" spans="11:11" ht="19.2" customHeight="1" x14ac:dyDescent="0.3">
      <c r="K1792" s="8"/>
    </row>
    <row r="1793" spans="11:11" ht="19.2" customHeight="1" x14ac:dyDescent="0.3">
      <c r="K1793" s="8"/>
    </row>
    <row r="1794" spans="11:11" ht="19.2" customHeight="1" x14ac:dyDescent="0.3">
      <c r="K1794" s="8"/>
    </row>
    <row r="1795" spans="11:11" ht="19.2" customHeight="1" x14ac:dyDescent="0.3">
      <c r="K1795" s="8"/>
    </row>
    <row r="1796" spans="11:11" ht="19.2" customHeight="1" x14ac:dyDescent="0.3">
      <c r="K1796" s="8"/>
    </row>
    <row r="1797" spans="11:11" ht="19.2" customHeight="1" x14ac:dyDescent="0.3">
      <c r="K1797" s="8"/>
    </row>
    <row r="1798" spans="11:11" ht="19.2" customHeight="1" x14ac:dyDescent="0.3">
      <c r="K1798" s="8"/>
    </row>
    <row r="1799" spans="11:11" ht="19.2" customHeight="1" x14ac:dyDescent="0.3">
      <c r="K1799" s="8"/>
    </row>
    <row r="1800" spans="11:11" ht="19.2" customHeight="1" x14ac:dyDescent="0.3">
      <c r="K1800" s="8"/>
    </row>
    <row r="1801" spans="11:11" ht="19.2" customHeight="1" x14ac:dyDescent="0.3">
      <c r="K1801" s="8"/>
    </row>
    <row r="1802" spans="11:11" ht="19.2" customHeight="1" x14ac:dyDescent="0.3">
      <c r="K1802" s="8"/>
    </row>
    <row r="1803" spans="11:11" ht="19.2" customHeight="1" x14ac:dyDescent="0.3">
      <c r="K1803" s="8"/>
    </row>
    <row r="1804" spans="11:11" ht="19.2" customHeight="1" x14ac:dyDescent="0.3">
      <c r="K1804" s="8"/>
    </row>
    <row r="1805" spans="11:11" ht="19.2" customHeight="1" x14ac:dyDescent="0.3">
      <c r="K1805" s="8"/>
    </row>
    <row r="1806" spans="11:11" ht="19.2" customHeight="1" x14ac:dyDescent="0.3">
      <c r="K1806" s="8"/>
    </row>
    <row r="1807" spans="11:11" ht="19.2" customHeight="1" x14ac:dyDescent="0.3">
      <c r="K1807" s="8"/>
    </row>
    <row r="1808" spans="11:11" ht="19.2" customHeight="1" x14ac:dyDescent="0.3">
      <c r="K1808" s="8"/>
    </row>
    <row r="1809" spans="11:11" ht="19.2" customHeight="1" x14ac:dyDescent="0.3">
      <c r="K1809" s="8"/>
    </row>
    <row r="1810" spans="11:11" ht="19.2" customHeight="1" x14ac:dyDescent="0.3">
      <c r="K1810" s="8"/>
    </row>
    <row r="1811" spans="11:11" ht="19.2" customHeight="1" x14ac:dyDescent="0.3">
      <c r="K1811" s="8"/>
    </row>
    <row r="1812" spans="11:11" ht="19.2" customHeight="1" x14ac:dyDescent="0.3">
      <c r="K1812" s="8"/>
    </row>
    <row r="1813" spans="11:11" ht="19.2" customHeight="1" x14ac:dyDescent="0.3">
      <c r="K1813" s="8"/>
    </row>
    <row r="1814" spans="11:11" ht="19.2" customHeight="1" x14ac:dyDescent="0.3">
      <c r="K1814" s="8"/>
    </row>
    <row r="1815" spans="11:11" ht="19.2" customHeight="1" x14ac:dyDescent="0.3">
      <c r="K1815" s="8"/>
    </row>
    <row r="1816" spans="11:11" ht="19.2" customHeight="1" x14ac:dyDescent="0.3">
      <c r="K1816" s="8"/>
    </row>
    <row r="1817" spans="11:11" ht="19.2" customHeight="1" x14ac:dyDescent="0.3">
      <c r="K1817" s="8"/>
    </row>
    <row r="1818" spans="11:11" ht="19.2" customHeight="1" x14ac:dyDescent="0.3">
      <c r="K1818" s="8"/>
    </row>
    <row r="1819" spans="11:11" ht="19.2" customHeight="1" x14ac:dyDescent="0.3">
      <c r="K1819" s="8"/>
    </row>
    <row r="1820" spans="11:11" ht="19.2" customHeight="1" x14ac:dyDescent="0.3">
      <c r="K1820" s="8"/>
    </row>
    <row r="1821" spans="11:11" ht="19.2" customHeight="1" x14ac:dyDescent="0.3">
      <c r="K1821" s="8"/>
    </row>
    <row r="1822" spans="11:11" ht="19.2" customHeight="1" x14ac:dyDescent="0.3">
      <c r="K1822" s="8"/>
    </row>
    <row r="1823" spans="11:11" ht="19.2" customHeight="1" x14ac:dyDescent="0.3">
      <c r="K1823" s="8"/>
    </row>
    <row r="1824" spans="11:11" ht="19.2" customHeight="1" x14ac:dyDescent="0.3">
      <c r="K1824" s="8"/>
    </row>
    <row r="1825" spans="11:11" ht="19.2" customHeight="1" x14ac:dyDescent="0.3">
      <c r="K1825" s="8"/>
    </row>
    <row r="1826" spans="11:11" ht="19.2" customHeight="1" x14ac:dyDescent="0.3">
      <c r="K1826" s="8"/>
    </row>
    <row r="1827" spans="11:11" ht="19.2" customHeight="1" x14ac:dyDescent="0.3">
      <c r="K1827" s="8"/>
    </row>
    <row r="1828" spans="11:11" ht="19.2" customHeight="1" x14ac:dyDescent="0.3">
      <c r="K1828" s="8"/>
    </row>
    <row r="1829" spans="11:11" ht="19.2" customHeight="1" x14ac:dyDescent="0.3">
      <c r="K1829" s="8"/>
    </row>
    <row r="1830" spans="11:11" ht="19.2" customHeight="1" x14ac:dyDescent="0.3">
      <c r="K1830" s="8"/>
    </row>
    <row r="1831" spans="11:11" ht="19.2" customHeight="1" x14ac:dyDescent="0.3">
      <c r="K1831" s="8"/>
    </row>
    <row r="1832" spans="11:11" ht="19.2" customHeight="1" x14ac:dyDescent="0.3">
      <c r="K1832" s="8"/>
    </row>
    <row r="1833" spans="11:11" ht="19.2" customHeight="1" x14ac:dyDescent="0.3">
      <c r="K1833" s="8"/>
    </row>
    <row r="1834" spans="11:11" ht="19.2" customHeight="1" x14ac:dyDescent="0.3">
      <c r="K1834" s="8"/>
    </row>
    <row r="1835" spans="11:11" ht="19.2" customHeight="1" x14ac:dyDescent="0.3">
      <c r="K1835" s="8"/>
    </row>
    <row r="1836" spans="11:11" ht="19.2" customHeight="1" x14ac:dyDescent="0.3">
      <c r="K1836" s="8"/>
    </row>
    <row r="1837" spans="11:11" ht="19.2" customHeight="1" x14ac:dyDescent="0.3">
      <c r="K1837" s="8"/>
    </row>
    <row r="1838" spans="11:11" ht="19.2" customHeight="1" x14ac:dyDescent="0.3">
      <c r="K1838" s="8"/>
    </row>
    <row r="1839" spans="11:11" ht="19.2" customHeight="1" x14ac:dyDescent="0.3">
      <c r="K1839" s="8"/>
    </row>
    <row r="1840" spans="11:11" ht="19.2" customHeight="1" x14ac:dyDescent="0.3">
      <c r="K1840" s="8"/>
    </row>
    <row r="1841" spans="11:11" ht="19.2" customHeight="1" x14ac:dyDescent="0.3">
      <c r="K1841" s="8"/>
    </row>
    <row r="1842" spans="11:11" ht="19.2" customHeight="1" x14ac:dyDescent="0.3">
      <c r="K1842" s="8"/>
    </row>
    <row r="1843" spans="11:11" ht="19.2" customHeight="1" x14ac:dyDescent="0.3">
      <c r="K1843" s="8"/>
    </row>
    <row r="1844" spans="11:11" ht="19.2" customHeight="1" x14ac:dyDescent="0.3">
      <c r="K1844" s="8"/>
    </row>
    <row r="1845" spans="11:11" ht="19.2" customHeight="1" x14ac:dyDescent="0.3">
      <c r="K1845" s="8"/>
    </row>
    <row r="1846" spans="11:11" ht="19.2" customHeight="1" x14ac:dyDescent="0.3">
      <c r="K1846" s="8"/>
    </row>
    <row r="1847" spans="11:11" ht="19.2" customHeight="1" x14ac:dyDescent="0.3">
      <c r="K1847" s="8"/>
    </row>
    <row r="1848" spans="11:11" ht="19.2" customHeight="1" x14ac:dyDescent="0.3">
      <c r="K1848" s="8"/>
    </row>
    <row r="1849" spans="11:11" ht="19.2" customHeight="1" x14ac:dyDescent="0.3">
      <c r="K1849" s="8"/>
    </row>
    <row r="1850" spans="11:11" ht="19.2" customHeight="1" x14ac:dyDescent="0.3">
      <c r="K1850" s="8"/>
    </row>
    <row r="1851" spans="11:11" ht="19.2" customHeight="1" x14ac:dyDescent="0.3">
      <c r="K1851" s="8"/>
    </row>
    <row r="1852" spans="11:11" ht="19.2" customHeight="1" x14ac:dyDescent="0.3">
      <c r="K1852" s="8"/>
    </row>
    <row r="1853" spans="11:11" ht="19.2" customHeight="1" x14ac:dyDescent="0.3">
      <c r="K1853" s="8"/>
    </row>
    <row r="1854" spans="11:11" ht="19.2" customHeight="1" x14ac:dyDescent="0.3">
      <c r="K1854" s="8"/>
    </row>
    <row r="1855" spans="11:11" ht="19.2" customHeight="1" x14ac:dyDescent="0.3">
      <c r="K1855" s="8"/>
    </row>
    <row r="1856" spans="11:11" ht="19.2" customHeight="1" x14ac:dyDescent="0.3">
      <c r="K1856" s="8"/>
    </row>
    <row r="1857" spans="11:11" ht="19.2" customHeight="1" x14ac:dyDescent="0.3">
      <c r="K1857" s="8"/>
    </row>
    <row r="1858" spans="11:11" ht="19.2" customHeight="1" x14ac:dyDescent="0.3">
      <c r="K1858" s="8"/>
    </row>
    <row r="1859" spans="11:11" ht="19.2" customHeight="1" x14ac:dyDescent="0.3">
      <c r="K1859" s="8"/>
    </row>
    <row r="1860" spans="11:11" ht="19.2" customHeight="1" x14ac:dyDescent="0.3">
      <c r="K1860" s="8"/>
    </row>
    <row r="1861" spans="11:11" ht="19.2" customHeight="1" x14ac:dyDescent="0.3">
      <c r="K1861" s="8"/>
    </row>
    <row r="1862" spans="11:11" ht="19.2" customHeight="1" x14ac:dyDescent="0.3">
      <c r="K1862" s="8"/>
    </row>
    <row r="1863" spans="11:11" ht="19.2" customHeight="1" x14ac:dyDescent="0.3">
      <c r="K1863" s="8"/>
    </row>
    <row r="1864" spans="11:11" ht="19.2" customHeight="1" x14ac:dyDescent="0.3">
      <c r="K1864" s="8"/>
    </row>
    <row r="1865" spans="11:11" ht="19.2" customHeight="1" x14ac:dyDescent="0.3">
      <c r="K1865" s="8"/>
    </row>
    <row r="1866" spans="11:11" ht="19.2" customHeight="1" x14ac:dyDescent="0.3">
      <c r="K1866" s="8"/>
    </row>
    <row r="1867" spans="11:11" ht="19.2" customHeight="1" x14ac:dyDescent="0.3">
      <c r="K1867" s="8"/>
    </row>
    <row r="1868" spans="11:11" ht="19.2" customHeight="1" x14ac:dyDescent="0.3">
      <c r="K1868" s="8"/>
    </row>
    <row r="1869" spans="11:11" ht="19.2" customHeight="1" x14ac:dyDescent="0.3">
      <c r="K1869" s="8"/>
    </row>
    <row r="1870" spans="11:11" ht="19.2" customHeight="1" x14ac:dyDescent="0.3">
      <c r="K1870" s="8"/>
    </row>
    <row r="1871" spans="11:11" ht="19.2" customHeight="1" x14ac:dyDescent="0.3">
      <c r="K1871" s="8"/>
    </row>
    <row r="1872" spans="11:11" ht="19.2" customHeight="1" x14ac:dyDescent="0.3">
      <c r="K1872" s="8"/>
    </row>
    <row r="1873" spans="11:11" ht="19.2" customHeight="1" x14ac:dyDescent="0.3">
      <c r="K1873" s="8"/>
    </row>
    <row r="1874" spans="11:11" ht="19.2" customHeight="1" x14ac:dyDescent="0.3">
      <c r="K1874" s="8"/>
    </row>
    <row r="1875" spans="11:11" ht="19.2" customHeight="1" x14ac:dyDescent="0.3">
      <c r="K1875" s="8"/>
    </row>
    <row r="1876" spans="11:11" ht="19.2" customHeight="1" x14ac:dyDescent="0.3">
      <c r="K1876" s="8"/>
    </row>
    <row r="1877" spans="11:11" ht="19.2" customHeight="1" x14ac:dyDescent="0.3">
      <c r="K1877" s="8"/>
    </row>
    <row r="1878" spans="11:11" ht="19.2" customHeight="1" x14ac:dyDescent="0.3">
      <c r="K1878" s="8"/>
    </row>
    <row r="1879" spans="11:11" ht="19.2" customHeight="1" x14ac:dyDescent="0.3">
      <c r="K1879" s="8"/>
    </row>
    <row r="1880" spans="11:11" ht="19.2" customHeight="1" x14ac:dyDescent="0.3">
      <c r="K1880" s="8"/>
    </row>
    <row r="1881" spans="11:11" ht="19.2" customHeight="1" x14ac:dyDescent="0.3">
      <c r="K1881" s="8"/>
    </row>
    <row r="1882" spans="11:11" ht="19.2" customHeight="1" x14ac:dyDescent="0.3">
      <c r="K1882" s="8"/>
    </row>
    <row r="1883" spans="11:11" ht="19.2" customHeight="1" x14ac:dyDescent="0.3">
      <c r="K1883" s="8"/>
    </row>
    <row r="1884" spans="11:11" ht="19.2" customHeight="1" x14ac:dyDescent="0.3">
      <c r="K1884" s="8"/>
    </row>
    <row r="1885" spans="11:11" ht="19.2" customHeight="1" x14ac:dyDescent="0.3">
      <c r="K1885" s="8"/>
    </row>
    <row r="1886" spans="11:11" ht="19.2" customHeight="1" x14ac:dyDescent="0.3">
      <c r="K1886" s="8"/>
    </row>
    <row r="1887" spans="11:11" ht="19.2" customHeight="1" x14ac:dyDescent="0.3">
      <c r="K1887" s="8"/>
    </row>
    <row r="1888" spans="11:11" ht="19.2" customHeight="1" x14ac:dyDescent="0.3">
      <c r="K1888" s="8"/>
    </row>
    <row r="1889" spans="11:11" ht="19.2" customHeight="1" x14ac:dyDescent="0.3">
      <c r="K1889" s="8"/>
    </row>
    <row r="1890" spans="11:11" ht="19.2" customHeight="1" x14ac:dyDescent="0.3">
      <c r="K1890" s="8"/>
    </row>
    <row r="1891" spans="11:11" ht="19.2" customHeight="1" x14ac:dyDescent="0.3">
      <c r="K1891" s="8"/>
    </row>
    <row r="1892" spans="11:11" ht="19.2" customHeight="1" x14ac:dyDescent="0.3">
      <c r="K1892" s="8"/>
    </row>
    <row r="1893" spans="11:11" ht="19.2" customHeight="1" x14ac:dyDescent="0.3">
      <c r="K1893" s="8"/>
    </row>
    <row r="1894" spans="11:11" ht="19.2" customHeight="1" x14ac:dyDescent="0.3">
      <c r="K1894" s="8"/>
    </row>
    <row r="1895" spans="11:11" ht="19.2" customHeight="1" x14ac:dyDescent="0.3">
      <c r="K1895" s="8"/>
    </row>
    <row r="1896" spans="11:11" ht="19.2" customHeight="1" x14ac:dyDescent="0.3">
      <c r="K1896" s="8"/>
    </row>
    <row r="1897" spans="11:11" ht="19.2" customHeight="1" x14ac:dyDescent="0.3">
      <c r="K1897" s="8"/>
    </row>
    <row r="1898" spans="11:11" ht="19.2" customHeight="1" x14ac:dyDescent="0.3">
      <c r="K1898" s="8"/>
    </row>
    <row r="1899" spans="11:11" ht="19.2" customHeight="1" x14ac:dyDescent="0.3">
      <c r="K1899" s="8"/>
    </row>
    <row r="1900" spans="11:11" ht="19.2" customHeight="1" x14ac:dyDescent="0.3">
      <c r="K1900" s="8"/>
    </row>
    <row r="1901" spans="11:11" ht="19.2" customHeight="1" x14ac:dyDescent="0.3">
      <c r="K1901" s="8"/>
    </row>
    <row r="1902" spans="11:11" ht="19.2" customHeight="1" x14ac:dyDescent="0.3">
      <c r="K1902" s="8"/>
    </row>
    <row r="1903" spans="11:11" ht="19.2" customHeight="1" x14ac:dyDescent="0.3">
      <c r="K1903" s="8"/>
    </row>
    <row r="1904" spans="11:11" ht="19.2" customHeight="1" x14ac:dyDescent="0.3">
      <c r="K1904" s="8"/>
    </row>
    <row r="1905" spans="11:11" ht="19.2" customHeight="1" x14ac:dyDescent="0.3">
      <c r="K1905" s="8"/>
    </row>
    <row r="1906" spans="11:11" ht="19.2" customHeight="1" x14ac:dyDescent="0.3">
      <c r="K1906" s="8"/>
    </row>
    <row r="1907" spans="11:11" ht="19.2" customHeight="1" x14ac:dyDescent="0.3">
      <c r="K1907" s="8"/>
    </row>
    <row r="1908" spans="11:11" ht="19.2" customHeight="1" x14ac:dyDescent="0.3">
      <c r="K1908" s="8"/>
    </row>
    <row r="1909" spans="11:11" ht="19.2" customHeight="1" x14ac:dyDescent="0.3">
      <c r="K1909" s="8"/>
    </row>
    <row r="1910" spans="11:11" ht="19.2" customHeight="1" x14ac:dyDescent="0.3">
      <c r="K1910" s="8"/>
    </row>
    <row r="1911" spans="11:11" ht="19.2" customHeight="1" x14ac:dyDescent="0.3">
      <c r="K1911" s="8"/>
    </row>
    <row r="1912" spans="11:11" ht="19.2" customHeight="1" x14ac:dyDescent="0.3">
      <c r="K1912" s="8"/>
    </row>
    <row r="1913" spans="11:11" ht="19.2" customHeight="1" x14ac:dyDescent="0.3">
      <c r="K1913" s="8"/>
    </row>
    <row r="1914" spans="11:11" ht="19.2" customHeight="1" x14ac:dyDescent="0.3">
      <c r="K1914" s="8"/>
    </row>
    <row r="1915" spans="11:11" ht="19.2" customHeight="1" x14ac:dyDescent="0.3">
      <c r="K1915" s="8"/>
    </row>
    <row r="1916" spans="11:11" ht="19.2" customHeight="1" x14ac:dyDescent="0.3">
      <c r="K1916" s="8"/>
    </row>
    <row r="1917" spans="11:11" ht="19.2" customHeight="1" x14ac:dyDescent="0.3">
      <c r="K1917" s="8"/>
    </row>
    <row r="1918" spans="11:11" ht="19.2" customHeight="1" x14ac:dyDescent="0.3">
      <c r="K1918" s="8"/>
    </row>
    <row r="1919" spans="11:11" ht="19.2" customHeight="1" x14ac:dyDescent="0.3">
      <c r="K1919" s="8"/>
    </row>
    <row r="1920" spans="11:11" ht="19.2" customHeight="1" x14ac:dyDescent="0.3">
      <c r="K1920" s="8"/>
    </row>
    <row r="1921" spans="11:11" ht="19.2" customHeight="1" x14ac:dyDescent="0.3">
      <c r="K1921" s="8"/>
    </row>
    <row r="1922" spans="11:11" ht="19.2" customHeight="1" x14ac:dyDescent="0.3">
      <c r="K1922" s="8"/>
    </row>
    <row r="1923" spans="11:11" ht="19.2" customHeight="1" x14ac:dyDescent="0.3">
      <c r="K1923" s="8"/>
    </row>
    <row r="1924" spans="11:11" ht="19.2" customHeight="1" x14ac:dyDescent="0.3">
      <c r="K1924" s="8"/>
    </row>
    <row r="1925" spans="11:11" ht="19.2" customHeight="1" x14ac:dyDescent="0.3">
      <c r="K1925" s="8"/>
    </row>
    <row r="1926" spans="11:11" ht="19.2" customHeight="1" x14ac:dyDescent="0.3">
      <c r="K1926" s="8"/>
    </row>
    <row r="1927" spans="11:11" ht="19.2" customHeight="1" x14ac:dyDescent="0.3">
      <c r="K1927" s="8"/>
    </row>
    <row r="1928" spans="11:11" ht="19.2" customHeight="1" x14ac:dyDescent="0.3">
      <c r="K1928" s="8"/>
    </row>
    <row r="1929" spans="11:11" ht="19.2" customHeight="1" x14ac:dyDescent="0.3">
      <c r="K1929" s="8"/>
    </row>
    <row r="1930" spans="11:11" ht="19.2" customHeight="1" x14ac:dyDescent="0.3">
      <c r="K1930" s="8"/>
    </row>
    <row r="1931" spans="11:11" ht="19.2" customHeight="1" x14ac:dyDescent="0.3">
      <c r="K1931" s="8"/>
    </row>
    <row r="1932" spans="11:11" ht="19.2" customHeight="1" x14ac:dyDescent="0.3">
      <c r="K1932" s="8"/>
    </row>
    <row r="1933" spans="11:11" ht="19.2" customHeight="1" x14ac:dyDescent="0.3">
      <c r="K1933" s="8"/>
    </row>
    <row r="1934" spans="11:11" ht="19.2" customHeight="1" x14ac:dyDescent="0.3">
      <c r="K1934" s="8"/>
    </row>
    <row r="1935" spans="11:11" ht="19.2" customHeight="1" x14ac:dyDescent="0.3">
      <c r="K1935" s="8"/>
    </row>
    <row r="1936" spans="11:11" ht="19.2" customHeight="1" x14ac:dyDescent="0.3">
      <c r="K1936" s="8"/>
    </row>
    <row r="1937" spans="11:11" ht="19.2" customHeight="1" x14ac:dyDescent="0.3">
      <c r="K1937" s="8"/>
    </row>
    <row r="1938" spans="11:11" ht="19.2" customHeight="1" x14ac:dyDescent="0.3">
      <c r="K1938" s="8"/>
    </row>
    <row r="1939" spans="11:11" ht="19.2" customHeight="1" x14ac:dyDescent="0.3">
      <c r="K1939" s="8"/>
    </row>
    <row r="1940" spans="11:11" ht="19.2" customHeight="1" x14ac:dyDescent="0.3">
      <c r="K1940" s="8"/>
    </row>
    <row r="1941" spans="11:11" ht="19.2" customHeight="1" x14ac:dyDescent="0.3">
      <c r="K1941" s="8"/>
    </row>
    <row r="1942" spans="11:11" ht="19.2" customHeight="1" x14ac:dyDescent="0.3">
      <c r="K1942" s="8"/>
    </row>
    <row r="1943" spans="11:11" ht="19.2" customHeight="1" x14ac:dyDescent="0.3">
      <c r="K1943" s="8"/>
    </row>
    <row r="1944" spans="11:11" ht="19.2" customHeight="1" x14ac:dyDescent="0.3">
      <c r="K1944" s="8"/>
    </row>
    <row r="1945" spans="11:11" ht="19.2" customHeight="1" x14ac:dyDescent="0.3">
      <c r="K1945" s="8"/>
    </row>
    <row r="1946" spans="11:11" ht="19.2" customHeight="1" x14ac:dyDescent="0.3">
      <c r="K1946" s="8"/>
    </row>
    <row r="1947" spans="11:11" ht="19.2" customHeight="1" x14ac:dyDescent="0.3">
      <c r="K1947" s="8"/>
    </row>
    <row r="1948" spans="11:11" ht="19.2" customHeight="1" x14ac:dyDescent="0.3">
      <c r="K1948" s="8"/>
    </row>
    <row r="1949" spans="11:11" ht="19.2" customHeight="1" x14ac:dyDescent="0.3">
      <c r="K1949" s="8"/>
    </row>
    <row r="1950" spans="11:11" ht="19.2" customHeight="1" x14ac:dyDescent="0.3">
      <c r="K1950" s="8"/>
    </row>
    <row r="1951" spans="11:11" ht="19.2" customHeight="1" x14ac:dyDescent="0.3">
      <c r="K1951" s="8"/>
    </row>
    <row r="1952" spans="11:11" ht="19.2" customHeight="1" x14ac:dyDescent="0.3">
      <c r="K1952" s="8"/>
    </row>
    <row r="1953" spans="11:11" ht="19.2" customHeight="1" x14ac:dyDescent="0.3">
      <c r="K1953" s="8"/>
    </row>
    <row r="1954" spans="11:11" ht="19.2" customHeight="1" x14ac:dyDescent="0.3">
      <c r="K1954" s="8"/>
    </row>
    <row r="1955" spans="11:11" ht="19.2" customHeight="1" x14ac:dyDescent="0.3">
      <c r="K1955" s="8"/>
    </row>
    <row r="1956" spans="11:11" ht="19.2" customHeight="1" x14ac:dyDescent="0.3">
      <c r="K1956" s="8"/>
    </row>
    <row r="1957" spans="11:11" ht="19.2" customHeight="1" x14ac:dyDescent="0.3">
      <c r="K1957" s="8"/>
    </row>
    <row r="1958" spans="11:11" ht="19.2" customHeight="1" x14ac:dyDescent="0.3">
      <c r="K1958" s="8"/>
    </row>
    <row r="1959" spans="11:11" ht="19.2" customHeight="1" x14ac:dyDescent="0.3">
      <c r="K1959" s="8"/>
    </row>
    <row r="1960" spans="11:11" ht="19.2" customHeight="1" x14ac:dyDescent="0.3">
      <c r="K1960" s="8"/>
    </row>
    <row r="1961" spans="11:11" ht="19.2" customHeight="1" x14ac:dyDescent="0.3">
      <c r="K1961" s="8"/>
    </row>
    <row r="1962" spans="11:11" ht="19.2" customHeight="1" x14ac:dyDescent="0.3">
      <c r="K1962" s="8"/>
    </row>
    <row r="1963" spans="11:11" ht="19.2" customHeight="1" x14ac:dyDescent="0.3">
      <c r="K1963" s="8"/>
    </row>
    <row r="1964" spans="11:11" ht="19.2" customHeight="1" x14ac:dyDescent="0.3">
      <c r="K1964" s="8"/>
    </row>
    <row r="1965" spans="11:11" ht="19.2" customHeight="1" x14ac:dyDescent="0.3">
      <c r="K1965" s="8"/>
    </row>
    <row r="1966" spans="11:11" ht="19.2" customHeight="1" x14ac:dyDescent="0.3">
      <c r="K1966" s="8"/>
    </row>
    <row r="1967" spans="11:11" ht="19.2" customHeight="1" x14ac:dyDescent="0.3">
      <c r="K1967" s="8"/>
    </row>
    <row r="1968" spans="11:11" ht="19.2" customHeight="1" x14ac:dyDescent="0.3">
      <c r="K1968" s="8"/>
    </row>
    <row r="1969" spans="11:11" ht="19.2" customHeight="1" x14ac:dyDescent="0.3">
      <c r="K1969" s="8"/>
    </row>
    <row r="1970" spans="11:11" ht="19.2" customHeight="1" x14ac:dyDescent="0.3">
      <c r="K1970" s="8"/>
    </row>
    <row r="1971" spans="11:11" ht="19.2" customHeight="1" x14ac:dyDescent="0.3">
      <c r="K1971" s="8"/>
    </row>
    <row r="1972" spans="11:11" ht="19.2" customHeight="1" x14ac:dyDescent="0.3">
      <c r="K1972" s="8"/>
    </row>
    <row r="1973" spans="11:11" ht="19.2" customHeight="1" x14ac:dyDescent="0.3">
      <c r="K1973" s="8"/>
    </row>
    <row r="1974" spans="11:11" ht="19.2" customHeight="1" x14ac:dyDescent="0.3">
      <c r="K1974" s="8"/>
    </row>
    <row r="1975" spans="11:11" ht="19.2" customHeight="1" x14ac:dyDescent="0.3">
      <c r="K1975" s="8"/>
    </row>
    <row r="1976" spans="11:11" ht="19.2" customHeight="1" x14ac:dyDescent="0.3">
      <c r="K1976" s="8"/>
    </row>
    <row r="1977" spans="11:11" ht="19.2" customHeight="1" x14ac:dyDescent="0.3">
      <c r="K1977" s="8"/>
    </row>
    <row r="1978" spans="11:11" ht="19.2" customHeight="1" x14ac:dyDescent="0.3">
      <c r="K1978" s="8"/>
    </row>
    <row r="1979" spans="11:11" ht="19.2" customHeight="1" x14ac:dyDescent="0.3">
      <c r="K1979" s="8"/>
    </row>
    <row r="1980" spans="11:11" ht="19.2" customHeight="1" x14ac:dyDescent="0.3">
      <c r="K1980" s="8"/>
    </row>
    <row r="1981" spans="11:11" ht="19.2" customHeight="1" x14ac:dyDescent="0.3">
      <c r="K1981" s="8"/>
    </row>
    <row r="1982" spans="11:11" ht="19.2" customHeight="1" x14ac:dyDescent="0.3">
      <c r="K1982" s="8"/>
    </row>
    <row r="1983" spans="11:11" ht="19.2" customHeight="1" x14ac:dyDescent="0.3">
      <c r="K1983" s="8"/>
    </row>
    <row r="1984" spans="11:11" ht="19.2" customHeight="1" x14ac:dyDescent="0.3">
      <c r="K1984" s="8"/>
    </row>
    <row r="1985" spans="11:11" ht="19.2" customHeight="1" x14ac:dyDescent="0.3">
      <c r="K1985" s="8"/>
    </row>
    <row r="1986" spans="11:11" ht="19.2" customHeight="1" x14ac:dyDescent="0.3">
      <c r="K1986" s="8"/>
    </row>
    <row r="1987" spans="11:11" ht="19.2" customHeight="1" x14ac:dyDescent="0.3">
      <c r="K1987" s="8"/>
    </row>
    <row r="1988" spans="11:11" ht="19.2" customHeight="1" x14ac:dyDescent="0.3">
      <c r="K1988" s="8"/>
    </row>
    <row r="1989" spans="11:11" ht="19.2" customHeight="1" x14ac:dyDescent="0.3">
      <c r="K1989" s="8"/>
    </row>
    <row r="1990" spans="11:11" ht="19.2" customHeight="1" x14ac:dyDescent="0.3">
      <c r="K1990" s="8"/>
    </row>
    <row r="1991" spans="11:11" ht="19.2" customHeight="1" x14ac:dyDescent="0.3">
      <c r="K1991" s="8"/>
    </row>
    <row r="1992" spans="11:11" ht="19.2" customHeight="1" x14ac:dyDescent="0.3">
      <c r="K1992" s="8"/>
    </row>
    <row r="1993" spans="11:11" ht="19.2" customHeight="1" x14ac:dyDescent="0.3">
      <c r="K1993" s="8"/>
    </row>
    <row r="1994" spans="11:11" ht="19.2" customHeight="1" x14ac:dyDescent="0.3">
      <c r="K1994" s="8"/>
    </row>
    <row r="1995" spans="11:11" ht="19.2" customHeight="1" x14ac:dyDescent="0.3">
      <c r="K1995" s="8"/>
    </row>
    <row r="1996" spans="11:11" ht="19.2" customHeight="1" x14ac:dyDescent="0.3">
      <c r="K1996" s="8"/>
    </row>
    <row r="1997" spans="11:11" ht="19.2" customHeight="1" x14ac:dyDescent="0.3">
      <c r="K1997" s="8"/>
    </row>
    <row r="1998" spans="11:11" ht="19.2" customHeight="1" x14ac:dyDescent="0.3">
      <c r="K1998" s="8"/>
    </row>
    <row r="1999" spans="11:11" ht="19.2" customHeight="1" x14ac:dyDescent="0.3">
      <c r="K1999" s="8"/>
    </row>
    <row r="2000" spans="11:11" ht="19.2" customHeight="1" x14ac:dyDescent="0.3">
      <c r="K2000" s="8"/>
    </row>
    <row r="2001" spans="11:11" ht="19.2" customHeight="1" x14ac:dyDescent="0.3">
      <c r="K2001" s="8"/>
    </row>
    <row r="2002" spans="11:11" ht="19.2" customHeight="1" x14ac:dyDescent="0.3">
      <c r="K2002" s="8"/>
    </row>
    <row r="2003" spans="11:11" ht="19.2" customHeight="1" x14ac:dyDescent="0.3">
      <c r="K2003" s="8"/>
    </row>
    <row r="2004" spans="11:11" ht="19.2" customHeight="1" x14ac:dyDescent="0.3">
      <c r="K2004" s="8"/>
    </row>
    <row r="2005" spans="11:11" ht="19.2" customHeight="1" x14ac:dyDescent="0.3">
      <c r="K2005" s="8"/>
    </row>
    <row r="2006" spans="11:11" ht="19.2" customHeight="1" x14ac:dyDescent="0.3">
      <c r="K2006" s="8"/>
    </row>
    <row r="2007" spans="11:11" ht="19.2" customHeight="1" x14ac:dyDescent="0.3">
      <c r="K2007" s="8"/>
    </row>
    <row r="2008" spans="11:11" ht="19.2" customHeight="1" x14ac:dyDescent="0.3">
      <c r="K2008" s="8"/>
    </row>
    <row r="2009" spans="11:11" ht="19.2" customHeight="1" x14ac:dyDescent="0.3">
      <c r="K2009" s="8"/>
    </row>
    <row r="2010" spans="11:11" ht="19.2" customHeight="1" x14ac:dyDescent="0.3">
      <c r="K2010" s="8"/>
    </row>
    <row r="2011" spans="11:11" ht="19.2" customHeight="1" x14ac:dyDescent="0.3">
      <c r="K2011" s="8"/>
    </row>
    <row r="2012" spans="11:11" ht="19.2" customHeight="1" x14ac:dyDescent="0.3">
      <c r="K2012" s="8"/>
    </row>
    <row r="2013" spans="11:11" ht="19.2" customHeight="1" x14ac:dyDescent="0.3">
      <c r="K2013" s="8"/>
    </row>
    <row r="2014" spans="11:11" ht="19.2" customHeight="1" x14ac:dyDescent="0.3">
      <c r="K2014" s="8"/>
    </row>
    <row r="2015" spans="11:11" ht="19.2" customHeight="1" x14ac:dyDescent="0.3">
      <c r="K2015" s="8"/>
    </row>
    <row r="2016" spans="11:11" ht="19.2" customHeight="1" x14ac:dyDescent="0.3">
      <c r="K2016" s="8"/>
    </row>
    <row r="2017" spans="11:11" ht="19.2" customHeight="1" x14ac:dyDescent="0.3">
      <c r="K2017" s="8"/>
    </row>
    <row r="2018" spans="11:11" ht="19.2" customHeight="1" x14ac:dyDescent="0.3">
      <c r="K2018" s="8"/>
    </row>
    <row r="2019" spans="11:11" ht="19.2" customHeight="1" x14ac:dyDescent="0.3">
      <c r="K2019" s="8"/>
    </row>
    <row r="2020" spans="11:11" ht="19.2" customHeight="1" x14ac:dyDescent="0.3">
      <c r="K2020" s="8"/>
    </row>
    <row r="2021" spans="11:11" ht="19.2" customHeight="1" x14ac:dyDescent="0.3">
      <c r="K2021" s="8"/>
    </row>
    <row r="2022" spans="11:11" ht="19.2" customHeight="1" x14ac:dyDescent="0.3">
      <c r="K2022" s="8"/>
    </row>
    <row r="2023" spans="11:11" ht="19.2" customHeight="1" x14ac:dyDescent="0.3">
      <c r="K2023" s="8"/>
    </row>
    <row r="2024" spans="11:11" ht="19.2" customHeight="1" x14ac:dyDescent="0.3">
      <c r="K2024" s="8"/>
    </row>
    <row r="2025" spans="11:11" ht="19.2" customHeight="1" x14ac:dyDescent="0.3">
      <c r="K2025" s="8"/>
    </row>
    <row r="2026" spans="11:11" ht="19.2" customHeight="1" x14ac:dyDescent="0.3">
      <c r="K2026" s="8"/>
    </row>
    <row r="2027" spans="11:11" ht="19.2" customHeight="1" x14ac:dyDescent="0.3">
      <c r="K2027" s="8"/>
    </row>
    <row r="2028" spans="11:11" ht="19.2" customHeight="1" x14ac:dyDescent="0.3">
      <c r="K2028" s="8"/>
    </row>
    <row r="2029" spans="11:11" ht="19.2" customHeight="1" x14ac:dyDescent="0.3">
      <c r="K2029" s="8"/>
    </row>
    <row r="2030" spans="11:11" ht="19.2" customHeight="1" x14ac:dyDescent="0.3">
      <c r="K2030" s="8"/>
    </row>
    <row r="2031" spans="11:11" ht="19.2" customHeight="1" x14ac:dyDescent="0.3">
      <c r="K2031" s="8"/>
    </row>
    <row r="2032" spans="11:11" ht="19.2" customHeight="1" x14ac:dyDescent="0.3">
      <c r="K2032" s="8"/>
    </row>
    <row r="2033" spans="11:11" ht="19.2" customHeight="1" x14ac:dyDescent="0.3">
      <c r="K2033" s="8"/>
    </row>
    <row r="2034" spans="11:11" ht="19.2" customHeight="1" x14ac:dyDescent="0.3">
      <c r="K2034" s="8"/>
    </row>
    <row r="2035" spans="11:11" ht="19.2" customHeight="1" x14ac:dyDescent="0.3">
      <c r="K2035" s="8"/>
    </row>
    <row r="2036" spans="11:11" ht="19.2" customHeight="1" x14ac:dyDescent="0.3">
      <c r="K2036" s="8"/>
    </row>
    <row r="2037" spans="11:11" ht="19.2" customHeight="1" x14ac:dyDescent="0.3">
      <c r="K2037" s="8"/>
    </row>
    <row r="2038" spans="11:11" ht="19.2" customHeight="1" x14ac:dyDescent="0.3">
      <c r="K2038" s="8"/>
    </row>
    <row r="2039" spans="11:11" ht="19.2" customHeight="1" x14ac:dyDescent="0.3">
      <c r="K2039" s="8"/>
    </row>
    <row r="2040" spans="11:11" ht="19.2" customHeight="1" x14ac:dyDescent="0.3">
      <c r="K2040" s="8"/>
    </row>
    <row r="2041" spans="11:11" ht="19.2" customHeight="1" x14ac:dyDescent="0.3">
      <c r="K2041" s="8"/>
    </row>
    <row r="2042" spans="11:11" ht="19.2" customHeight="1" x14ac:dyDescent="0.3">
      <c r="K2042" s="8"/>
    </row>
    <row r="2043" spans="11:11" ht="19.2" customHeight="1" x14ac:dyDescent="0.3">
      <c r="K2043" s="8"/>
    </row>
    <row r="2044" spans="11:11" ht="19.2" customHeight="1" x14ac:dyDescent="0.3">
      <c r="K2044" s="8"/>
    </row>
    <row r="2045" spans="11:11" ht="19.2" customHeight="1" x14ac:dyDescent="0.3">
      <c r="K2045" s="8"/>
    </row>
    <row r="2046" spans="11:11" ht="19.2" customHeight="1" x14ac:dyDescent="0.3">
      <c r="K2046" s="8"/>
    </row>
    <row r="2047" spans="11:11" ht="19.2" customHeight="1" x14ac:dyDescent="0.3">
      <c r="K2047" s="8"/>
    </row>
    <row r="2048" spans="11:11" ht="19.2" customHeight="1" x14ac:dyDescent="0.3">
      <c r="K2048" s="8"/>
    </row>
    <row r="2049" spans="11:11" ht="19.2" customHeight="1" x14ac:dyDescent="0.3">
      <c r="K2049" s="8"/>
    </row>
    <row r="2050" spans="11:11" ht="19.2" customHeight="1" x14ac:dyDescent="0.3">
      <c r="K2050" s="8"/>
    </row>
    <row r="2051" spans="11:11" ht="19.2" customHeight="1" x14ac:dyDescent="0.3">
      <c r="K2051" s="8"/>
    </row>
    <row r="2052" spans="11:11" ht="19.2" customHeight="1" x14ac:dyDescent="0.3">
      <c r="K2052" s="8"/>
    </row>
    <row r="2053" spans="11:11" ht="19.2" customHeight="1" x14ac:dyDescent="0.3">
      <c r="K2053" s="8"/>
    </row>
    <row r="2054" spans="11:11" ht="19.2" customHeight="1" x14ac:dyDescent="0.3">
      <c r="K2054" s="8"/>
    </row>
    <row r="2055" spans="11:11" ht="19.2" customHeight="1" x14ac:dyDescent="0.3">
      <c r="K2055" s="8"/>
    </row>
    <row r="2056" spans="11:11" ht="19.2" customHeight="1" x14ac:dyDescent="0.3">
      <c r="K2056" s="8"/>
    </row>
    <row r="2057" spans="11:11" ht="19.2" customHeight="1" x14ac:dyDescent="0.3">
      <c r="K2057" s="8"/>
    </row>
    <row r="2058" spans="11:11" ht="19.2" customHeight="1" x14ac:dyDescent="0.3">
      <c r="K2058" s="8"/>
    </row>
    <row r="2059" spans="11:11" ht="19.2" customHeight="1" x14ac:dyDescent="0.3">
      <c r="K2059" s="8"/>
    </row>
    <row r="2060" spans="11:11" ht="19.2" customHeight="1" x14ac:dyDescent="0.3">
      <c r="K2060" s="8"/>
    </row>
    <row r="2061" spans="11:11" ht="19.2" customHeight="1" x14ac:dyDescent="0.3">
      <c r="K2061" s="8"/>
    </row>
    <row r="2062" spans="11:11" ht="19.2" customHeight="1" x14ac:dyDescent="0.3">
      <c r="K2062" s="8"/>
    </row>
    <row r="2063" spans="11:11" ht="19.2" customHeight="1" x14ac:dyDescent="0.3">
      <c r="K2063" s="8"/>
    </row>
    <row r="2064" spans="11:11" ht="19.2" customHeight="1" x14ac:dyDescent="0.3">
      <c r="K2064" s="8"/>
    </row>
    <row r="2065" spans="11:11" ht="19.2" customHeight="1" x14ac:dyDescent="0.3">
      <c r="K2065" s="8"/>
    </row>
    <row r="2066" spans="11:11" ht="19.2" customHeight="1" x14ac:dyDescent="0.3">
      <c r="K2066" s="8"/>
    </row>
    <row r="2067" spans="11:11" ht="19.2" customHeight="1" x14ac:dyDescent="0.3">
      <c r="K2067" s="8"/>
    </row>
    <row r="2068" spans="11:11" ht="19.2" customHeight="1" x14ac:dyDescent="0.3">
      <c r="K2068" s="8"/>
    </row>
    <row r="2069" spans="11:11" ht="19.2" customHeight="1" x14ac:dyDescent="0.3">
      <c r="K2069" s="8"/>
    </row>
    <row r="2070" spans="11:11" ht="19.2" customHeight="1" x14ac:dyDescent="0.3">
      <c r="K2070" s="8"/>
    </row>
    <row r="2071" spans="11:11" ht="19.2" customHeight="1" x14ac:dyDescent="0.3">
      <c r="K2071" s="8"/>
    </row>
    <row r="2072" spans="11:11" ht="19.2" customHeight="1" x14ac:dyDescent="0.3">
      <c r="K2072" s="8"/>
    </row>
    <row r="2073" spans="11:11" ht="19.2" customHeight="1" x14ac:dyDescent="0.3">
      <c r="K2073" s="8"/>
    </row>
    <row r="2074" spans="11:11" ht="19.2" customHeight="1" x14ac:dyDescent="0.3">
      <c r="K2074" s="8"/>
    </row>
    <row r="2075" spans="11:11" ht="19.2" customHeight="1" x14ac:dyDescent="0.3">
      <c r="K2075" s="8"/>
    </row>
    <row r="2076" spans="11:11" ht="19.2" customHeight="1" x14ac:dyDescent="0.3">
      <c r="K2076" s="8"/>
    </row>
    <row r="2077" spans="11:11" ht="19.2" customHeight="1" x14ac:dyDescent="0.3">
      <c r="K2077" s="8"/>
    </row>
    <row r="2078" spans="11:11" ht="19.2" customHeight="1" x14ac:dyDescent="0.3">
      <c r="K2078" s="8"/>
    </row>
    <row r="2079" spans="11:11" ht="19.2" customHeight="1" x14ac:dyDescent="0.3">
      <c r="K2079" s="8"/>
    </row>
    <row r="2080" spans="11:11" ht="19.2" customHeight="1" x14ac:dyDescent="0.3">
      <c r="K2080" s="8"/>
    </row>
    <row r="2081" spans="11:11" ht="19.2" customHeight="1" x14ac:dyDescent="0.3">
      <c r="K2081" s="8"/>
    </row>
    <row r="2082" spans="11:11" ht="19.2" customHeight="1" x14ac:dyDescent="0.3">
      <c r="K2082" s="8"/>
    </row>
    <row r="2083" spans="11:11" ht="19.2" customHeight="1" x14ac:dyDescent="0.3">
      <c r="K2083" s="8"/>
    </row>
    <row r="2084" spans="11:11" ht="19.2" customHeight="1" x14ac:dyDescent="0.3">
      <c r="K2084" s="8"/>
    </row>
    <row r="2085" spans="11:11" ht="19.2" customHeight="1" x14ac:dyDescent="0.3">
      <c r="K2085" s="8"/>
    </row>
    <row r="2086" spans="11:11" ht="19.2" customHeight="1" x14ac:dyDescent="0.3">
      <c r="K2086" s="8"/>
    </row>
    <row r="2087" spans="11:11" ht="19.2" customHeight="1" x14ac:dyDescent="0.3">
      <c r="K2087" s="8"/>
    </row>
    <row r="2088" spans="11:11" ht="19.2" customHeight="1" x14ac:dyDescent="0.3">
      <c r="K2088" s="8"/>
    </row>
    <row r="2089" spans="11:11" ht="19.2" customHeight="1" x14ac:dyDescent="0.3">
      <c r="K2089" s="8"/>
    </row>
    <row r="2090" spans="11:11" ht="19.2" customHeight="1" x14ac:dyDescent="0.3">
      <c r="K2090" s="8"/>
    </row>
    <row r="2091" spans="11:11" ht="19.2" customHeight="1" x14ac:dyDescent="0.3">
      <c r="K2091" s="8"/>
    </row>
    <row r="2092" spans="11:11" ht="19.2" customHeight="1" x14ac:dyDescent="0.3">
      <c r="K2092" s="8"/>
    </row>
    <row r="2093" spans="11:11" ht="19.2" customHeight="1" x14ac:dyDescent="0.3">
      <c r="K2093" s="8"/>
    </row>
    <row r="2094" spans="11:11" ht="19.2" customHeight="1" x14ac:dyDescent="0.3">
      <c r="K2094" s="8"/>
    </row>
    <row r="2095" spans="11:11" ht="19.2" customHeight="1" x14ac:dyDescent="0.3">
      <c r="K2095" s="8"/>
    </row>
    <row r="2096" spans="11:11" ht="19.2" customHeight="1" x14ac:dyDescent="0.3">
      <c r="K2096" s="8"/>
    </row>
    <row r="2097" spans="11:11" ht="19.2" customHeight="1" x14ac:dyDescent="0.3">
      <c r="K2097" s="8"/>
    </row>
    <row r="2098" spans="11:11" ht="19.2" customHeight="1" x14ac:dyDescent="0.3">
      <c r="K2098" s="8"/>
    </row>
    <row r="2099" spans="11:11" ht="19.2" customHeight="1" x14ac:dyDescent="0.3">
      <c r="K2099" s="8"/>
    </row>
    <row r="2100" spans="11:11" ht="19.2" customHeight="1" x14ac:dyDescent="0.3">
      <c r="K2100" s="8"/>
    </row>
    <row r="2101" spans="11:11" ht="19.2" customHeight="1" x14ac:dyDescent="0.3">
      <c r="K2101" s="8"/>
    </row>
    <row r="2102" spans="11:11" ht="19.2" customHeight="1" x14ac:dyDescent="0.3">
      <c r="K2102" s="8"/>
    </row>
    <row r="2103" spans="11:11" ht="19.2" customHeight="1" x14ac:dyDescent="0.3">
      <c r="K2103" s="8"/>
    </row>
    <row r="2104" spans="11:11" ht="19.2" customHeight="1" x14ac:dyDescent="0.3">
      <c r="K2104" s="8"/>
    </row>
    <row r="2105" spans="11:11" ht="19.2" customHeight="1" x14ac:dyDescent="0.3">
      <c r="K2105" s="8"/>
    </row>
    <row r="2106" spans="11:11" ht="19.2" customHeight="1" x14ac:dyDescent="0.3">
      <c r="K2106" s="8"/>
    </row>
    <row r="2107" spans="11:11" ht="19.2" customHeight="1" x14ac:dyDescent="0.3">
      <c r="K2107" s="8"/>
    </row>
    <row r="2108" spans="11:11" ht="19.2" customHeight="1" x14ac:dyDescent="0.3">
      <c r="K2108" s="8"/>
    </row>
    <row r="2109" spans="11:11" ht="19.2" customHeight="1" x14ac:dyDescent="0.3">
      <c r="K2109" s="8"/>
    </row>
    <row r="2110" spans="11:11" ht="19.2" customHeight="1" x14ac:dyDescent="0.3">
      <c r="K2110" s="8"/>
    </row>
    <row r="2111" spans="11:11" ht="19.2" customHeight="1" x14ac:dyDescent="0.3">
      <c r="K2111" s="8"/>
    </row>
    <row r="2112" spans="11:11" ht="19.2" customHeight="1" x14ac:dyDescent="0.3">
      <c r="K2112" s="8"/>
    </row>
    <row r="2113" spans="11:11" ht="19.2" customHeight="1" x14ac:dyDescent="0.3">
      <c r="K2113" s="8"/>
    </row>
    <row r="2114" spans="11:11" ht="19.2" customHeight="1" x14ac:dyDescent="0.3">
      <c r="K2114" s="8"/>
    </row>
    <row r="2115" spans="11:11" ht="19.2" customHeight="1" x14ac:dyDescent="0.3">
      <c r="K2115" s="8"/>
    </row>
    <row r="2116" spans="11:11" ht="19.2" customHeight="1" x14ac:dyDescent="0.3">
      <c r="K2116" s="8"/>
    </row>
    <row r="2117" spans="11:11" ht="19.2" customHeight="1" x14ac:dyDescent="0.3">
      <c r="K2117" s="8"/>
    </row>
    <row r="2118" spans="11:11" ht="19.2" customHeight="1" x14ac:dyDescent="0.3">
      <c r="K2118" s="8"/>
    </row>
    <row r="2119" spans="11:11" ht="19.2" customHeight="1" x14ac:dyDescent="0.3">
      <c r="K2119" s="8"/>
    </row>
    <row r="2120" spans="11:11" ht="19.2" customHeight="1" x14ac:dyDescent="0.3">
      <c r="K2120" s="8"/>
    </row>
    <row r="2121" spans="11:11" ht="19.2" customHeight="1" x14ac:dyDescent="0.3">
      <c r="K2121" s="8"/>
    </row>
    <row r="2122" spans="11:11" ht="19.2" customHeight="1" x14ac:dyDescent="0.3">
      <c r="K2122" s="8"/>
    </row>
    <row r="2123" spans="11:11" ht="19.2" customHeight="1" x14ac:dyDescent="0.3">
      <c r="K2123" s="8"/>
    </row>
    <row r="2124" spans="11:11" ht="19.2" customHeight="1" x14ac:dyDescent="0.3">
      <c r="K2124" s="8"/>
    </row>
    <row r="2125" spans="11:11" ht="19.2" customHeight="1" x14ac:dyDescent="0.3">
      <c r="K2125" s="8"/>
    </row>
    <row r="2126" spans="11:11" ht="19.2" customHeight="1" x14ac:dyDescent="0.3">
      <c r="K2126" s="8"/>
    </row>
    <row r="2127" spans="11:11" ht="19.2" customHeight="1" x14ac:dyDescent="0.3">
      <c r="K2127" s="8"/>
    </row>
    <row r="2128" spans="11:11" ht="19.2" customHeight="1" x14ac:dyDescent="0.3">
      <c r="K2128" s="8"/>
    </row>
    <row r="2129" spans="11:11" ht="19.2" customHeight="1" x14ac:dyDescent="0.3">
      <c r="K2129" s="8"/>
    </row>
    <row r="2130" spans="11:11" ht="19.2" customHeight="1" x14ac:dyDescent="0.3">
      <c r="K2130" s="8"/>
    </row>
    <row r="2131" spans="11:11" ht="19.2" customHeight="1" x14ac:dyDescent="0.3">
      <c r="K2131" s="8"/>
    </row>
    <row r="2132" spans="11:11" ht="19.2" customHeight="1" x14ac:dyDescent="0.3">
      <c r="K2132" s="8"/>
    </row>
    <row r="2133" spans="11:11" ht="19.2" customHeight="1" x14ac:dyDescent="0.3">
      <c r="K2133" s="8"/>
    </row>
    <row r="2134" spans="11:11" ht="19.2" customHeight="1" x14ac:dyDescent="0.3">
      <c r="K2134" s="8"/>
    </row>
    <row r="2135" spans="11:11" ht="19.2" customHeight="1" x14ac:dyDescent="0.3">
      <c r="K2135" s="8"/>
    </row>
    <row r="2136" spans="11:11" ht="19.2" customHeight="1" x14ac:dyDescent="0.3">
      <c r="K2136" s="8"/>
    </row>
    <row r="2137" spans="11:11" ht="19.2" customHeight="1" x14ac:dyDescent="0.3">
      <c r="K2137" s="8"/>
    </row>
    <row r="2138" spans="11:11" ht="19.2" customHeight="1" x14ac:dyDescent="0.3">
      <c r="K2138" s="8"/>
    </row>
    <row r="2139" spans="11:11" ht="19.2" customHeight="1" x14ac:dyDescent="0.3">
      <c r="K2139" s="8"/>
    </row>
    <row r="2140" spans="11:11" ht="19.2" customHeight="1" x14ac:dyDescent="0.3">
      <c r="K2140" s="8"/>
    </row>
    <row r="2141" spans="11:11" ht="19.2" customHeight="1" x14ac:dyDescent="0.3">
      <c r="K2141" s="8"/>
    </row>
    <row r="2142" spans="11:11" ht="19.2" customHeight="1" x14ac:dyDescent="0.3">
      <c r="K2142" s="8"/>
    </row>
    <row r="2143" spans="11:11" ht="19.2" customHeight="1" x14ac:dyDescent="0.3">
      <c r="K2143" s="8"/>
    </row>
    <row r="2144" spans="11:11" ht="19.2" customHeight="1" x14ac:dyDescent="0.3">
      <c r="K2144" s="8"/>
    </row>
    <row r="2145" spans="11:11" ht="19.2" customHeight="1" x14ac:dyDescent="0.3">
      <c r="K2145" s="8"/>
    </row>
    <row r="2146" spans="11:11" ht="19.2" customHeight="1" x14ac:dyDescent="0.3">
      <c r="K2146" s="8"/>
    </row>
    <row r="2147" spans="11:11" ht="19.2" customHeight="1" x14ac:dyDescent="0.3">
      <c r="K2147" s="8"/>
    </row>
    <row r="2148" spans="11:11" ht="19.2" customHeight="1" x14ac:dyDescent="0.3">
      <c r="K2148" s="8"/>
    </row>
    <row r="2149" spans="11:11" ht="19.2" customHeight="1" x14ac:dyDescent="0.3">
      <c r="K2149" s="8"/>
    </row>
    <row r="2150" spans="11:11" ht="19.2" customHeight="1" x14ac:dyDescent="0.3">
      <c r="K2150" s="8"/>
    </row>
    <row r="2151" spans="11:11" ht="19.2" customHeight="1" x14ac:dyDescent="0.3">
      <c r="K2151" s="8"/>
    </row>
    <row r="2152" spans="11:11" ht="19.2" customHeight="1" x14ac:dyDescent="0.3">
      <c r="K2152" s="8"/>
    </row>
    <row r="2153" spans="11:11" ht="19.2" customHeight="1" x14ac:dyDescent="0.3">
      <c r="K2153" s="8"/>
    </row>
    <row r="2154" spans="11:11" ht="19.2" customHeight="1" x14ac:dyDescent="0.3">
      <c r="K2154" s="8"/>
    </row>
    <row r="2155" spans="11:11" ht="19.2" customHeight="1" x14ac:dyDescent="0.3">
      <c r="K2155" s="8"/>
    </row>
    <row r="2156" spans="11:11" ht="19.2" customHeight="1" x14ac:dyDescent="0.3">
      <c r="K2156" s="8"/>
    </row>
    <row r="2157" spans="11:11" ht="19.2" customHeight="1" x14ac:dyDescent="0.3">
      <c r="K2157" s="8"/>
    </row>
    <row r="2158" spans="11:11" ht="19.2" customHeight="1" x14ac:dyDescent="0.3">
      <c r="K2158" s="8"/>
    </row>
    <row r="2159" spans="11:11" ht="19.2" customHeight="1" x14ac:dyDescent="0.3">
      <c r="K2159" s="8"/>
    </row>
    <row r="2160" spans="11:11" ht="19.2" customHeight="1" x14ac:dyDescent="0.3">
      <c r="K2160" s="8"/>
    </row>
    <row r="2161" spans="11:11" ht="19.2" customHeight="1" x14ac:dyDescent="0.3">
      <c r="K2161" s="8"/>
    </row>
    <row r="2162" spans="11:11" ht="19.2" customHeight="1" x14ac:dyDescent="0.3">
      <c r="K2162" s="8"/>
    </row>
    <row r="2163" spans="11:11" ht="19.2" customHeight="1" x14ac:dyDescent="0.3">
      <c r="K2163" s="8"/>
    </row>
    <row r="2164" spans="11:11" ht="19.2" customHeight="1" x14ac:dyDescent="0.3">
      <c r="K2164" s="8"/>
    </row>
    <row r="2165" spans="11:11" ht="19.2" customHeight="1" x14ac:dyDescent="0.3">
      <c r="K2165" s="8"/>
    </row>
    <row r="2166" spans="11:11" ht="19.2" customHeight="1" x14ac:dyDescent="0.3">
      <c r="K2166" s="8"/>
    </row>
    <row r="2167" spans="11:11" ht="19.2" customHeight="1" x14ac:dyDescent="0.3">
      <c r="K2167" s="8"/>
    </row>
    <row r="2168" spans="11:11" ht="19.2" customHeight="1" x14ac:dyDescent="0.3">
      <c r="K2168" s="8"/>
    </row>
    <row r="2169" spans="11:11" ht="19.2" customHeight="1" x14ac:dyDescent="0.3">
      <c r="K2169" s="8"/>
    </row>
    <row r="2170" spans="11:11" ht="19.2" customHeight="1" x14ac:dyDescent="0.3">
      <c r="K2170" s="8"/>
    </row>
    <row r="2171" spans="11:11" ht="19.2" customHeight="1" x14ac:dyDescent="0.3">
      <c r="K2171" s="8"/>
    </row>
    <row r="2172" spans="11:11" ht="19.2" customHeight="1" x14ac:dyDescent="0.3">
      <c r="K2172" s="8"/>
    </row>
    <row r="2173" spans="11:11" ht="19.2" customHeight="1" x14ac:dyDescent="0.3">
      <c r="K2173" s="8"/>
    </row>
    <row r="2174" spans="11:11" ht="19.2" customHeight="1" x14ac:dyDescent="0.3">
      <c r="K2174" s="8"/>
    </row>
    <row r="2175" spans="11:11" ht="19.2" customHeight="1" x14ac:dyDescent="0.3">
      <c r="K2175" s="8"/>
    </row>
    <row r="2176" spans="11:11" ht="19.2" customHeight="1" x14ac:dyDescent="0.3">
      <c r="K2176" s="8"/>
    </row>
    <row r="2177" spans="11:11" ht="19.2" customHeight="1" x14ac:dyDescent="0.3">
      <c r="K2177" s="8"/>
    </row>
    <row r="2178" spans="11:11" ht="19.2" customHeight="1" x14ac:dyDescent="0.3">
      <c r="K2178" s="8"/>
    </row>
    <row r="2179" spans="11:11" ht="19.2" customHeight="1" x14ac:dyDescent="0.3">
      <c r="K2179" s="8"/>
    </row>
    <row r="2180" spans="11:11" ht="19.2" customHeight="1" x14ac:dyDescent="0.3">
      <c r="K2180" s="8"/>
    </row>
    <row r="2181" spans="11:11" ht="19.2" customHeight="1" x14ac:dyDescent="0.3">
      <c r="K2181" s="8"/>
    </row>
    <row r="2182" spans="11:11" ht="19.2" customHeight="1" x14ac:dyDescent="0.3">
      <c r="K2182" s="8"/>
    </row>
    <row r="2183" spans="11:11" ht="19.2" customHeight="1" x14ac:dyDescent="0.3">
      <c r="K2183" s="8"/>
    </row>
    <row r="2184" spans="11:11" ht="19.2" customHeight="1" x14ac:dyDescent="0.3">
      <c r="K2184" s="8"/>
    </row>
    <row r="2185" spans="11:11" ht="19.2" customHeight="1" x14ac:dyDescent="0.3">
      <c r="K2185" s="8"/>
    </row>
    <row r="2186" spans="11:11" ht="19.2" customHeight="1" x14ac:dyDescent="0.3">
      <c r="K2186" s="8"/>
    </row>
    <row r="2187" spans="11:11" ht="19.2" customHeight="1" x14ac:dyDescent="0.3">
      <c r="K2187" s="8"/>
    </row>
    <row r="2188" spans="11:11" ht="19.2" customHeight="1" x14ac:dyDescent="0.3">
      <c r="K2188" s="8"/>
    </row>
    <row r="2189" spans="11:11" ht="19.2" customHeight="1" x14ac:dyDescent="0.3">
      <c r="K2189" s="8"/>
    </row>
    <row r="2190" spans="11:11" ht="19.2" customHeight="1" x14ac:dyDescent="0.3">
      <c r="K2190" s="8"/>
    </row>
    <row r="2191" spans="11:11" ht="19.2" customHeight="1" x14ac:dyDescent="0.3">
      <c r="K2191" s="8"/>
    </row>
    <row r="2192" spans="11:11" ht="19.2" customHeight="1" x14ac:dyDescent="0.3">
      <c r="K2192" s="8"/>
    </row>
    <row r="2193" spans="11:11" ht="19.2" customHeight="1" x14ac:dyDescent="0.3">
      <c r="K2193" s="8"/>
    </row>
    <row r="2194" spans="11:11" ht="19.2" customHeight="1" x14ac:dyDescent="0.3">
      <c r="K2194" s="8"/>
    </row>
    <row r="2195" spans="11:11" ht="19.2" customHeight="1" x14ac:dyDescent="0.3">
      <c r="K2195" s="8"/>
    </row>
    <row r="2196" spans="11:11" ht="19.2" customHeight="1" x14ac:dyDescent="0.3">
      <c r="K2196" s="8"/>
    </row>
    <row r="2197" spans="11:11" ht="19.2" customHeight="1" x14ac:dyDescent="0.3">
      <c r="K2197" s="8"/>
    </row>
    <row r="2198" spans="11:11" ht="19.2" customHeight="1" x14ac:dyDescent="0.3">
      <c r="K2198" s="8"/>
    </row>
    <row r="2199" spans="11:11" ht="19.2" customHeight="1" x14ac:dyDescent="0.3">
      <c r="K2199" s="8"/>
    </row>
    <row r="2200" spans="11:11" ht="19.2" customHeight="1" x14ac:dyDescent="0.3">
      <c r="K2200" s="8"/>
    </row>
    <row r="2201" spans="11:11" ht="19.2" customHeight="1" x14ac:dyDescent="0.3">
      <c r="K2201" s="8"/>
    </row>
    <row r="2202" spans="11:11" ht="19.2" customHeight="1" x14ac:dyDescent="0.3">
      <c r="K2202" s="8"/>
    </row>
    <row r="2203" spans="11:11" ht="19.2" customHeight="1" x14ac:dyDescent="0.3">
      <c r="K2203" s="8"/>
    </row>
    <row r="2204" spans="11:11" ht="19.2" customHeight="1" x14ac:dyDescent="0.3">
      <c r="K2204" s="8"/>
    </row>
    <row r="2205" spans="11:11" ht="19.2" customHeight="1" x14ac:dyDescent="0.3">
      <c r="K2205" s="8"/>
    </row>
    <row r="2206" spans="11:11" ht="19.2" customHeight="1" x14ac:dyDescent="0.3">
      <c r="K2206" s="8"/>
    </row>
    <row r="2207" spans="11:11" ht="19.2" customHeight="1" x14ac:dyDescent="0.3">
      <c r="K2207" s="8"/>
    </row>
    <row r="2208" spans="11:11" ht="19.2" customHeight="1" x14ac:dyDescent="0.3">
      <c r="K2208" s="8"/>
    </row>
    <row r="2209" spans="11:11" ht="19.2" customHeight="1" x14ac:dyDescent="0.3">
      <c r="K2209" s="8"/>
    </row>
    <row r="2210" spans="11:11" ht="19.2" customHeight="1" x14ac:dyDescent="0.3">
      <c r="K2210" s="8"/>
    </row>
    <row r="2211" spans="11:11" ht="19.2" customHeight="1" x14ac:dyDescent="0.3">
      <c r="K2211" s="8"/>
    </row>
    <row r="2212" spans="11:11" ht="19.2" customHeight="1" x14ac:dyDescent="0.3">
      <c r="K2212" s="8"/>
    </row>
    <row r="2213" spans="11:11" ht="19.2" customHeight="1" x14ac:dyDescent="0.3">
      <c r="K2213" s="8"/>
    </row>
    <row r="2214" spans="11:11" ht="19.2" customHeight="1" x14ac:dyDescent="0.3">
      <c r="K2214" s="8"/>
    </row>
    <row r="2215" spans="11:11" ht="19.2" customHeight="1" x14ac:dyDescent="0.3">
      <c r="K2215" s="8"/>
    </row>
    <row r="2216" spans="11:11" ht="19.2" customHeight="1" x14ac:dyDescent="0.3">
      <c r="K2216" s="8"/>
    </row>
    <row r="2217" spans="11:11" ht="19.2" customHeight="1" x14ac:dyDescent="0.3">
      <c r="K2217" s="8"/>
    </row>
    <row r="2218" spans="11:11" ht="19.2" customHeight="1" x14ac:dyDescent="0.3">
      <c r="K2218" s="8"/>
    </row>
    <row r="2219" spans="11:11" ht="19.2" customHeight="1" x14ac:dyDescent="0.3">
      <c r="K2219" s="8"/>
    </row>
    <row r="2220" spans="11:11" ht="19.2" customHeight="1" x14ac:dyDescent="0.3">
      <c r="K2220" s="8"/>
    </row>
    <row r="2221" spans="11:11" ht="19.2" customHeight="1" x14ac:dyDescent="0.3">
      <c r="K2221" s="8"/>
    </row>
    <row r="2222" spans="11:11" ht="19.2" customHeight="1" x14ac:dyDescent="0.3">
      <c r="K2222" s="8"/>
    </row>
    <row r="2223" spans="11:11" ht="19.2" customHeight="1" x14ac:dyDescent="0.3">
      <c r="K2223" s="8"/>
    </row>
    <row r="2224" spans="11:11" ht="19.2" customHeight="1" x14ac:dyDescent="0.3">
      <c r="K2224" s="8"/>
    </row>
    <row r="2225" spans="11:11" ht="19.2" customHeight="1" x14ac:dyDescent="0.3">
      <c r="K2225" s="8"/>
    </row>
    <row r="2226" spans="11:11" ht="19.2" customHeight="1" x14ac:dyDescent="0.3">
      <c r="K2226" s="8"/>
    </row>
    <row r="2227" spans="11:11" ht="19.2" customHeight="1" x14ac:dyDescent="0.3">
      <c r="K2227" s="8"/>
    </row>
    <row r="2228" spans="11:11" ht="19.2" customHeight="1" x14ac:dyDescent="0.3">
      <c r="K2228" s="8"/>
    </row>
    <row r="2229" spans="11:11" ht="19.2" customHeight="1" x14ac:dyDescent="0.3">
      <c r="K2229" s="8"/>
    </row>
    <row r="2230" spans="11:11" ht="19.2" customHeight="1" x14ac:dyDescent="0.3">
      <c r="K2230" s="8"/>
    </row>
    <row r="2231" spans="11:11" ht="19.2" customHeight="1" x14ac:dyDescent="0.3">
      <c r="K2231" s="8"/>
    </row>
    <row r="2232" spans="11:11" ht="19.2" customHeight="1" x14ac:dyDescent="0.3">
      <c r="K2232" s="8"/>
    </row>
    <row r="2233" spans="11:11" ht="19.2" customHeight="1" x14ac:dyDescent="0.3">
      <c r="K2233" s="8"/>
    </row>
    <row r="2234" spans="11:11" ht="19.2" customHeight="1" x14ac:dyDescent="0.3">
      <c r="K2234" s="8"/>
    </row>
    <row r="2235" spans="11:11" ht="19.2" customHeight="1" x14ac:dyDescent="0.3">
      <c r="K2235" s="8"/>
    </row>
    <row r="2236" spans="11:11" ht="19.2" customHeight="1" x14ac:dyDescent="0.3">
      <c r="K2236" s="8"/>
    </row>
    <row r="2237" spans="11:11" ht="19.2" customHeight="1" x14ac:dyDescent="0.3">
      <c r="K2237" s="8"/>
    </row>
    <row r="2238" spans="11:11" ht="19.2" customHeight="1" x14ac:dyDescent="0.3">
      <c r="K2238" s="8"/>
    </row>
    <row r="2239" spans="11:11" ht="19.2" customHeight="1" x14ac:dyDescent="0.3">
      <c r="K2239" s="8"/>
    </row>
    <row r="2240" spans="11:11" ht="19.2" customHeight="1" x14ac:dyDescent="0.3">
      <c r="K2240" s="8"/>
    </row>
    <row r="2241" spans="11:11" ht="19.2" customHeight="1" x14ac:dyDescent="0.3">
      <c r="K2241" s="8"/>
    </row>
    <row r="2242" spans="11:11" ht="19.2" customHeight="1" x14ac:dyDescent="0.3">
      <c r="K2242" s="8"/>
    </row>
    <row r="2243" spans="11:11" ht="19.2" customHeight="1" x14ac:dyDescent="0.3">
      <c r="K2243" s="8"/>
    </row>
    <row r="2244" spans="11:11" ht="19.2" customHeight="1" x14ac:dyDescent="0.3">
      <c r="K2244" s="8"/>
    </row>
    <row r="2245" spans="11:11" ht="19.2" customHeight="1" x14ac:dyDescent="0.3">
      <c r="K2245" s="8"/>
    </row>
    <row r="2246" spans="11:11" ht="19.2" customHeight="1" x14ac:dyDescent="0.3">
      <c r="K2246" s="8"/>
    </row>
    <row r="2247" spans="11:11" ht="19.2" customHeight="1" x14ac:dyDescent="0.3">
      <c r="K2247" s="8"/>
    </row>
    <row r="2248" spans="11:11" ht="19.2" customHeight="1" x14ac:dyDescent="0.3">
      <c r="K2248" s="8"/>
    </row>
    <row r="2249" spans="11:11" ht="19.2" customHeight="1" x14ac:dyDescent="0.3">
      <c r="K2249" s="8"/>
    </row>
    <row r="2250" spans="11:11" ht="19.2" customHeight="1" x14ac:dyDescent="0.3">
      <c r="K2250" s="8"/>
    </row>
    <row r="2251" spans="11:11" ht="19.2" customHeight="1" x14ac:dyDescent="0.3">
      <c r="K2251" s="8"/>
    </row>
    <row r="2252" spans="11:11" ht="19.2" customHeight="1" x14ac:dyDescent="0.3">
      <c r="K2252" s="8"/>
    </row>
    <row r="2253" spans="11:11" ht="19.2" customHeight="1" x14ac:dyDescent="0.3">
      <c r="K2253" s="8"/>
    </row>
    <row r="2254" spans="11:11" ht="19.2" customHeight="1" x14ac:dyDescent="0.3">
      <c r="K2254" s="8"/>
    </row>
    <row r="2255" spans="11:11" ht="19.2" customHeight="1" x14ac:dyDescent="0.3">
      <c r="K2255" s="8"/>
    </row>
    <row r="2256" spans="11:11" ht="19.2" customHeight="1" x14ac:dyDescent="0.3">
      <c r="K2256" s="8"/>
    </row>
    <row r="2257" spans="11:11" ht="19.2" customHeight="1" x14ac:dyDescent="0.3">
      <c r="K2257" s="8"/>
    </row>
    <row r="2258" spans="11:11" ht="19.2" customHeight="1" x14ac:dyDescent="0.3">
      <c r="K2258" s="8"/>
    </row>
    <row r="2259" spans="11:11" ht="19.2" customHeight="1" x14ac:dyDescent="0.3">
      <c r="K2259" s="8"/>
    </row>
    <row r="2260" spans="11:11" ht="19.2" customHeight="1" x14ac:dyDescent="0.3">
      <c r="K2260" s="8"/>
    </row>
    <row r="2261" spans="11:11" ht="19.2" customHeight="1" x14ac:dyDescent="0.3">
      <c r="K2261" s="8"/>
    </row>
    <row r="2262" spans="11:11" ht="19.2" customHeight="1" x14ac:dyDescent="0.3">
      <c r="K2262" s="8"/>
    </row>
    <row r="2263" spans="11:11" ht="19.2" customHeight="1" x14ac:dyDescent="0.3">
      <c r="K2263" s="8"/>
    </row>
    <row r="2264" spans="11:11" ht="19.2" customHeight="1" x14ac:dyDescent="0.3">
      <c r="K2264" s="8"/>
    </row>
    <row r="2265" spans="11:11" ht="19.2" customHeight="1" x14ac:dyDescent="0.3">
      <c r="K2265" s="8"/>
    </row>
    <row r="2266" spans="11:11" ht="19.2" customHeight="1" x14ac:dyDescent="0.3">
      <c r="K2266" s="8"/>
    </row>
    <row r="2267" spans="11:11" ht="19.2" customHeight="1" x14ac:dyDescent="0.3">
      <c r="K2267" s="8"/>
    </row>
    <row r="2268" spans="11:11" ht="19.2" customHeight="1" x14ac:dyDescent="0.3">
      <c r="K2268" s="8"/>
    </row>
    <row r="2269" spans="11:11" ht="19.2" customHeight="1" x14ac:dyDescent="0.3">
      <c r="K2269" s="8"/>
    </row>
    <row r="2270" spans="11:11" ht="19.2" customHeight="1" x14ac:dyDescent="0.3">
      <c r="K2270" s="8"/>
    </row>
    <row r="2271" spans="11:11" ht="19.2" customHeight="1" x14ac:dyDescent="0.3">
      <c r="K2271" s="8"/>
    </row>
    <row r="2272" spans="11:11" ht="19.2" customHeight="1" x14ac:dyDescent="0.3">
      <c r="K2272" s="8"/>
    </row>
    <row r="2273" spans="11:11" ht="19.2" customHeight="1" x14ac:dyDescent="0.3">
      <c r="K2273" s="8"/>
    </row>
    <row r="2274" spans="11:11" ht="19.2" customHeight="1" x14ac:dyDescent="0.3">
      <c r="K2274" s="8"/>
    </row>
    <row r="2275" spans="11:11" ht="19.2" customHeight="1" x14ac:dyDescent="0.3">
      <c r="K2275" s="8"/>
    </row>
    <row r="2276" spans="11:11" ht="19.2" customHeight="1" x14ac:dyDescent="0.3">
      <c r="K2276" s="8"/>
    </row>
    <row r="2277" spans="11:11" ht="19.2" customHeight="1" x14ac:dyDescent="0.3">
      <c r="K2277" s="8"/>
    </row>
    <row r="2278" spans="11:11" ht="19.2" customHeight="1" x14ac:dyDescent="0.3">
      <c r="K2278" s="8"/>
    </row>
    <row r="2279" spans="11:11" ht="19.2" customHeight="1" x14ac:dyDescent="0.3">
      <c r="K2279" s="8"/>
    </row>
    <row r="2280" spans="11:11" ht="19.2" customHeight="1" x14ac:dyDescent="0.3">
      <c r="K2280" s="8"/>
    </row>
    <row r="2281" spans="11:11" ht="19.2" customHeight="1" x14ac:dyDescent="0.3">
      <c r="K2281" s="8"/>
    </row>
    <row r="2282" spans="11:11" ht="19.2" customHeight="1" x14ac:dyDescent="0.3">
      <c r="K2282" s="8"/>
    </row>
    <row r="2283" spans="11:11" ht="19.2" customHeight="1" x14ac:dyDescent="0.3">
      <c r="K2283" s="8"/>
    </row>
    <row r="2284" spans="11:11" ht="19.2" customHeight="1" x14ac:dyDescent="0.3">
      <c r="K2284" s="8"/>
    </row>
    <row r="2285" spans="11:11" ht="19.2" customHeight="1" x14ac:dyDescent="0.3">
      <c r="K2285" s="8"/>
    </row>
    <row r="2286" spans="11:11" ht="19.2" customHeight="1" x14ac:dyDescent="0.3">
      <c r="K2286" s="8"/>
    </row>
    <row r="2287" spans="11:11" ht="19.2" customHeight="1" x14ac:dyDescent="0.3">
      <c r="K2287" s="8"/>
    </row>
    <row r="2288" spans="11:11" ht="19.2" customHeight="1" x14ac:dyDescent="0.3">
      <c r="K2288" s="8"/>
    </row>
    <row r="2289" spans="11:11" ht="19.2" customHeight="1" x14ac:dyDescent="0.3">
      <c r="K2289" s="8"/>
    </row>
    <row r="2290" spans="11:11" ht="19.2" customHeight="1" x14ac:dyDescent="0.3">
      <c r="K2290" s="8"/>
    </row>
    <row r="2291" spans="11:11" ht="19.2" customHeight="1" x14ac:dyDescent="0.3">
      <c r="K2291" s="8"/>
    </row>
    <row r="2292" spans="11:11" ht="19.2" customHeight="1" x14ac:dyDescent="0.3">
      <c r="K2292" s="8"/>
    </row>
    <row r="2293" spans="11:11" ht="19.2" customHeight="1" x14ac:dyDescent="0.3">
      <c r="K2293" s="8"/>
    </row>
    <row r="2294" spans="11:11" ht="19.2" customHeight="1" x14ac:dyDescent="0.3">
      <c r="K2294" s="8"/>
    </row>
    <row r="2295" spans="11:11" ht="19.2" customHeight="1" x14ac:dyDescent="0.3">
      <c r="K2295" s="8"/>
    </row>
    <row r="2296" spans="11:11" ht="19.2" customHeight="1" x14ac:dyDescent="0.3">
      <c r="K2296" s="8"/>
    </row>
    <row r="2297" spans="11:11" ht="19.2" customHeight="1" x14ac:dyDescent="0.3">
      <c r="K2297" s="8"/>
    </row>
    <row r="2298" spans="11:11" ht="19.2" customHeight="1" x14ac:dyDescent="0.3">
      <c r="K2298" s="8"/>
    </row>
    <row r="2299" spans="11:11" ht="19.2" customHeight="1" x14ac:dyDescent="0.3">
      <c r="K2299" s="8"/>
    </row>
    <row r="2300" spans="11:11" ht="19.2" customHeight="1" x14ac:dyDescent="0.3">
      <c r="K2300" s="8"/>
    </row>
    <row r="2301" spans="11:11" ht="19.2" customHeight="1" x14ac:dyDescent="0.3">
      <c r="K2301" s="8"/>
    </row>
    <row r="2302" spans="11:11" ht="19.2" customHeight="1" x14ac:dyDescent="0.3">
      <c r="K2302" s="8"/>
    </row>
    <row r="2303" spans="11:11" ht="19.2" customHeight="1" x14ac:dyDescent="0.3">
      <c r="K2303" s="8"/>
    </row>
    <row r="2304" spans="11:11" ht="19.2" customHeight="1" x14ac:dyDescent="0.3">
      <c r="K2304" s="8"/>
    </row>
    <row r="2305" spans="11:11" ht="19.2" customHeight="1" x14ac:dyDescent="0.3">
      <c r="K2305" s="8"/>
    </row>
    <row r="2306" spans="11:11" ht="19.2" customHeight="1" x14ac:dyDescent="0.3">
      <c r="K2306" s="8"/>
    </row>
    <row r="2307" spans="11:11" ht="19.2" customHeight="1" x14ac:dyDescent="0.3">
      <c r="K2307" s="8"/>
    </row>
    <row r="2308" spans="11:11" ht="19.2" customHeight="1" x14ac:dyDescent="0.3">
      <c r="K2308" s="8"/>
    </row>
    <row r="2309" spans="11:11" ht="19.2" customHeight="1" x14ac:dyDescent="0.3">
      <c r="K2309" s="8"/>
    </row>
    <row r="2310" spans="11:11" ht="19.2" customHeight="1" x14ac:dyDescent="0.3">
      <c r="K2310" s="8"/>
    </row>
    <row r="2311" spans="11:11" ht="19.2" customHeight="1" x14ac:dyDescent="0.3">
      <c r="K2311" s="8"/>
    </row>
    <row r="2312" spans="11:11" ht="19.2" customHeight="1" x14ac:dyDescent="0.3">
      <c r="K2312" s="8"/>
    </row>
    <row r="2313" spans="11:11" ht="19.2" customHeight="1" x14ac:dyDescent="0.3">
      <c r="K2313" s="8"/>
    </row>
    <row r="2314" spans="11:11" ht="19.2" customHeight="1" x14ac:dyDescent="0.3">
      <c r="K2314" s="8"/>
    </row>
    <row r="2315" spans="11:11" ht="19.2" customHeight="1" x14ac:dyDescent="0.3">
      <c r="K2315" s="8"/>
    </row>
    <row r="2316" spans="11:11" ht="19.2" customHeight="1" x14ac:dyDescent="0.3">
      <c r="K2316" s="8"/>
    </row>
    <row r="2317" spans="11:11" ht="19.2" customHeight="1" x14ac:dyDescent="0.3">
      <c r="K2317" s="8"/>
    </row>
    <row r="2318" spans="11:11" ht="19.2" customHeight="1" x14ac:dyDescent="0.3">
      <c r="K2318" s="8"/>
    </row>
    <row r="2319" spans="11:11" ht="19.2" customHeight="1" x14ac:dyDescent="0.3">
      <c r="K2319" s="8"/>
    </row>
    <row r="2320" spans="11:11" ht="19.2" customHeight="1" x14ac:dyDescent="0.3">
      <c r="K2320" s="8"/>
    </row>
    <row r="2321" spans="11:11" ht="19.2" customHeight="1" x14ac:dyDescent="0.3">
      <c r="K2321" s="8"/>
    </row>
    <row r="2322" spans="11:11" ht="19.2" customHeight="1" x14ac:dyDescent="0.3">
      <c r="K2322" s="8"/>
    </row>
    <row r="2323" spans="11:11" ht="19.2" customHeight="1" x14ac:dyDescent="0.3">
      <c r="K2323" s="8"/>
    </row>
    <row r="2324" spans="11:11" ht="19.2" customHeight="1" x14ac:dyDescent="0.3">
      <c r="K2324" s="8"/>
    </row>
    <row r="2325" spans="11:11" ht="19.2" customHeight="1" x14ac:dyDescent="0.3">
      <c r="K2325" s="8"/>
    </row>
    <row r="2326" spans="11:11" ht="19.2" customHeight="1" x14ac:dyDescent="0.3">
      <c r="K2326" s="8"/>
    </row>
    <row r="2327" spans="11:11" ht="19.2" customHeight="1" x14ac:dyDescent="0.3">
      <c r="K2327" s="8"/>
    </row>
    <row r="2328" spans="11:11" ht="19.2" customHeight="1" x14ac:dyDescent="0.3">
      <c r="K2328" s="8"/>
    </row>
    <row r="2329" spans="11:11" ht="19.2" customHeight="1" x14ac:dyDescent="0.3">
      <c r="K2329" s="8"/>
    </row>
    <row r="2330" spans="11:11" ht="19.2" customHeight="1" x14ac:dyDescent="0.3">
      <c r="K2330" s="8"/>
    </row>
    <row r="2331" spans="11:11" ht="19.2" customHeight="1" x14ac:dyDescent="0.3">
      <c r="K2331" s="8"/>
    </row>
    <row r="2332" spans="11:11" ht="19.2" customHeight="1" x14ac:dyDescent="0.3">
      <c r="K2332" s="8"/>
    </row>
    <row r="2333" spans="11:11" ht="19.2" customHeight="1" x14ac:dyDescent="0.3">
      <c r="K2333" s="8"/>
    </row>
    <row r="2334" spans="11:11" ht="19.2" customHeight="1" x14ac:dyDescent="0.3">
      <c r="K2334" s="8"/>
    </row>
    <row r="2335" spans="11:11" ht="19.2" customHeight="1" x14ac:dyDescent="0.3">
      <c r="K2335" s="8"/>
    </row>
    <row r="2336" spans="11:11" ht="19.2" customHeight="1" x14ac:dyDescent="0.3">
      <c r="K2336" s="8"/>
    </row>
    <row r="2337" spans="11:11" ht="19.2" customHeight="1" x14ac:dyDescent="0.3">
      <c r="K2337" s="8"/>
    </row>
    <row r="2338" spans="11:11" ht="19.2" customHeight="1" x14ac:dyDescent="0.3">
      <c r="K2338" s="8"/>
    </row>
    <row r="2339" spans="11:11" ht="19.2" customHeight="1" x14ac:dyDescent="0.3">
      <c r="K2339" s="8"/>
    </row>
    <row r="2340" spans="11:11" ht="19.2" customHeight="1" x14ac:dyDescent="0.3">
      <c r="K2340" s="8"/>
    </row>
    <row r="2341" spans="11:11" ht="19.2" customHeight="1" x14ac:dyDescent="0.3">
      <c r="K2341" s="8"/>
    </row>
    <row r="2342" spans="11:11" ht="19.2" customHeight="1" x14ac:dyDescent="0.3">
      <c r="K2342" s="8"/>
    </row>
    <row r="2343" spans="11:11" ht="19.2" customHeight="1" x14ac:dyDescent="0.3">
      <c r="K2343" s="8"/>
    </row>
    <row r="2344" spans="11:11" ht="19.2" customHeight="1" x14ac:dyDescent="0.3">
      <c r="K2344" s="8"/>
    </row>
    <row r="2345" spans="11:11" ht="19.2" customHeight="1" x14ac:dyDescent="0.3">
      <c r="K2345" s="8"/>
    </row>
    <row r="2346" spans="11:11" ht="19.2" customHeight="1" x14ac:dyDescent="0.3">
      <c r="K2346" s="8"/>
    </row>
    <row r="2347" spans="11:11" ht="19.2" customHeight="1" x14ac:dyDescent="0.3">
      <c r="K2347" s="8"/>
    </row>
    <row r="2348" spans="11:11" ht="19.2" customHeight="1" x14ac:dyDescent="0.3">
      <c r="K2348" s="8"/>
    </row>
    <row r="2349" spans="11:11" ht="19.2" customHeight="1" x14ac:dyDescent="0.3">
      <c r="K2349" s="8"/>
    </row>
    <row r="2350" spans="11:11" ht="19.2" customHeight="1" x14ac:dyDescent="0.3">
      <c r="K2350" s="8"/>
    </row>
    <row r="2351" spans="11:11" ht="19.2" customHeight="1" x14ac:dyDescent="0.3">
      <c r="K2351" s="8"/>
    </row>
    <row r="2352" spans="11:11" ht="19.2" customHeight="1" x14ac:dyDescent="0.3">
      <c r="K2352" s="8"/>
    </row>
    <row r="2353" spans="11:11" ht="19.2" customHeight="1" x14ac:dyDescent="0.3">
      <c r="K2353" s="8"/>
    </row>
    <row r="2354" spans="11:11" ht="19.2" customHeight="1" x14ac:dyDescent="0.3">
      <c r="K2354" s="8"/>
    </row>
    <row r="2355" spans="11:11" ht="19.2" customHeight="1" x14ac:dyDescent="0.3">
      <c r="K2355" s="8"/>
    </row>
    <row r="2356" spans="11:11" ht="19.2" customHeight="1" x14ac:dyDescent="0.3">
      <c r="K2356" s="8"/>
    </row>
    <row r="2357" spans="11:11" ht="19.2" customHeight="1" x14ac:dyDescent="0.3">
      <c r="K2357" s="8"/>
    </row>
    <row r="2358" spans="11:11" ht="19.2" customHeight="1" x14ac:dyDescent="0.3">
      <c r="K2358" s="8"/>
    </row>
    <row r="2359" spans="11:11" ht="19.2" customHeight="1" x14ac:dyDescent="0.3">
      <c r="K2359" s="8"/>
    </row>
    <row r="2360" spans="11:11" ht="19.2" customHeight="1" x14ac:dyDescent="0.3">
      <c r="K2360" s="8"/>
    </row>
    <row r="2361" spans="11:11" ht="19.2" customHeight="1" x14ac:dyDescent="0.3">
      <c r="K2361" s="8"/>
    </row>
    <row r="2362" spans="11:11" ht="19.2" customHeight="1" x14ac:dyDescent="0.3">
      <c r="K2362" s="8"/>
    </row>
    <row r="2363" spans="11:11" ht="19.2" customHeight="1" x14ac:dyDescent="0.3">
      <c r="K2363" s="8"/>
    </row>
    <row r="2364" spans="11:11" ht="19.2" customHeight="1" x14ac:dyDescent="0.3">
      <c r="K2364" s="8"/>
    </row>
    <row r="2365" spans="11:11" ht="19.2" customHeight="1" x14ac:dyDescent="0.3">
      <c r="K2365" s="8"/>
    </row>
    <row r="2366" spans="11:11" ht="19.2" customHeight="1" x14ac:dyDescent="0.3">
      <c r="K2366" s="8"/>
    </row>
    <row r="2367" spans="11:11" ht="19.2" customHeight="1" x14ac:dyDescent="0.3">
      <c r="K2367" s="8"/>
    </row>
    <row r="2368" spans="11:11" ht="19.2" customHeight="1" x14ac:dyDescent="0.3">
      <c r="K2368" s="8"/>
    </row>
    <row r="2369" spans="11:11" ht="19.2" customHeight="1" x14ac:dyDescent="0.3">
      <c r="K2369" s="8"/>
    </row>
    <row r="2370" spans="11:11" ht="19.2" customHeight="1" x14ac:dyDescent="0.3">
      <c r="K2370" s="8"/>
    </row>
    <row r="2371" spans="11:11" ht="19.2" customHeight="1" x14ac:dyDescent="0.3">
      <c r="K2371" s="8"/>
    </row>
    <row r="2372" spans="11:11" ht="19.2" customHeight="1" x14ac:dyDescent="0.3">
      <c r="K2372" s="8"/>
    </row>
    <row r="2373" spans="11:11" ht="19.2" customHeight="1" x14ac:dyDescent="0.3">
      <c r="K2373" s="8"/>
    </row>
    <row r="2374" spans="11:11" ht="19.2" customHeight="1" x14ac:dyDescent="0.3">
      <c r="K2374" s="8"/>
    </row>
    <row r="2375" spans="11:11" ht="19.2" customHeight="1" x14ac:dyDescent="0.3">
      <c r="K2375" s="8"/>
    </row>
    <row r="2376" spans="11:11" ht="19.2" customHeight="1" x14ac:dyDescent="0.3">
      <c r="K2376" s="8"/>
    </row>
    <row r="2377" spans="11:11" ht="19.2" customHeight="1" x14ac:dyDescent="0.3">
      <c r="K2377" s="8"/>
    </row>
    <row r="2378" spans="11:11" ht="19.2" customHeight="1" x14ac:dyDescent="0.3">
      <c r="K2378" s="8"/>
    </row>
    <row r="2379" spans="11:11" ht="19.2" customHeight="1" x14ac:dyDescent="0.3">
      <c r="K2379" s="8"/>
    </row>
    <row r="2380" spans="11:11" ht="19.2" customHeight="1" x14ac:dyDescent="0.3">
      <c r="K2380" s="8"/>
    </row>
    <row r="2381" spans="11:11" ht="19.2" customHeight="1" x14ac:dyDescent="0.3">
      <c r="K2381" s="8"/>
    </row>
    <row r="2382" spans="11:11" ht="19.2" customHeight="1" x14ac:dyDescent="0.3">
      <c r="K2382" s="8"/>
    </row>
    <row r="2383" spans="11:11" ht="19.2" customHeight="1" x14ac:dyDescent="0.3">
      <c r="K2383" s="8"/>
    </row>
    <row r="2384" spans="11:11" ht="19.2" customHeight="1" x14ac:dyDescent="0.3">
      <c r="K2384" s="8"/>
    </row>
    <row r="2385" spans="11:11" ht="19.2" customHeight="1" x14ac:dyDescent="0.3">
      <c r="K2385" s="8"/>
    </row>
    <row r="2386" spans="11:11" ht="19.2" customHeight="1" x14ac:dyDescent="0.3">
      <c r="K2386" s="8"/>
    </row>
    <row r="2387" spans="11:11" ht="19.2" customHeight="1" x14ac:dyDescent="0.3">
      <c r="K2387" s="8"/>
    </row>
    <row r="2388" spans="11:11" ht="19.2" customHeight="1" x14ac:dyDescent="0.3">
      <c r="K2388" s="8"/>
    </row>
    <row r="2389" spans="11:11" ht="19.2" customHeight="1" x14ac:dyDescent="0.3">
      <c r="K2389" s="8"/>
    </row>
    <row r="2390" spans="11:11" ht="19.2" customHeight="1" x14ac:dyDescent="0.3">
      <c r="K2390" s="8"/>
    </row>
    <row r="2391" spans="11:11" ht="19.2" customHeight="1" x14ac:dyDescent="0.3">
      <c r="K2391" s="8"/>
    </row>
    <row r="2392" spans="11:11" ht="19.2" customHeight="1" x14ac:dyDescent="0.3">
      <c r="K2392" s="8"/>
    </row>
    <row r="2393" spans="11:11" ht="19.2" customHeight="1" x14ac:dyDescent="0.3">
      <c r="K2393" s="8"/>
    </row>
    <row r="2394" spans="11:11" ht="19.2" customHeight="1" x14ac:dyDescent="0.3">
      <c r="K2394" s="8"/>
    </row>
    <row r="2395" spans="11:11" ht="19.2" customHeight="1" x14ac:dyDescent="0.3">
      <c r="K2395" s="8"/>
    </row>
    <row r="2396" spans="11:11" ht="19.2" customHeight="1" x14ac:dyDescent="0.3">
      <c r="K2396" s="8"/>
    </row>
    <row r="2397" spans="11:11" ht="19.2" customHeight="1" x14ac:dyDescent="0.3">
      <c r="K2397" s="8"/>
    </row>
    <row r="2398" spans="11:11" ht="19.2" customHeight="1" x14ac:dyDescent="0.3">
      <c r="K2398" s="8"/>
    </row>
    <row r="2399" spans="11:11" ht="19.2" customHeight="1" x14ac:dyDescent="0.3">
      <c r="K2399" s="8"/>
    </row>
    <row r="2400" spans="11:11" ht="19.2" customHeight="1" x14ac:dyDescent="0.3">
      <c r="K2400" s="8"/>
    </row>
    <row r="2401" spans="11:11" ht="19.2" customHeight="1" x14ac:dyDescent="0.3">
      <c r="K2401" s="8"/>
    </row>
    <row r="2402" spans="11:11" ht="19.2" customHeight="1" x14ac:dyDescent="0.3">
      <c r="K2402" s="8"/>
    </row>
    <row r="2403" spans="11:11" ht="19.2" customHeight="1" x14ac:dyDescent="0.3">
      <c r="K2403" s="8"/>
    </row>
    <row r="2404" spans="11:11" ht="19.2" customHeight="1" x14ac:dyDescent="0.3">
      <c r="K2404" s="8"/>
    </row>
    <row r="2405" spans="11:11" ht="19.2" customHeight="1" x14ac:dyDescent="0.3">
      <c r="K2405" s="8"/>
    </row>
    <row r="2406" spans="11:11" ht="19.2" customHeight="1" x14ac:dyDescent="0.3">
      <c r="K2406" s="8"/>
    </row>
    <row r="2407" spans="11:11" ht="19.2" customHeight="1" x14ac:dyDescent="0.3">
      <c r="K2407" s="8"/>
    </row>
    <row r="2408" spans="11:11" ht="19.2" customHeight="1" x14ac:dyDescent="0.3">
      <c r="K2408" s="8"/>
    </row>
    <row r="2409" spans="11:11" ht="19.2" customHeight="1" x14ac:dyDescent="0.3">
      <c r="K2409" s="8"/>
    </row>
    <row r="2410" spans="11:11" ht="19.2" customHeight="1" x14ac:dyDescent="0.3">
      <c r="K2410" s="8"/>
    </row>
    <row r="2411" spans="11:11" ht="19.2" customHeight="1" x14ac:dyDescent="0.3">
      <c r="K2411" s="8"/>
    </row>
    <row r="2412" spans="11:11" ht="19.2" customHeight="1" x14ac:dyDescent="0.3">
      <c r="K2412" s="8"/>
    </row>
    <row r="2413" spans="11:11" ht="19.2" customHeight="1" x14ac:dyDescent="0.3">
      <c r="K2413" s="8"/>
    </row>
    <row r="2414" spans="11:11" ht="19.2" customHeight="1" x14ac:dyDescent="0.3">
      <c r="K2414" s="8"/>
    </row>
    <row r="2415" spans="11:11" ht="19.2" customHeight="1" x14ac:dyDescent="0.3">
      <c r="K2415" s="8"/>
    </row>
    <row r="2416" spans="11:11" ht="19.2" customHeight="1" x14ac:dyDescent="0.3">
      <c r="K2416" s="8"/>
    </row>
    <row r="2417" spans="11:11" ht="19.2" customHeight="1" x14ac:dyDescent="0.3">
      <c r="K2417" s="8"/>
    </row>
    <row r="2418" spans="11:11" ht="19.2" customHeight="1" x14ac:dyDescent="0.3">
      <c r="K2418" s="8"/>
    </row>
    <row r="2419" spans="11:11" ht="19.2" customHeight="1" x14ac:dyDescent="0.3">
      <c r="K2419" s="8"/>
    </row>
    <row r="2420" spans="11:11" ht="19.2" customHeight="1" x14ac:dyDescent="0.3">
      <c r="K2420" s="8"/>
    </row>
    <row r="2421" spans="11:11" ht="19.2" customHeight="1" x14ac:dyDescent="0.3">
      <c r="K2421" s="8"/>
    </row>
    <row r="2422" spans="11:11" ht="19.2" customHeight="1" x14ac:dyDescent="0.3">
      <c r="K2422" s="8"/>
    </row>
    <row r="2423" spans="11:11" ht="19.2" customHeight="1" x14ac:dyDescent="0.3">
      <c r="K2423" s="8"/>
    </row>
    <row r="2424" spans="11:11" ht="19.2" customHeight="1" x14ac:dyDescent="0.3">
      <c r="K2424" s="8"/>
    </row>
    <row r="2425" spans="11:11" ht="19.2" customHeight="1" x14ac:dyDescent="0.3">
      <c r="K2425" s="8"/>
    </row>
    <row r="2426" spans="11:11" ht="19.2" customHeight="1" x14ac:dyDescent="0.3">
      <c r="K2426" s="8"/>
    </row>
    <row r="2427" spans="11:11" ht="19.2" customHeight="1" x14ac:dyDescent="0.3">
      <c r="K2427" s="8"/>
    </row>
    <row r="2428" spans="11:11" ht="19.2" customHeight="1" x14ac:dyDescent="0.3">
      <c r="K2428" s="8"/>
    </row>
    <row r="2429" spans="11:11" ht="19.2" customHeight="1" x14ac:dyDescent="0.3">
      <c r="K2429" s="8"/>
    </row>
    <row r="2430" spans="11:11" ht="19.2" customHeight="1" x14ac:dyDescent="0.3">
      <c r="K2430" s="8"/>
    </row>
    <row r="2431" spans="11:11" ht="19.2" customHeight="1" x14ac:dyDescent="0.3">
      <c r="K2431" s="8"/>
    </row>
    <row r="2432" spans="11:11" ht="19.2" customHeight="1" x14ac:dyDescent="0.3">
      <c r="K2432" s="8"/>
    </row>
    <row r="2433" spans="11:11" ht="19.2" customHeight="1" x14ac:dyDescent="0.3">
      <c r="K2433" s="8"/>
    </row>
    <row r="2434" spans="11:11" ht="19.2" customHeight="1" x14ac:dyDescent="0.3">
      <c r="K2434" s="8"/>
    </row>
    <row r="2435" spans="11:11" ht="19.2" customHeight="1" x14ac:dyDescent="0.3">
      <c r="K2435" s="8"/>
    </row>
    <row r="2436" spans="11:11" ht="19.2" customHeight="1" x14ac:dyDescent="0.3">
      <c r="K2436" s="8"/>
    </row>
    <row r="2437" spans="11:11" ht="19.2" customHeight="1" x14ac:dyDescent="0.3">
      <c r="K2437" s="8"/>
    </row>
    <row r="2438" spans="11:11" ht="19.2" customHeight="1" x14ac:dyDescent="0.3">
      <c r="K2438" s="8"/>
    </row>
    <row r="2439" spans="11:11" ht="19.2" customHeight="1" x14ac:dyDescent="0.3">
      <c r="K2439" s="8"/>
    </row>
    <row r="2440" spans="11:11" ht="19.2" customHeight="1" x14ac:dyDescent="0.3">
      <c r="K2440" s="8"/>
    </row>
    <row r="2441" spans="11:11" ht="19.2" customHeight="1" x14ac:dyDescent="0.3">
      <c r="K2441" s="8"/>
    </row>
    <row r="2442" spans="11:11" ht="19.2" customHeight="1" x14ac:dyDescent="0.3">
      <c r="K2442" s="8"/>
    </row>
    <row r="2443" spans="11:11" ht="19.2" customHeight="1" x14ac:dyDescent="0.3">
      <c r="K2443" s="8"/>
    </row>
    <row r="2444" spans="11:11" ht="19.2" customHeight="1" x14ac:dyDescent="0.3">
      <c r="K2444" s="8"/>
    </row>
    <row r="2445" spans="11:11" ht="19.2" customHeight="1" x14ac:dyDescent="0.3">
      <c r="K2445" s="8"/>
    </row>
    <row r="2446" spans="11:11" ht="19.2" customHeight="1" x14ac:dyDescent="0.3">
      <c r="K2446" s="8"/>
    </row>
    <row r="2447" spans="11:11" ht="19.2" customHeight="1" x14ac:dyDescent="0.3">
      <c r="K2447" s="8"/>
    </row>
    <row r="2448" spans="11:11" ht="19.2" customHeight="1" x14ac:dyDescent="0.3">
      <c r="K2448" s="8"/>
    </row>
    <row r="2449" spans="11:11" ht="19.2" customHeight="1" x14ac:dyDescent="0.3">
      <c r="K2449" s="8"/>
    </row>
    <row r="2450" spans="11:11" ht="19.2" customHeight="1" x14ac:dyDescent="0.3">
      <c r="K2450" s="8"/>
    </row>
    <row r="2451" spans="11:11" ht="19.2" customHeight="1" x14ac:dyDescent="0.3">
      <c r="K2451" s="8"/>
    </row>
    <row r="2452" spans="11:11" ht="19.2" customHeight="1" x14ac:dyDescent="0.3">
      <c r="K2452" s="8"/>
    </row>
    <row r="2453" spans="11:11" ht="19.2" customHeight="1" x14ac:dyDescent="0.3">
      <c r="K2453" s="8"/>
    </row>
    <row r="2454" spans="11:11" ht="19.2" customHeight="1" x14ac:dyDescent="0.3">
      <c r="K2454" s="8"/>
    </row>
    <row r="2455" spans="11:11" ht="19.2" customHeight="1" x14ac:dyDescent="0.3">
      <c r="K2455" s="8"/>
    </row>
    <row r="2456" spans="11:11" ht="19.2" customHeight="1" x14ac:dyDescent="0.3">
      <c r="K2456" s="8"/>
    </row>
    <row r="2457" spans="11:11" ht="19.2" customHeight="1" x14ac:dyDescent="0.3">
      <c r="K2457" s="8"/>
    </row>
    <row r="2458" spans="11:11" ht="19.2" customHeight="1" x14ac:dyDescent="0.3">
      <c r="K2458" s="8"/>
    </row>
    <row r="2459" spans="11:11" ht="19.2" customHeight="1" x14ac:dyDescent="0.3">
      <c r="K2459" s="8"/>
    </row>
    <row r="2460" spans="11:11" ht="19.2" customHeight="1" x14ac:dyDescent="0.3">
      <c r="K2460" s="8"/>
    </row>
    <row r="2461" spans="11:11" ht="19.2" customHeight="1" x14ac:dyDescent="0.3">
      <c r="K2461" s="8"/>
    </row>
    <row r="2462" spans="11:11" ht="19.2" customHeight="1" x14ac:dyDescent="0.3">
      <c r="K2462" s="8"/>
    </row>
    <row r="2463" spans="11:11" ht="19.2" customHeight="1" x14ac:dyDescent="0.3">
      <c r="K2463" s="8"/>
    </row>
    <row r="2464" spans="11:11" ht="19.2" customHeight="1" x14ac:dyDescent="0.3">
      <c r="K2464" s="8"/>
    </row>
    <row r="2465" spans="11:11" ht="19.2" customHeight="1" x14ac:dyDescent="0.3">
      <c r="K2465" s="8"/>
    </row>
    <row r="2466" spans="11:11" ht="19.2" customHeight="1" x14ac:dyDescent="0.3">
      <c r="K2466" s="8"/>
    </row>
    <row r="2467" spans="11:11" ht="19.2" customHeight="1" x14ac:dyDescent="0.3">
      <c r="K2467" s="8"/>
    </row>
    <row r="2468" spans="11:11" ht="19.2" customHeight="1" x14ac:dyDescent="0.3">
      <c r="K2468" s="8"/>
    </row>
    <row r="2469" spans="11:11" ht="19.2" customHeight="1" x14ac:dyDescent="0.3">
      <c r="K2469" s="8"/>
    </row>
    <row r="2470" spans="11:11" ht="19.2" customHeight="1" x14ac:dyDescent="0.3">
      <c r="K2470" s="8"/>
    </row>
    <row r="2471" spans="11:11" ht="19.2" customHeight="1" x14ac:dyDescent="0.3">
      <c r="K2471" s="8"/>
    </row>
    <row r="2472" spans="11:11" ht="19.2" customHeight="1" x14ac:dyDescent="0.3">
      <c r="K2472" s="8"/>
    </row>
    <row r="2473" spans="11:11" ht="19.2" customHeight="1" x14ac:dyDescent="0.3">
      <c r="K2473" s="8"/>
    </row>
    <row r="2474" spans="11:11" ht="19.2" customHeight="1" x14ac:dyDescent="0.3">
      <c r="K2474" s="8"/>
    </row>
    <row r="2475" spans="11:11" ht="19.2" customHeight="1" x14ac:dyDescent="0.3">
      <c r="K2475" s="8"/>
    </row>
    <row r="2476" spans="11:11" ht="19.2" customHeight="1" x14ac:dyDescent="0.3">
      <c r="K2476" s="8"/>
    </row>
    <row r="2477" spans="11:11" ht="19.2" customHeight="1" x14ac:dyDescent="0.3">
      <c r="K2477" s="8"/>
    </row>
    <row r="2478" spans="11:11" ht="19.2" customHeight="1" x14ac:dyDescent="0.3">
      <c r="K2478" s="8"/>
    </row>
    <row r="2479" spans="11:11" ht="19.2" customHeight="1" x14ac:dyDescent="0.3">
      <c r="K2479" s="8"/>
    </row>
    <row r="2480" spans="11:11" ht="19.2" customHeight="1" x14ac:dyDescent="0.3">
      <c r="K2480" s="8"/>
    </row>
    <row r="2481" spans="11:11" ht="19.2" customHeight="1" x14ac:dyDescent="0.3">
      <c r="K2481" s="8"/>
    </row>
    <row r="2482" spans="11:11" ht="19.2" customHeight="1" x14ac:dyDescent="0.3">
      <c r="K2482" s="8"/>
    </row>
    <row r="2483" spans="11:11" ht="19.2" customHeight="1" x14ac:dyDescent="0.3">
      <c r="K2483" s="8"/>
    </row>
    <row r="2484" spans="11:11" ht="19.2" customHeight="1" x14ac:dyDescent="0.3">
      <c r="K2484" s="8"/>
    </row>
    <row r="2485" spans="11:11" ht="19.2" customHeight="1" x14ac:dyDescent="0.3">
      <c r="K2485" s="8"/>
    </row>
    <row r="2486" spans="11:11" ht="19.2" customHeight="1" x14ac:dyDescent="0.3">
      <c r="K2486" s="8"/>
    </row>
    <row r="2487" spans="11:11" ht="19.2" customHeight="1" x14ac:dyDescent="0.3">
      <c r="K2487" s="8"/>
    </row>
    <row r="2488" spans="11:11" ht="19.2" customHeight="1" x14ac:dyDescent="0.3">
      <c r="K2488" s="8"/>
    </row>
    <row r="2489" spans="11:11" ht="19.2" customHeight="1" x14ac:dyDescent="0.3">
      <c r="K2489" s="8"/>
    </row>
    <row r="2490" spans="11:11" ht="19.2" customHeight="1" x14ac:dyDescent="0.3">
      <c r="K2490" s="8"/>
    </row>
    <row r="2491" spans="11:11" ht="19.2" customHeight="1" x14ac:dyDescent="0.3">
      <c r="K2491" s="8"/>
    </row>
    <row r="2492" spans="11:11" ht="19.2" customHeight="1" x14ac:dyDescent="0.3">
      <c r="K2492" s="8"/>
    </row>
    <row r="2493" spans="11:11" ht="19.2" customHeight="1" x14ac:dyDescent="0.3">
      <c r="K2493" s="8"/>
    </row>
    <row r="2494" spans="11:11" ht="19.2" customHeight="1" x14ac:dyDescent="0.3">
      <c r="K2494" s="8"/>
    </row>
    <row r="2495" spans="11:11" ht="19.2" customHeight="1" x14ac:dyDescent="0.3">
      <c r="K2495" s="8"/>
    </row>
    <row r="2496" spans="11:11" ht="19.2" customHeight="1" x14ac:dyDescent="0.3">
      <c r="K2496" s="8"/>
    </row>
    <row r="2497" spans="11:11" ht="19.2" customHeight="1" x14ac:dyDescent="0.3">
      <c r="K2497" s="8"/>
    </row>
    <row r="2498" spans="11:11" ht="19.2" customHeight="1" x14ac:dyDescent="0.3">
      <c r="K2498" s="8"/>
    </row>
    <row r="2499" spans="11:11" ht="19.2" customHeight="1" x14ac:dyDescent="0.3">
      <c r="K2499" s="8"/>
    </row>
    <row r="2500" spans="11:11" ht="19.2" customHeight="1" x14ac:dyDescent="0.3">
      <c r="K2500" s="8"/>
    </row>
    <row r="2501" spans="11:11" ht="19.2" customHeight="1" x14ac:dyDescent="0.3">
      <c r="K2501" s="8"/>
    </row>
    <row r="2502" spans="11:11" ht="19.2" customHeight="1" x14ac:dyDescent="0.3">
      <c r="K2502" s="8"/>
    </row>
    <row r="2503" spans="11:11" ht="19.2" customHeight="1" x14ac:dyDescent="0.3">
      <c r="K2503" s="8"/>
    </row>
    <row r="2504" spans="11:11" ht="19.2" customHeight="1" x14ac:dyDescent="0.3">
      <c r="K2504" s="8"/>
    </row>
    <row r="2505" spans="11:11" ht="19.2" customHeight="1" x14ac:dyDescent="0.3">
      <c r="K2505" s="8"/>
    </row>
    <row r="2506" spans="11:11" ht="19.2" customHeight="1" x14ac:dyDescent="0.3">
      <c r="K2506" s="8"/>
    </row>
    <row r="2507" spans="11:11" ht="19.2" customHeight="1" x14ac:dyDescent="0.3">
      <c r="K2507" s="8"/>
    </row>
    <row r="2508" spans="11:11" ht="19.2" customHeight="1" x14ac:dyDescent="0.3">
      <c r="K2508" s="8"/>
    </row>
    <row r="2509" spans="11:11" ht="19.2" customHeight="1" x14ac:dyDescent="0.3">
      <c r="K2509" s="8"/>
    </row>
    <row r="2510" spans="11:11" ht="19.2" customHeight="1" x14ac:dyDescent="0.3">
      <c r="K2510" s="8"/>
    </row>
    <row r="2511" spans="11:11" ht="19.2" customHeight="1" x14ac:dyDescent="0.3">
      <c r="K2511" s="8"/>
    </row>
    <row r="2512" spans="11:11" ht="19.2" customHeight="1" x14ac:dyDescent="0.3">
      <c r="K2512" s="8"/>
    </row>
    <row r="2513" spans="11:11" ht="19.2" customHeight="1" x14ac:dyDescent="0.3">
      <c r="K2513" s="8"/>
    </row>
    <row r="2514" spans="11:11" ht="19.2" customHeight="1" x14ac:dyDescent="0.3">
      <c r="K2514" s="8"/>
    </row>
    <row r="2515" spans="11:11" ht="19.2" customHeight="1" x14ac:dyDescent="0.3">
      <c r="K2515" s="8"/>
    </row>
    <row r="2516" spans="11:11" ht="19.2" customHeight="1" x14ac:dyDescent="0.3">
      <c r="K2516" s="8"/>
    </row>
    <row r="2517" spans="11:11" ht="19.2" customHeight="1" x14ac:dyDescent="0.3">
      <c r="K2517" s="8"/>
    </row>
    <row r="2518" spans="11:11" ht="19.2" customHeight="1" x14ac:dyDescent="0.3">
      <c r="K2518" s="8"/>
    </row>
    <row r="2519" spans="11:11" ht="19.2" customHeight="1" x14ac:dyDescent="0.3">
      <c r="K2519" s="8"/>
    </row>
    <row r="2520" spans="11:11" ht="19.2" customHeight="1" x14ac:dyDescent="0.3">
      <c r="K2520" s="8"/>
    </row>
    <row r="2521" spans="11:11" ht="19.2" customHeight="1" x14ac:dyDescent="0.3">
      <c r="K2521" s="8"/>
    </row>
    <row r="2522" spans="11:11" ht="19.2" customHeight="1" x14ac:dyDescent="0.3">
      <c r="K2522" s="8"/>
    </row>
    <row r="2523" spans="11:11" ht="19.2" customHeight="1" x14ac:dyDescent="0.3">
      <c r="K2523" s="8"/>
    </row>
    <row r="2524" spans="11:11" ht="19.2" customHeight="1" x14ac:dyDescent="0.3">
      <c r="K2524" s="8"/>
    </row>
    <row r="2525" spans="11:11" ht="19.2" customHeight="1" x14ac:dyDescent="0.3">
      <c r="K2525" s="8"/>
    </row>
    <row r="2526" spans="11:11" ht="19.2" customHeight="1" x14ac:dyDescent="0.3">
      <c r="K2526" s="8"/>
    </row>
    <row r="2527" spans="11:11" ht="19.2" customHeight="1" x14ac:dyDescent="0.3">
      <c r="K2527" s="8"/>
    </row>
    <row r="2528" spans="11:11" ht="19.2" customHeight="1" x14ac:dyDescent="0.3">
      <c r="K2528" s="8"/>
    </row>
    <row r="2529" spans="11:11" ht="19.2" customHeight="1" x14ac:dyDescent="0.3">
      <c r="K2529" s="8"/>
    </row>
    <row r="2530" spans="11:11" ht="19.2" customHeight="1" x14ac:dyDescent="0.3">
      <c r="K2530" s="8"/>
    </row>
    <row r="2531" spans="11:11" ht="19.2" customHeight="1" x14ac:dyDescent="0.3">
      <c r="K2531" s="8"/>
    </row>
    <row r="2532" spans="11:11" ht="19.2" customHeight="1" x14ac:dyDescent="0.3">
      <c r="K2532" s="8"/>
    </row>
    <row r="2533" spans="11:11" ht="19.2" customHeight="1" x14ac:dyDescent="0.3">
      <c r="K2533" s="8"/>
    </row>
    <row r="2534" spans="11:11" ht="19.2" customHeight="1" x14ac:dyDescent="0.3">
      <c r="K2534" s="8"/>
    </row>
    <row r="2535" spans="11:11" ht="19.2" customHeight="1" x14ac:dyDescent="0.3">
      <c r="K2535" s="8"/>
    </row>
    <row r="2536" spans="11:11" ht="19.2" customHeight="1" x14ac:dyDescent="0.3">
      <c r="K2536" s="8"/>
    </row>
    <row r="2537" spans="11:11" ht="19.2" customHeight="1" x14ac:dyDescent="0.3">
      <c r="K2537" s="8"/>
    </row>
    <row r="2538" spans="11:11" ht="19.2" customHeight="1" x14ac:dyDescent="0.3">
      <c r="K2538" s="8"/>
    </row>
    <row r="2539" spans="11:11" ht="19.2" customHeight="1" x14ac:dyDescent="0.3">
      <c r="K2539" s="8"/>
    </row>
    <row r="2540" spans="11:11" ht="19.2" customHeight="1" x14ac:dyDescent="0.3">
      <c r="K2540" s="8"/>
    </row>
    <row r="2541" spans="11:11" ht="19.2" customHeight="1" x14ac:dyDescent="0.3">
      <c r="K2541" s="8"/>
    </row>
    <row r="2542" spans="11:11" ht="19.2" customHeight="1" x14ac:dyDescent="0.3">
      <c r="K2542" s="8"/>
    </row>
    <row r="2543" spans="11:11" ht="19.2" customHeight="1" x14ac:dyDescent="0.3">
      <c r="K2543" s="8"/>
    </row>
    <row r="2544" spans="11:11" ht="19.2" customHeight="1" x14ac:dyDescent="0.3">
      <c r="K2544" s="8"/>
    </row>
    <row r="2545" spans="11:11" ht="19.2" customHeight="1" x14ac:dyDescent="0.3">
      <c r="K2545" s="8"/>
    </row>
    <row r="2546" spans="11:11" ht="19.2" customHeight="1" x14ac:dyDescent="0.3">
      <c r="K2546" s="8"/>
    </row>
    <row r="2547" spans="11:11" ht="19.2" customHeight="1" x14ac:dyDescent="0.3">
      <c r="K2547" s="8"/>
    </row>
    <row r="2548" spans="11:11" ht="19.2" customHeight="1" x14ac:dyDescent="0.3">
      <c r="K2548" s="8"/>
    </row>
    <row r="2549" spans="11:11" ht="19.2" customHeight="1" x14ac:dyDescent="0.3">
      <c r="K2549" s="8"/>
    </row>
    <row r="2550" spans="11:11" ht="19.2" customHeight="1" x14ac:dyDescent="0.3">
      <c r="K2550" s="8"/>
    </row>
    <row r="2551" spans="11:11" ht="19.2" customHeight="1" x14ac:dyDescent="0.3">
      <c r="K2551" s="8"/>
    </row>
    <row r="2552" spans="11:11" ht="19.2" customHeight="1" x14ac:dyDescent="0.3">
      <c r="K2552" s="8"/>
    </row>
    <row r="2553" spans="11:11" ht="19.2" customHeight="1" x14ac:dyDescent="0.3">
      <c r="K2553" s="8"/>
    </row>
    <row r="2554" spans="11:11" ht="19.2" customHeight="1" x14ac:dyDescent="0.3">
      <c r="K2554" s="8"/>
    </row>
    <row r="2555" spans="11:11" ht="19.2" customHeight="1" x14ac:dyDescent="0.3">
      <c r="K2555" s="8"/>
    </row>
    <row r="2556" spans="11:11" ht="19.2" customHeight="1" x14ac:dyDescent="0.3">
      <c r="K2556" s="8"/>
    </row>
    <row r="2557" spans="11:11" ht="19.2" customHeight="1" x14ac:dyDescent="0.3">
      <c r="K2557" s="8"/>
    </row>
    <row r="2558" spans="11:11" ht="19.2" customHeight="1" x14ac:dyDescent="0.3">
      <c r="K2558" s="8"/>
    </row>
    <row r="2559" spans="11:11" ht="19.2" customHeight="1" x14ac:dyDescent="0.3">
      <c r="K2559" s="8"/>
    </row>
    <row r="2560" spans="11:11" ht="19.2" customHeight="1" x14ac:dyDescent="0.3">
      <c r="K2560" s="8"/>
    </row>
    <row r="2561" spans="11:11" ht="19.2" customHeight="1" x14ac:dyDescent="0.3">
      <c r="K2561" s="8"/>
    </row>
    <row r="2562" spans="11:11" ht="19.2" customHeight="1" x14ac:dyDescent="0.3">
      <c r="K2562" s="8"/>
    </row>
    <row r="2563" spans="11:11" ht="19.2" customHeight="1" x14ac:dyDescent="0.3">
      <c r="K2563" s="8"/>
    </row>
    <row r="2564" spans="11:11" ht="19.2" customHeight="1" x14ac:dyDescent="0.3">
      <c r="K2564" s="8"/>
    </row>
    <row r="2565" spans="11:11" ht="19.2" customHeight="1" x14ac:dyDescent="0.3">
      <c r="K2565" s="8"/>
    </row>
    <row r="2566" spans="11:11" ht="19.2" customHeight="1" x14ac:dyDescent="0.3">
      <c r="K2566" s="8"/>
    </row>
    <row r="2567" spans="11:11" ht="19.2" customHeight="1" x14ac:dyDescent="0.3">
      <c r="K2567" s="8"/>
    </row>
    <row r="2568" spans="11:11" ht="19.2" customHeight="1" x14ac:dyDescent="0.3">
      <c r="K2568" s="8"/>
    </row>
    <row r="2569" spans="11:11" ht="19.2" customHeight="1" x14ac:dyDescent="0.3">
      <c r="K2569" s="8"/>
    </row>
    <row r="2570" spans="11:11" ht="19.2" customHeight="1" x14ac:dyDescent="0.3">
      <c r="K2570" s="8"/>
    </row>
    <row r="2571" spans="11:11" ht="19.2" customHeight="1" x14ac:dyDescent="0.3">
      <c r="K2571" s="8"/>
    </row>
    <row r="2572" spans="11:11" ht="19.2" customHeight="1" x14ac:dyDescent="0.3">
      <c r="K2572" s="8"/>
    </row>
    <row r="2573" spans="11:11" ht="19.2" customHeight="1" x14ac:dyDescent="0.3">
      <c r="K2573" s="8"/>
    </row>
    <row r="2574" spans="11:11" ht="19.2" customHeight="1" x14ac:dyDescent="0.3">
      <c r="K2574" s="8"/>
    </row>
    <row r="2575" spans="11:11" ht="19.2" customHeight="1" x14ac:dyDescent="0.3">
      <c r="K2575" s="8"/>
    </row>
    <row r="2576" spans="11:11" ht="19.2" customHeight="1" x14ac:dyDescent="0.3">
      <c r="K2576" s="8"/>
    </row>
    <row r="2577" spans="11:11" ht="19.2" customHeight="1" x14ac:dyDescent="0.3">
      <c r="K2577" s="8"/>
    </row>
    <row r="2578" spans="11:11" ht="19.2" customHeight="1" x14ac:dyDescent="0.3">
      <c r="K2578" s="8"/>
    </row>
    <row r="2579" spans="11:11" ht="19.2" customHeight="1" x14ac:dyDescent="0.3">
      <c r="K2579" s="8"/>
    </row>
    <row r="2580" spans="11:11" ht="19.2" customHeight="1" x14ac:dyDescent="0.3">
      <c r="K2580" s="8"/>
    </row>
    <row r="2581" spans="11:11" ht="19.2" customHeight="1" x14ac:dyDescent="0.3">
      <c r="K2581" s="8"/>
    </row>
    <row r="2582" spans="11:11" ht="19.2" customHeight="1" x14ac:dyDescent="0.3">
      <c r="K2582" s="8"/>
    </row>
    <row r="2583" spans="11:11" ht="19.2" customHeight="1" x14ac:dyDescent="0.3">
      <c r="K2583" s="8"/>
    </row>
    <row r="2584" spans="11:11" ht="19.2" customHeight="1" x14ac:dyDescent="0.3">
      <c r="K2584" s="8"/>
    </row>
    <row r="2585" spans="11:11" ht="19.2" customHeight="1" x14ac:dyDescent="0.3">
      <c r="K2585" s="8"/>
    </row>
    <row r="2586" spans="11:11" ht="19.2" customHeight="1" x14ac:dyDescent="0.3">
      <c r="K2586" s="8"/>
    </row>
    <row r="2587" spans="11:11" ht="19.2" customHeight="1" x14ac:dyDescent="0.3">
      <c r="K2587" s="8"/>
    </row>
    <row r="2588" spans="11:11" ht="19.2" customHeight="1" x14ac:dyDescent="0.3">
      <c r="K2588" s="8"/>
    </row>
    <row r="2589" spans="11:11" ht="19.2" customHeight="1" x14ac:dyDescent="0.3">
      <c r="K2589" s="8"/>
    </row>
    <row r="2590" spans="11:11" ht="19.2" customHeight="1" x14ac:dyDescent="0.3">
      <c r="K2590" s="8"/>
    </row>
    <row r="2591" spans="11:11" ht="19.2" customHeight="1" x14ac:dyDescent="0.3">
      <c r="K2591" s="8"/>
    </row>
    <row r="2592" spans="11:11" ht="19.2" customHeight="1" x14ac:dyDescent="0.3">
      <c r="K2592" s="8"/>
    </row>
    <row r="2593" spans="11:11" ht="19.2" customHeight="1" x14ac:dyDescent="0.3">
      <c r="K2593" s="8"/>
    </row>
    <row r="2594" spans="11:11" ht="19.2" customHeight="1" x14ac:dyDescent="0.3">
      <c r="K2594" s="8"/>
    </row>
    <row r="2595" spans="11:11" ht="19.2" customHeight="1" x14ac:dyDescent="0.3">
      <c r="K2595" s="8"/>
    </row>
    <row r="2596" spans="11:11" ht="19.2" customHeight="1" x14ac:dyDescent="0.3">
      <c r="K2596" s="8"/>
    </row>
    <row r="2597" spans="11:11" ht="19.2" customHeight="1" x14ac:dyDescent="0.3">
      <c r="K2597" s="8"/>
    </row>
    <row r="2598" spans="11:11" ht="19.2" customHeight="1" x14ac:dyDescent="0.3">
      <c r="K2598" s="8"/>
    </row>
    <row r="2599" spans="11:11" ht="19.2" customHeight="1" x14ac:dyDescent="0.3">
      <c r="K2599" s="8"/>
    </row>
    <row r="2600" spans="11:11" ht="19.2" customHeight="1" x14ac:dyDescent="0.3">
      <c r="K2600" s="8"/>
    </row>
    <row r="2601" spans="11:11" ht="19.2" customHeight="1" x14ac:dyDescent="0.3">
      <c r="K2601" s="8"/>
    </row>
    <row r="2602" spans="11:11" ht="19.2" customHeight="1" x14ac:dyDescent="0.3">
      <c r="K2602" s="8"/>
    </row>
    <row r="2603" spans="11:11" ht="19.2" customHeight="1" x14ac:dyDescent="0.3">
      <c r="K2603" s="8"/>
    </row>
    <row r="2604" spans="11:11" ht="19.2" customHeight="1" x14ac:dyDescent="0.3">
      <c r="K2604" s="8"/>
    </row>
    <row r="2605" spans="11:11" ht="19.2" customHeight="1" x14ac:dyDescent="0.3">
      <c r="K2605" s="8"/>
    </row>
    <row r="2606" spans="11:11" ht="19.2" customHeight="1" x14ac:dyDescent="0.3">
      <c r="K2606" s="8"/>
    </row>
    <row r="2607" spans="11:11" ht="19.2" customHeight="1" x14ac:dyDescent="0.3">
      <c r="K2607" s="8"/>
    </row>
    <row r="2608" spans="11:11" ht="19.2" customHeight="1" x14ac:dyDescent="0.3">
      <c r="K2608" s="8"/>
    </row>
    <row r="2609" spans="11:11" ht="19.2" customHeight="1" x14ac:dyDescent="0.3">
      <c r="K2609" s="8"/>
    </row>
    <row r="2610" spans="11:11" ht="19.2" customHeight="1" x14ac:dyDescent="0.3">
      <c r="K2610" s="8"/>
    </row>
    <row r="2611" spans="11:11" ht="19.2" customHeight="1" x14ac:dyDescent="0.3">
      <c r="K2611" s="8"/>
    </row>
    <row r="2612" spans="11:11" ht="19.2" customHeight="1" x14ac:dyDescent="0.3">
      <c r="K2612" s="8"/>
    </row>
    <row r="2613" spans="11:11" ht="19.2" customHeight="1" x14ac:dyDescent="0.3">
      <c r="K2613" s="8"/>
    </row>
    <row r="2614" spans="11:11" ht="19.2" customHeight="1" x14ac:dyDescent="0.3">
      <c r="K2614" s="8"/>
    </row>
    <row r="2615" spans="11:11" ht="19.2" customHeight="1" x14ac:dyDescent="0.3">
      <c r="K2615" s="8"/>
    </row>
    <row r="2616" spans="11:11" ht="19.2" customHeight="1" x14ac:dyDescent="0.3">
      <c r="K2616" s="8"/>
    </row>
    <row r="2617" spans="11:11" ht="19.2" customHeight="1" x14ac:dyDescent="0.3">
      <c r="K2617" s="8"/>
    </row>
    <row r="2618" spans="11:11" ht="19.2" customHeight="1" x14ac:dyDescent="0.3">
      <c r="K2618" s="8"/>
    </row>
    <row r="2619" spans="11:11" ht="19.2" customHeight="1" x14ac:dyDescent="0.3">
      <c r="K2619" s="8"/>
    </row>
    <row r="2620" spans="11:11" ht="19.2" customHeight="1" x14ac:dyDescent="0.3">
      <c r="K2620" s="8"/>
    </row>
    <row r="2621" spans="11:11" ht="19.2" customHeight="1" x14ac:dyDescent="0.3">
      <c r="K2621" s="8"/>
    </row>
    <row r="2622" spans="11:11" ht="19.2" customHeight="1" x14ac:dyDescent="0.3">
      <c r="K2622" s="8"/>
    </row>
    <row r="2623" spans="11:11" ht="19.2" customHeight="1" x14ac:dyDescent="0.3">
      <c r="K2623" s="8"/>
    </row>
    <row r="2624" spans="11:11" ht="19.2" customHeight="1" x14ac:dyDescent="0.3">
      <c r="K2624" s="8"/>
    </row>
    <row r="2625" spans="11:11" ht="19.2" customHeight="1" x14ac:dyDescent="0.3">
      <c r="K2625" s="8"/>
    </row>
    <row r="2626" spans="11:11" ht="19.2" customHeight="1" x14ac:dyDescent="0.3">
      <c r="K2626" s="8"/>
    </row>
    <row r="2627" spans="11:11" ht="19.2" customHeight="1" x14ac:dyDescent="0.3">
      <c r="K2627" s="8"/>
    </row>
    <row r="2628" spans="11:11" ht="19.2" customHeight="1" x14ac:dyDescent="0.3">
      <c r="K2628" s="8"/>
    </row>
    <row r="2629" spans="11:11" ht="19.2" customHeight="1" x14ac:dyDescent="0.3">
      <c r="K2629" s="8"/>
    </row>
    <row r="2630" spans="11:11" ht="19.2" customHeight="1" x14ac:dyDescent="0.3">
      <c r="K2630" s="8"/>
    </row>
    <row r="2631" spans="11:11" ht="19.2" customHeight="1" x14ac:dyDescent="0.3">
      <c r="K2631" s="8"/>
    </row>
    <row r="2632" spans="11:11" ht="19.2" customHeight="1" x14ac:dyDescent="0.3">
      <c r="K2632" s="8"/>
    </row>
    <row r="2633" spans="11:11" ht="19.2" customHeight="1" x14ac:dyDescent="0.3">
      <c r="K2633" s="8"/>
    </row>
    <row r="2634" spans="11:11" ht="19.2" customHeight="1" x14ac:dyDescent="0.3">
      <c r="K2634" s="8"/>
    </row>
    <row r="2635" spans="11:11" ht="19.2" customHeight="1" x14ac:dyDescent="0.3">
      <c r="K2635" s="8"/>
    </row>
    <row r="2636" spans="11:11" ht="19.2" customHeight="1" x14ac:dyDescent="0.3">
      <c r="K2636" s="8"/>
    </row>
    <row r="2637" spans="11:11" ht="19.2" customHeight="1" x14ac:dyDescent="0.3">
      <c r="K2637" s="8"/>
    </row>
    <row r="2638" spans="11:11" ht="19.2" customHeight="1" x14ac:dyDescent="0.3">
      <c r="K2638" s="8"/>
    </row>
    <row r="2639" spans="11:11" ht="19.2" customHeight="1" x14ac:dyDescent="0.3">
      <c r="K2639" s="8"/>
    </row>
    <row r="2640" spans="11:11" ht="19.2" customHeight="1" x14ac:dyDescent="0.3">
      <c r="K2640" s="8"/>
    </row>
    <row r="2641" spans="11:11" ht="19.2" customHeight="1" x14ac:dyDescent="0.3">
      <c r="K2641" s="8"/>
    </row>
    <row r="2642" spans="11:11" ht="19.2" customHeight="1" x14ac:dyDescent="0.3">
      <c r="K2642" s="8"/>
    </row>
    <row r="2643" spans="11:11" ht="19.2" customHeight="1" x14ac:dyDescent="0.3">
      <c r="K2643" s="8"/>
    </row>
    <row r="2644" spans="11:11" ht="19.2" customHeight="1" x14ac:dyDescent="0.3">
      <c r="K2644" s="8"/>
    </row>
    <row r="2645" spans="11:11" ht="19.2" customHeight="1" x14ac:dyDescent="0.3">
      <c r="K2645" s="8"/>
    </row>
    <row r="2646" spans="11:11" ht="19.2" customHeight="1" x14ac:dyDescent="0.3">
      <c r="K2646" s="8"/>
    </row>
    <row r="2647" spans="11:11" ht="19.2" customHeight="1" x14ac:dyDescent="0.3">
      <c r="K2647" s="8"/>
    </row>
    <row r="2648" spans="11:11" ht="19.2" customHeight="1" x14ac:dyDescent="0.3">
      <c r="K2648" s="8"/>
    </row>
    <row r="2649" spans="11:11" ht="19.2" customHeight="1" x14ac:dyDescent="0.3">
      <c r="K2649" s="8"/>
    </row>
    <row r="2650" spans="11:11" ht="19.2" customHeight="1" x14ac:dyDescent="0.3">
      <c r="K2650" s="8"/>
    </row>
    <row r="2651" spans="11:11" ht="19.2" customHeight="1" x14ac:dyDescent="0.3">
      <c r="K2651" s="8"/>
    </row>
    <row r="2652" spans="11:11" ht="19.2" customHeight="1" x14ac:dyDescent="0.3">
      <c r="K2652" s="8"/>
    </row>
    <row r="2653" spans="11:11" ht="19.2" customHeight="1" x14ac:dyDescent="0.3">
      <c r="K2653" s="8"/>
    </row>
    <row r="2654" spans="11:11" ht="19.2" customHeight="1" x14ac:dyDescent="0.3">
      <c r="K2654" s="8"/>
    </row>
    <row r="2655" spans="11:11" ht="19.2" customHeight="1" x14ac:dyDescent="0.3">
      <c r="K2655" s="8"/>
    </row>
    <row r="2656" spans="11:11" ht="19.2" customHeight="1" x14ac:dyDescent="0.3">
      <c r="K2656" s="8"/>
    </row>
    <row r="2657" spans="11:11" ht="19.2" customHeight="1" x14ac:dyDescent="0.3">
      <c r="K2657" s="8"/>
    </row>
    <row r="2658" spans="11:11" ht="19.2" customHeight="1" x14ac:dyDescent="0.3">
      <c r="K2658" s="8"/>
    </row>
    <row r="2659" spans="11:11" ht="19.2" customHeight="1" x14ac:dyDescent="0.3">
      <c r="K2659" s="8"/>
    </row>
    <row r="2660" spans="11:11" ht="19.2" customHeight="1" x14ac:dyDescent="0.3">
      <c r="K2660" s="8"/>
    </row>
    <row r="2661" spans="11:11" ht="19.2" customHeight="1" x14ac:dyDescent="0.3">
      <c r="K2661" s="8"/>
    </row>
    <row r="2662" spans="11:11" ht="19.2" customHeight="1" x14ac:dyDescent="0.3">
      <c r="K2662" s="8"/>
    </row>
    <row r="2663" spans="11:11" ht="19.2" customHeight="1" x14ac:dyDescent="0.3">
      <c r="K2663" s="8"/>
    </row>
    <row r="2664" spans="11:11" ht="19.2" customHeight="1" x14ac:dyDescent="0.3">
      <c r="K2664" s="8"/>
    </row>
    <row r="2665" spans="11:11" ht="19.2" customHeight="1" x14ac:dyDescent="0.3">
      <c r="K2665" s="8"/>
    </row>
    <row r="2666" spans="11:11" ht="19.2" customHeight="1" x14ac:dyDescent="0.3">
      <c r="K2666" s="8"/>
    </row>
    <row r="2667" spans="11:11" ht="19.2" customHeight="1" x14ac:dyDescent="0.3">
      <c r="K2667" s="8"/>
    </row>
    <row r="2668" spans="11:11" ht="19.2" customHeight="1" x14ac:dyDescent="0.3">
      <c r="K2668" s="8"/>
    </row>
    <row r="2669" spans="11:11" ht="19.2" customHeight="1" x14ac:dyDescent="0.3">
      <c r="K2669" s="8"/>
    </row>
    <row r="2670" spans="11:11" ht="19.2" customHeight="1" x14ac:dyDescent="0.3">
      <c r="K2670" s="8"/>
    </row>
    <row r="2671" spans="11:11" ht="19.2" customHeight="1" x14ac:dyDescent="0.3">
      <c r="K2671" s="8"/>
    </row>
    <row r="2672" spans="11:11" ht="19.2" customHeight="1" x14ac:dyDescent="0.3">
      <c r="K2672" s="8"/>
    </row>
    <row r="2673" spans="11:11" ht="19.2" customHeight="1" x14ac:dyDescent="0.3">
      <c r="K2673" s="8"/>
    </row>
    <row r="2674" spans="11:11" ht="19.2" customHeight="1" x14ac:dyDescent="0.3">
      <c r="K2674" s="8"/>
    </row>
    <row r="2675" spans="11:11" ht="19.2" customHeight="1" x14ac:dyDescent="0.3">
      <c r="K2675" s="8"/>
    </row>
    <row r="2676" spans="11:11" ht="19.2" customHeight="1" x14ac:dyDescent="0.3">
      <c r="K2676" s="8"/>
    </row>
    <row r="2677" spans="11:11" ht="19.2" customHeight="1" x14ac:dyDescent="0.3">
      <c r="K2677" s="8"/>
    </row>
    <row r="2678" spans="11:11" ht="19.2" customHeight="1" x14ac:dyDescent="0.3">
      <c r="K2678" s="8"/>
    </row>
    <row r="2679" spans="11:11" ht="19.2" customHeight="1" x14ac:dyDescent="0.3">
      <c r="K2679" s="8"/>
    </row>
    <row r="2680" spans="11:11" ht="19.2" customHeight="1" x14ac:dyDescent="0.3">
      <c r="K2680" s="8"/>
    </row>
    <row r="2681" spans="11:11" ht="19.2" customHeight="1" x14ac:dyDescent="0.3">
      <c r="K2681" s="8"/>
    </row>
    <row r="2682" spans="11:11" ht="19.2" customHeight="1" x14ac:dyDescent="0.3">
      <c r="K2682" s="8"/>
    </row>
    <row r="2683" spans="11:11" ht="19.2" customHeight="1" x14ac:dyDescent="0.3">
      <c r="K2683" s="8"/>
    </row>
    <row r="2684" spans="11:11" ht="19.2" customHeight="1" x14ac:dyDescent="0.3">
      <c r="K2684" s="8"/>
    </row>
    <row r="2685" spans="11:11" ht="19.2" customHeight="1" x14ac:dyDescent="0.3">
      <c r="K2685" s="8"/>
    </row>
    <row r="2686" spans="11:11" ht="19.2" customHeight="1" x14ac:dyDescent="0.3">
      <c r="K2686" s="8"/>
    </row>
    <row r="2687" spans="11:11" ht="19.2" customHeight="1" x14ac:dyDescent="0.3">
      <c r="K2687" s="8"/>
    </row>
    <row r="2688" spans="11:11" ht="19.2" customHeight="1" x14ac:dyDescent="0.3">
      <c r="K2688" s="8"/>
    </row>
    <row r="2689" spans="11:11" ht="19.2" customHeight="1" x14ac:dyDescent="0.3">
      <c r="K2689" s="8"/>
    </row>
    <row r="2690" spans="11:11" ht="19.2" customHeight="1" x14ac:dyDescent="0.3">
      <c r="K2690" s="8"/>
    </row>
    <row r="2691" spans="11:11" ht="19.2" customHeight="1" x14ac:dyDescent="0.3">
      <c r="K2691" s="8"/>
    </row>
    <row r="2692" spans="11:11" ht="19.2" customHeight="1" x14ac:dyDescent="0.3">
      <c r="K2692" s="8"/>
    </row>
    <row r="2693" spans="11:11" ht="19.2" customHeight="1" x14ac:dyDescent="0.3">
      <c r="K2693" s="8"/>
    </row>
    <row r="2694" spans="11:11" ht="19.2" customHeight="1" x14ac:dyDescent="0.3">
      <c r="K2694" s="8"/>
    </row>
    <row r="2695" spans="11:11" ht="19.2" customHeight="1" x14ac:dyDescent="0.3">
      <c r="K2695" s="8"/>
    </row>
    <row r="2696" spans="11:11" ht="19.2" customHeight="1" x14ac:dyDescent="0.3">
      <c r="K2696" s="8"/>
    </row>
    <row r="2697" spans="11:11" ht="19.2" customHeight="1" x14ac:dyDescent="0.3">
      <c r="K2697" s="8"/>
    </row>
    <row r="2698" spans="11:11" ht="19.2" customHeight="1" x14ac:dyDescent="0.3">
      <c r="K2698" s="8"/>
    </row>
    <row r="2699" spans="11:11" ht="19.2" customHeight="1" x14ac:dyDescent="0.3">
      <c r="K2699" s="8"/>
    </row>
    <row r="2700" spans="11:11" ht="19.2" customHeight="1" x14ac:dyDescent="0.3">
      <c r="K2700" s="8"/>
    </row>
    <row r="2701" spans="11:11" ht="19.2" customHeight="1" x14ac:dyDescent="0.3">
      <c r="K2701" s="8"/>
    </row>
    <row r="2702" spans="11:11" ht="19.2" customHeight="1" x14ac:dyDescent="0.3">
      <c r="K2702" s="8"/>
    </row>
    <row r="2703" spans="11:11" ht="19.2" customHeight="1" x14ac:dyDescent="0.3">
      <c r="K2703" s="8"/>
    </row>
    <row r="2704" spans="11:11" ht="19.2" customHeight="1" x14ac:dyDescent="0.3">
      <c r="K2704" s="8"/>
    </row>
    <row r="2705" spans="11:11" ht="19.2" customHeight="1" x14ac:dyDescent="0.3">
      <c r="K2705" s="8"/>
    </row>
    <row r="2706" spans="11:11" ht="19.2" customHeight="1" x14ac:dyDescent="0.3">
      <c r="K2706" s="8"/>
    </row>
    <row r="2707" spans="11:11" ht="19.2" customHeight="1" x14ac:dyDescent="0.3">
      <c r="K2707" s="8"/>
    </row>
    <row r="2708" spans="11:11" ht="19.2" customHeight="1" x14ac:dyDescent="0.3">
      <c r="K2708" s="8"/>
    </row>
    <row r="2709" spans="11:11" ht="19.2" customHeight="1" x14ac:dyDescent="0.3">
      <c r="K2709" s="8"/>
    </row>
    <row r="2710" spans="11:11" ht="19.2" customHeight="1" x14ac:dyDescent="0.3">
      <c r="K2710" s="8"/>
    </row>
    <row r="2711" spans="11:11" ht="19.2" customHeight="1" x14ac:dyDescent="0.3">
      <c r="K2711" s="8"/>
    </row>
    <row r="2712" spans="11:11" ht="19.2" customHeight="1" x14ac:dyDescent="0.3">
      <c r="K2712" s="8"/>
    </row>
    <row r="2713" spans="11:11" ht="19.2" customHeight="1" x14ac:dyDescent="0.3">
      <c r="K2713" s="8"/>
    </row>
    <row r="2714" spans="11:11" ht="19.2" customHeight="1" x14ac:dyDescent="0.3">
      <c r="K2714" s="8"/>
    </row>
    <row r="2715" spans="11:11" ht="19.2" customHeight="1" x14ac:dyDescent="0.3">
      <c r="K2715" s="8"/>
    </row>
    <row r="2716" spans="11:11" ht="19.2" customHeight="1" x14ac:dyDescent="0.3">
      <c r="K2716" s="8"/>
    </row>
    <row r="2717" spans="11:11" ht="19.2" customHeight="1" x14ac:dyDescent="0.3">
      <c r="K2717" s="8"/>
    </row>
    <row r="2718" spans="11:11" ht="19.2" customHeight="1" x14ac:dyDescent="0.3">
      <c r="K2718" s="8"/>
    </row>
    <row r="2719" spans="11:11" ht="19.2" customHeight="1" x14ac:dyDescent="0.3">
      <c r="K2719" s="8"/>
    </row>
    <row r="2720" spans="11:11" ht="19.2" customHeight="1" x14ac:dyDescent="0.3">
      <c r="K2720" s="8"/>
    </row>
    <row r="2721" spans="11:11" ht="19.2" customHeight="1" x14ac:dyDescent="0.3">
      <c r="K2721" s="8"/>
    </row>
    <row r="2722" spans="11:11" ht="19.2" customHeight="1" x14ac:dyDescent="0.3">
      <c r="K2722" s="8"/>
    </row>
    <row r="2723" spans="11:11" ht="19.2" customHeight="1" x14ac:dyDescent="0.3">
      <c r="K2723" s="8"/>
    </row>
    <row r="2724" spans="11:11" ht="19.2" customHeight="1" x14ac:dyDescent="0.3">
      <c r="K2724" s="8"/>
    </row>
    <row r="2725" spans="11:11" ht="19.2" customHeight="1" x14ac:dyDescent="0.3">
      <c r="K2725" s="8"/>
    </row>
    <row r="2726" spans="11:11" ht="19.2" customHeight="1" x14ac:dyDescent="0.3">
      <c r="K2726" s="8"/>
    </row>
    <row r="2727" spans="11:11" ht="19.2" customHeight="1" x14ac:dyDescent="0.3">
      <c r="K2727" s="8"/>
    </row>
    <row r="2728" spans="11:11" ht="19.2" customHeight="1" x14ac:dyDescent="0.3">
      <c r="K2728" s="8"/>
    </row>
    <row r="2729" spans="11:11" ht="19.2" customHeight="1" x14ac:dyDescent="0.3">
      <c r="K2729" s="8"/>
    </row>
    <row r="2730" spans="11:11" ht="19.2" customHeight="1" x14ac:dyDescent="0.3">
      <c r="K2730" s="8"/>
    </row>
    <row r="2731" spans="11:11" ht="19.2" customHeight="1" x14ac:dyDescent="0.3">
      <c r="K2731" s="8"/>
    </row>
    <row r="2732" spans="11:11" ht="19.2" customHeight="1" x14ac:dyDescent="0.3">
      <c r="K2732" s="8"/>
    </row>
    <row r="2733" spans="11:11" ht="19.2" customHeight="1" x14ac:dyDescent="0.3">
      <c r="K2733" s="8"/>
    </row>
    <row r="2734" spans="11:11" ht="19.2" customHeight="1" x14ac:dyDescent="0.3">
      <c r="K2734" s="8"/>
    </row>
    <row r="2735" spans="11:11" ht="19.2" customHeight="1" x14ac:dyDescent="0.3">
      <c r="K2735" s="8"/>
    </row>
    <row r="2736" spans="11:11" ht="19.2" customHeight="1" x14ac:dyDescent="0.3">
      <c r="K2736" s="8"/>
    </row>
    <row r="2737" spans="11:11" ht="19.2" customHeight="1" x14ac:dyDescent="0.3">
      <c r="K2737" s="8"/>
    </row>
    <row r="2738" spans="11:11" ht="19.2" customHeight="1" x14ac:dyDescent="0.3">
      <c r="K2738" s="8"/>
    </row>
    <row r="2739" spans="11:11" ht="19.2" customHeight="1" x14ac:dyDescent="0.3">
      <c r="K2739" s="8"/>
    </row>
    <row r="2740" spans="11:11" ht="19.2" customHeight="1" x14ac:dyDescent="0.3">
      <c r="K2740" s="8"/>
    </row>
    <row r="2741" spans="11:11" ht="19.2" customHeight="1" x14ac:dyDescent="0.3">
      <c r="K2741" s="8"/>
    </row>
    <row r="2742" spans="11:11" ht="19.2" customHeight="1" x14ac:dyDescent="0.3">
      <c r="K2742" s="8"/>
    </row>
    <row r="2743" spans="11:11" ht="19.2" customHeight="1" x14ac:dyDescent="0.3">
      <c r="K2743" s="8"/>
    </row>
    <row r="2744" spans="11:11" ht="19.2" customHeight="1" x14ac:dyDescent="0.3">
      <c r="K2744" s="8"/>
    </row>
    <row r="2745" spans="11:11" ht="19.2" customHeight="1" x14ac:dyDescent="0.3">
      <c r="K2745" s="8"/>
    </row>
    <row r="2746" spans="11:11" ht="19.2" customHeight="1" x14ac:dyDescent="0.3">
      <c r="K2746" s="8"/>
    </row>
    <row r="2747" spans="11:11" ht="19.2" customHeight="1" x14ac:dyDescent="0.3">
      <c r="K2747" s="8"/>
    </row>
    <row r="2748" spans="11:11" ht="19.2" customHeight="1" x14ac:dyDescent="0.3">
      <c r="K2748" s="8"/>
    </row>
    <row r="2749" spans="11:11" ht="19.2" customHeight="1" x14ac:dyDescent="0.3">
      <c r="K2749" s="8"/>
    </row>
    <row r="2750" spans="11:11" ht="19.2" customHeight="1" x14ac:dyDescent="0.3">
      <c r="K2750" s="8"/>
    </row>
    <row r="2751" spans="11:11" ht="19.2" customHeight="1" x14ac:dyDescent="0.3">
      <c r="K2751" s="8"/>
    </row>
    <row r="2752" spans="11:11" ht="19.2" customHeight="1" x14ac:dyDescent="0.3">
      <c r="K2752" s="8"/>
    </row>
    <row r="2753" spans="11:11" ht="19.2" customHeight="1" x14ac:dyDescent="0.3">
      <c r="K2753" s="8"/>
    </row>
    <row r="2754" spans="11:11" ht="19.2" customHeight="1" x14ac:dyDescent="0.3">
      <c r="K2754" s="8"/>
    </row>
    <row r="2755" spans="11:11" ht="19.2" customHeight="1" x14ac:dyDescent="0.3">
      <c r="K2755" s="8"/>
    </row>
    <row r="2756" spans="11:11" ht="19.2" customHeight="1" x14ac:dyDescent="0.3">
      <c r="K2756" s="8"/>
    </row>
    <row r="2757" spans="11:11" ht="19.2" customHeight="1" x14ac:dyDescent="0.3">
      <c r="K2757" s="8"/>
    </row>
    <row r="2758" spans="11:11" ht="19.2" customHeight="1" x14ac:dyDescent="0.3">
      <c r="K2758" s="8"/>
    </row>
    <row r="2759" spans="11:11" ht="19.2" customHeight="1" x14ac:dyDescent="0.3">
      <c r="K2759" s="8"/>
    </row>
    <row r="2760" spans="11:11" ht="19.2" customHeight="1" x14ac:dyDescent="0.3">
      <c r="K2760" s="8"/>
    </row>
    <row r="2761" spans="11:11" ht="19.2" customHeight="1" x14ac:dyDescent="0.3">
      <c r="K2761" s="8"/>
    </row>
    <row r="2762" spans="11:11" ht="19.2" customHeight="1" x14ac:dyDescent="0.3">
      <c r="K2762" s="8"/>
    </row>
    <row r="2763" spans="11:11" ht="19.2" customHeight="1" x14ac:dyDescent="0.3">
      <c r="K2763" s="8"/>
    </row>
    <row r="2764" spans="11:11" ht="19.2" customHeight="1" x14ac:dyDescent="0.3">
      <c r="K2764" s="8"/>
    </row>
    <row r="2765" spans="11:11" ht="19.2" customHeight="1" x14ac:dyDescent="0.3">
      <c r="K2765" s="8"/>
    </row>
    <row r="2766" spans="11:11" ht="19.2" customHeight="1" x14ac:dyDescent="0.3">
      <c r="K2766" s="8"/>
    </row>
    <row r="2767" spans="11:11" ht="19.2" customHeight="1" x14ac:dyDescent="0.3">
      <c r="K2767" s="8"/>
    </row>
    <row r="2768" spans="11:11" ht="19.2" customHeight="1" x14ac:dyDescent="0.3">
      <c r="K2768" s="8"/>
    </row>
    <row r="2769" spans="11:11" ht="19.2" customHeight="1" x14ac:dyDescent="0.3">
      <c r="K2769" s="8"/>
    </row>
    <row r="2770" spans="11:11" ht="19.2" customHeight="1" x14ac:dyDescent="0.3">
      <c r="K2770" s="8"/>
    </row>
    <row r="2771" spans="11:11" ht="19.2" customHeight="1" x14ac:dyDescent="0.3">
      <c r="K2771" s="8"/>
    </row>
    <row r="2772" spans="11:11" ht="19.2" customHeight="1" x14ac:dyDescent="0.3">
      <c r="K2772" s="8"/>
    </row>
    <row r="2773" spans="11:11" ht="19.2" customHeight="1" x14ac:dyDescent="0.3">
      <c r="K2773" s="8"/>
    </row>
    <row r="2774" spans="11:11" ht="19.2" customHeight="1" x14ac:dyDescent="0.3">
      <c r="K2774" s="8"/>
    </row>
    <row r="2775" spans="11:11" ht="19.2" customHeight="1" x14ac:dyDescent="0.3">
      <c r="K2775" s="8"/>
    </row>
    <row r="2776" spans="11:11" ht="19.2" customHeight="1" x14ac:dyDescent="0.3">
      <c r="K2776" s="8"/>
    </row>
    <row r="2777" spans="11:11" ht="19.2" customHeight="1" x14ac:dyDescent="0.3">
      <c r="K2777" s="8"/>
    </row>
    <row r="2778" spans="11:11" ht="19.2" customHeight="1" x14ac:dyDescent="0.3">
      <c r="K2778" s="8"/>
    </row>
    <row r="2779" spans="11:11" ht="19.2" customHeight="1" x14ac:dyDescent="0.3">
      <c r="K2779" s="8"/>
    </row>
    <row r="2780" spans="11:11" ht="19.2" customHeight="1" x14ac:dyDescent="0.3">
      <c r="K2780" s="8"/>
    </row>
    <row r="2781" spans="11:11" ht="19.2" customHeight="1" x14ac:dyDescent="0.3">
      <c r="K2781" s="8"/>
    </row>
    <row r="2782" spans="11:11" ht="19.2" customHeight="1" x14ac:dyDescent="0.3">
      <c r="K2782" s="8"/>
    </row>
    <row r="2783" spans="11:11" ht="19.2" customHeight="1" x14ac:dyDescent="0.3">
      <c r="K2783" s="8"/>
    </row>
    <row r="2784" spans="11:11" ht="19.2" customHeight="1" x14ac:dyDescent="0.3">
      <c r="K2784" s="8"/>
    </row>
    <row r="2785" spans="11:11" ht="19.2" customHeight="1" x14ac:dyDescent="0.3">
      <c r="K2785" s="8"/>
    </row>
    <row r="2786" spans="11:11" ht="19.2" customHeight="1" x14ac:dyDescent="0.3">
      <c r="K2786" s="8"/>
    </row>
    <row r="2787" spans="11:11" ht="19.2" customHeight="1" x14ac:dyDescent="0.3">
      <c r="K2787" s="8"/>
    </row>
    <row r="2788" spans="11:11" ht="19.2" customHeight="1" x14ac:dyDescent="0.3">
      <c r="K2788" s="8"/>
    </row>
    <row r="2789" spans="11:11" ht="19.2" customHeight="1" x14ac:dyDescent="0.3">
      <c r="K2789" s="8"/>
    </row>
    <row r="2790" spans="11:11" ht="19.2" customHeight="1" x14ac:dyDescent="0.3">
      <c r="K2790" s="8"/>
    </row>
    <row r="2791" spans="11:11" ht="19.2" customHeight="1" x14ac:dyDescent="0.3">
      <c r="K2791" s="8"/>
    </row>
    <row r="2792" spans="11:11" ht="19.2" customHeight="1" x14ac:dyDescent="0.3">
      <c r="K2792" s="8"/>
    </row>
    <row r="2793" spans="11:11" ht="19.2" customHeight="1" x14ac:dyDescent="0.3">
      <c r="K2793" s="8"/>
    </row>
    <row r="2794" spans="11:11" ht="19.2" customHeight="1" x14ac:dyDescent="0.3">
      <c r="K2794" s="8"/>
    </row>
    <row r="2795" spans="11:11" ht="19.2" customHeight="1" x14ac:dyDescent="0.3">
      <c r="K2795" s="8"/>
    </row>
    <row r="2796" spans="11:11" ht="19.2" customHeight="1" x14ac:dyDescent="0.3">
      <c r="K2796" s="8"/>
    </row>
    <row r="2797" spans="11:11" ht="19.2" customHeight="1" x14ac:dyDescent="0.3">
      <c r="K2797" s="8"/>
    </row>
    <row r="2798" spans="11:11" ht="19.2" customHeight="1" x14ac:dyDescent="0.3">
      <c r="K2798" s="8"/>
    </row>
    <row r="2799" spans="11:11" ht="19.2" customHeight="1" x14ac:dyDescent="0.3">
      <c r="K2799" s="8"/>
    </row>
    <row r="2800" spans="11:11" ht="19.2" customHeight="1" x14ac:dyDescent="0.3">
      <c r="K2800" s="8"/>
    </row>
    <row r="2801" spans="11:11" ht="19.2" customHeight="1" x14ac:dyDescent="0.3">
      <c r="K2801" s="8"/>
    </row>
    <row r="2802" spans="11:11" ht="19.2" customHeight="1" x14ac:dyDescent="0.3">
      <c r="K2802" s="8"/>
    </row>
    <row r="2803" spans="11:11" ht="19.2" customHeight="1" x14ac:dyDescent="0.3">
      <c r="K2803" s="8"/>
    </row>
    <row r="2804" spans="11:11" ht="19.2" customHeight="1" x14ac:dyDescent="0.3">
      <c r="K2804" s="8"/>
    </row>
    <row r="2805" spans="11:11" ht="19.2" customHeight="1" x14ac:dyDescent="0.3">
      <c r="K2805" s="8"/>
    </row>
    <row r="2806" spans="11:11" ht="19.2" customHeight="1" x14ac:dyDescent="0.3">
      <c r="K2806" s="8"/>
    </row>
    <row r="2807" spans="11:11" ht="19.2" customHeight="1" x14ac:dyDescent="0.3">
      <c r="K2807" s="8"/>
    </row>
    <row r="2808" spans="11:11" ht="19.2" customHeight="1" x14ac:dyDescent="0.3">
      <c r="K2808" s="8"/>
    </row>
    <row r="2809" spans="11:11" ht="19.2" customHeight="1" x14ac:dyDescent="0.3">
      <c r="K2809" s="8"/>
    </row>
    <row r="2810" spans="11:11" ht="19.2" customHeight="1" x14ac:dyDescent="0.3">
      <c r="K2810" s="8"/>
    </row>
    <row r="2811" spans="11:11" ht="19.2" customHeight="1" x14ac:dyDescent="0.3">
      <c r="K2811" s="8"/>
    </row>
    <row r="2812" spans="11:11" ht="19.2" customHeight="1" x14ac:dyDescent="0.3">
      <c r="K2812" s="8"/>
    </row>
    <row r="2813" spans="11:11" ht="19.2" customHeight="1" x14ac:dyDescent="0.3">
      <c r="K2813" s="8"/>
    </row>
    <row r="2814" spans="11:11" ht="19.2" customHeight="1" x14ac:dyDescent="0.3">
      <c r="K2814" s="8"/>
    </row>
    <row r="2815" spans="11:11" ht="19.2" customHeight="1" x14ac:dyDescent="0.3">
      <c r="K2815" s="8"/>
    </row>
    <row r="2816" spans="11:11" ht="19.2" customHeight="1" x14ac:dyDescent="0.3">
      <c r="K2816" s="8"/>
    </row>
    <row r="2817" spans="11:11" ht="19.2" customHeight="1" x14ac:dyDescent="0.3">
      <c r="K2817" s="8"/>
    </row>
    <row r="2818" spans="11:11" ht="19.2" customHeight="1" x14ac:dyDescent="0.3">
      <c r="K2818" s="8"/>
    </row>
    <row r="2819" spans="11:11" ht="19.2" customHeight="1" x14ac:dyDescent="0.3">
      <c r="K2819" s="8"/>
    </row>
    <row r="2820" spans="11:11" ht="19.2" customHeight="1" x14ac:dyDescent="0.3">
      <c r="K2820" s="8"/>
    </row>
    <row r="2821" spans="11:11" ht="19.2" customHeight="1" x14ac:dyDescent="0.3">
      <c r="K2821" s="8"/>
    </row>
    <row r="2822" spans="11:11" ht="19.2" customHeight="1" x14ac:dyDescent="0.3">
      <c r="K2822" s="8"/>
    </row>
    <row r="2823" spans="11:11" ht="19.2" customHeight="1" x14ac:dyDescent="0.3">
      <c r="K2823" s="8"/>
    </row>
    <row r="2824" spans="11:11" ht="19.2" customHeight="1" x14ac:dyDescent="0.3">
      <c r="K2824" s="8"/>
    </row>
    <row r="2825" spans="11:11" ht="19.2" customHeight="1" x14ac:dyDescent="0.3">
      <c r="K2825" s="8"/>
    </row>
    <row r="2826" spans="11:11" ht="19.2" customHeight="1" x14ac:dyDescent="0.3">
      <c r="K2826" s="8"/>
    </row>
    <row r="2827" spans="11:11" ht="19.2" customHeight="1" x14ac:dyDescent="0.3">
      <c r="K2827" s="8"/>
    </row>
    <row r="2828" spans="11:11" ht="19.2" customHeight="1" x14ac:dyDescent="0.3">
      <c r="K2828" s="8"/>
    </row>
    <row r="2829" spans="11:11" ht="19.2" customHeight="1" x14ac:dyDescent="0.3">
      <c r="K2829" s="8"/>
    </row>
    <row r="2830" spans="11:11" ht="19.2" customHeight="1" x14ac:dyDescent="0.3">
      <c r="K2830" s="8"/>
    </row>
    <row r="2831" spans="11:11" ht="19.2" customHeight="1" x14ac:dyDescent="0.3">
      <c r="K2831" s="8"/>
    </row>
    <row r="2832" spans="11:11" ht="19.2" customHeight="1" x14ac:dyDescent="0.3">
      <c r="K2832" s="8"/>
    </row>
    <row r="2833" spans="11:11" ht="19.2" customHeight="1" x14ac:dyDescent="0.3">
      <c r="K2833" s="8"/>
    </row>
    <row r="2834" spans="11:11" ht="19.2" customHeight="1" x14ac:dyDescent="0.3">
      <c r="K2834" s="8"/>
    </row>
    <row r="2835" spans="11:11" ht="19.2" customHeight="1" x14ac:dyDescent="0.3">
      <c r="K2835" s="8"/>
    </row>
    <row r="2836" spans="11:11" ht="19.2" customHeight="1" x14ac:dyDescent="0.3">
      <c r="K2836" s="8"/>
    </row>
    <row r="2837" spans="11:11" ht="19.2" customHeight="1" x14ac:dyDescent="0.3">
      <c r="K2837" s="8"/>
    </row>
    <row r="2838" spans="11:11" ht="19.2" customHeight="1" x14ac:dyDescent="0.3">
      <c r="K2838" s="8"/>
    </row>
    <row r="2839" spans="11:11" ht="19.2" customHeight="1" x14ac:dyDescent="0.3">
      <c r="K2839" s="8"/>
    </row>
    <row r="2840" spans="11:11" ht="19.2" customHeight="1" x14ac:dyDescent="0.3">
      <c r="K2840" s="8"/>
    </row>
    <row r="2841" spans="11:11" ht="19.2" customHeight="1" x14ac:dyDescent="0.3">
      <c r="K2841" s="8"/>
    </row>
    <row r="2842" spans="11:11" ht="19.2" customHeight="1" x14ac:dyDescent="0.3">
      <c r="K2842" s="8"/>
    </row>
    <row r="2843" spans="11:11" ht="19.2" customHeight="1" x14ac:dyDescent="0.3">
      <c r="K2843" s="8"/>
    </row>
    <row r="2844" spans="11:11" ht="19.2" customHeight="1" x14ac:dyDescent="0.3">
      <c r="K2844" s="8"/>
    </row>
    <row r="2845" spans="11:11" ht="19.2" customHeight="1" x14ac:dyDescent="0.3">
      <c r="K2845" s="8"/>
    </row>
    <row r="2846" spans="11:11" ht="19.2" customHeight="1" x14ac:dyDescent="0.3">
      <c r="K2846" s="8"/>
    </row>
    <row r="2847" spans="11:11" ht="19.2" customHeight="1" x14ac:dyDescent="0.3">
      <c r="K2847" s="8"/>
    </row>
    <row r="2848" spans="11:11" ht="19.2" customHeight="1" x14ac:dyDescent="0.3">
      <c r="K2848" s="8"/>
    </row>
    <row r="2849" spans="11:11" ht="19.2" customHeight="1" x14ac:dyDescent="0.3">
      <c r="K2849" s="8"/>
    </row>
    <row r="2850" spans="11:11" ht="19.2" customHeight="1" x14ac:dyDescent="0.3">
      <c r="K2850" s="8"/>
    </row>
    <row r="2851" spans="11:11" ht="19.2" customHeight="1" x14ac:dyDescent="0.3">
      <c r="K2851" s="8"/>
    </row>
    <row r="2852" spans="11:11" ht="19.2" customHeight="1" x14ac:dyDescent="0.3">
      <c r="K2852" s="8"/>
    </row>
    <row r="2853" spans="11:11" ht="19.2" customHeight="1" x14ac:dyDescent="0.3">
      <c r="K2853" s="8"/>
    </row>
    <row r="2854" spans="11:11" ht="19.2" customHeight="1" x14ac:dyDescent="0.3">
      <c r="K2854" s="8"/>
    </row>
    <row r="2855" spans="11:11" ht="19.2" customHeight="1" x14ac:dyDescent="0.3">
      <c r="K2855" s="8"/>
    </row>
    <row r="2856" spans="11:11" ht="19.2" customHeight="1" x14ac:dyDescent="0.3">
      <c r="K2856" s="8"/>
    </row>
    <row r="2857" spans="11:11" ht="19.2" customHeight="1" x14ac:dyDescent="0.3">
      <c r="K2857" s="8"/>
    </row>
    <row r="2858" spans="11:11" ht="19.2" customHeight="1" x14ac:dyDescent="0.3">
      <c r="K2858" s="8"/>
    </row>
    <row r="2859" spans="11:11" ht="19.2" customHeight="1" x14ac:dyDescent="0.3">
      <c r="K2859" s="8"/>
    </row>
    <row r="2860" spans="11:11" ht="19.2" customHeight="1" x14ac:dyDescent="0.3">
      <c r="K2860" s="8"/>
    </row>
    <row r="2861" spans="11:11" ht="19.2" customHeight="1" x14ac:dyDescent="0.3">
      <c r="K2861" s="8"/>
    </row>
    <row r="2862" spans="11:11" ht="19.2" customHeight="1" x14ac:dyDescent="0.3">
      <c r="K2862" s="8"/>
    </row>
    <row r="2863" spans="11:11" ht="19.2" customHeight="1" x14ac:dyDescent="0.3">
      <c r="K2863" s="8"/>
    </row>
    <row r="2864" spans="11:11" ht="19.2" customHeight="1" x14ac:dyDescent="0.3">
      <c r="K2864" s="8"/>
    </row>
    <row r="2865" spans="11:11" ht="19.2" customHeight="1" x14ac:dyDescent="0.3">
      <c r="K2865" s="8"/>
    </row>
    <row r="2866" spans="11:11" ht="19.2" customHeight="1" x14ac:dyDescent="0.3">
      <c r="K2866" s="8"/>
    </row>
    <row r="2867" spans="11:11" ht="19.2" customHeight="1" x14ac:dyDescent="0.3">
      <c r="K2867" s="8"/>
    </row>
    <row r="2868" spans="11:11" ht="19.2" customHeight="1" x14ac:dyDescent="0.3">
      <c r="K2868" s="8"/>
    </row>
    <row r="2869" spans="11:11" ht="19.2" customHeight="1" x14ac:dyDescent="0.3">
      <c r="K2869" s="8"/>
    </row>
    <row r="2870" spans="11:11" ht="19.2" customHeight="1" x14ac:dyDescent="0.3">
      <c r="K2870" s="8"/>
    </row>
    <row r="2871" spans="11:11" ht="19.2" customHeight="1" x14ac:dyDescent="0.3">
      <c r="K2871" s="8"/>
    </row>
    <row r="2872" spans="11:11" ht="19.2" customHeight="1" x14ac:dyDescent="0.3">
      <c r="K2872" s="8"/>
    </row>
    <row r="2873" spans="11:11" ht="19.2" customHeight="1" x14ac:dyDescent="0.3">
      <c r="K2873" s="8"/>
    </row>
    <row r="2874" spans="11:11" ht="19.2" customHeight="1" x14ac:dyDescent="0.3">
      <c r="K2874" s="8"/>
    </row>
    <row r="2875" spans="11:11" ht="19.2" customHeight="1" x14ac:dyDescent="0.3">
      <c r="K2875" s="8"/>
    </row>
    <row r="2876" spans="11:11" ht="19.2" customHeight="1" x14ac:dyDescent="0.3">
      <c r="K2876" s="8"/>
    </row>
    <row r="2877" spans="11:11" ht="19.2" customHeight="1" x14ac:dyDescent="0.3">
      <c r="K2877" s="8"/>
    </row>
    <row r="2878" spans="11:11" ht="19.2" customHeight="1" x14ac:dyDescent="0.3">
      <c r="K2878" s="8"/>
    </row>
    <row r="2879" spans="11:11" ht="19.2" customHeight="1" x14ac:dyDescent="0.3">
      <c r="K2879" s="8"/>
    </row>
    <row r="2880" spans="11:11" ht="19.2" customHeight="1" x14ac:dyDescent="0.3">
      <c r="K2880" s="8"/>
    </row>
    <row r="2881" spans="11:11" ht="19.2" customHeight="1" x14ac:dyDescent="0.3">
      <c r="K2881" s="8"/>
    </row>
    <row r="2882" spans="11:11" ht="19.2" customHeight="1" x14ac:dyDescent="0.3">
      <c r="K2882" s="8"/>
    </row>
    <row r="2883" spans="11:11" ht="19.2" customHeight="1" x14ac:dyDescent="0.3">
      <c r="K2883" s="8"/>
    </row>
    <row r="2884" spans="11:11" ht="19.2" customHeight="1" x14ac:dyDescent="0.3">
      <c r="K2884" s="8"/>
    </row>
    <row r="2885" spans="11:11" ht="19.2" customHeight="1" x14ac:dyDescent="0.3">
      <c r="K2885" s="8"/>
    </row>
    <row r="2886" spans="11:11" ht="19.2" customHeight="1" x14ac:dyDescent="0.3">
      <c r="K2886" s="8"/>
    </row>
    <row r="2887" spans="11:11" ht="19.2" customHeight="1" x14ac:dyDescent="0.3">
      <c r="K2887" s="8"/>
    </row>
    <row r="2888" spans="11:11" ht="19.2" customHeight="1" x14ac:dyDescent="0.3">
      <c r="K2888" s="8"/>
    </row>
    <row r="2889" spans="11:11" ht="19.2" customHeight="1" x14ac:dyDescent="0.3">
      <c r="K2889" s="8"/>
    </row>
    <row r="2890" spans="11:11" ht="19.2" customHeight="1" x14ac:dyDescent="0.3">
      <c r="K2890" s="8"/>
    </row>
    <row r="2891" spans="11:11" ht="19.2" customHeight="1" x14ac:dyDescent="0.3">
      <c r="K2891" s="8"/>
    </row>
    <row r="2892" spans="11:11" ht="19.2" customHeight="1" x14ac:dyDescent="0.3">
      <c r="K2892" s="8"/>
    </row>
    <row r="2893" spans="11:11" ht="19.2" customHeight="1" x14ac:dyDescent="0.3">
      <c r="K2893" s="8"/>
    </row>
    <row r="2894" spans="11:11" ht="19.2" customHeight="1" x14ac:dyDescent="0.3">
      <c r="K2894" s="8"/>
    </row>
    <row r="2895" spans="11:11" ht="19.2" customHeight="1" x14ac:dyDescent="0.3">
      <c r="K2895" s="8"/>
    </row>
    <row r="2896" spans="11:11" ht="19.2" customHeight="1" x14ac:dyDescent="0.3">
      <c r="K2896" s="8"/>
    </row>
    <row r="2897" spans="11:11" ht="19.2" customHeight="1" x14ac:dyDescent="0.3">
      <c r="K2897" s="8"/>
    </row>
    <row r="2898" spans="11:11" ht="19.2" customHeight="1" x14ac:dyDescent="0.3">
      <c r="K2898" s="8"/>
    </row>
    <row r="2899" spans="11:11" ht="19.2" customHeight="1" x14ac:dyDescent="0.3">
      <c r="K2899" s="8"/>
    </row>
    <row r="2900" spans="11:11" ht="19.2" customHeight="1" x14ac:dyDescent="0.3">
      <c r="K2900" s="8"/>
    </row>
    <row r="2901" spans="11:11" ht="19.2" customHeight="1" x14ac:dyDescent="0.3">
      <c r="K2901" s="8"/>
    </row>
    <row r="2902" spans="11:11" ht="19.2" customHeight="1" x14ac:dyDescent="0.3">
      <c r="K2902" s="8"/>
    </row>
    <row r="2903" spans="11:11" ht="19.2" customHeight="1" x14ac:dyDescent="0.3">
      <c r="K2903" s="8"/>
    </row>
    <row r="2904" spans="11:11" ht="19.2" customHeight="1" x14ac:dyDescent="0.3">
      <c r="K2904" s="8"/>
    </row>
    <row r="2905" spans="11:11" ht="19.2" customHeight="1" x14ac:dyDescent="0.3">
      <c r="K2905" s="8"/>
    </row>
    <row r="2906" spans="11:11" ht="19.2" customHeight="1" x14ac:dyDescent="0.3">
      <c r="K2906" s="8"/>
    </row>
    <row r="2907" spans="11:11" ht="19.2" customHeight="1" x14ac:dyDescent="0.3">
      <c r="K2907" s="8"/>
    </row>
    <row r="2908" spans="11:11" ht="19.2" customHeight="1" x14ac:dyDescent="0.3">
      <c r="K2908" s="8"/>
    </row>
    <row r="2909" spans="11:11" ht="19.2" customHeight="1" x14ac:dyDescent="0.3">
      <c r="K2909" s="8"/>
    </row>
    <row r="2910" spans="11:11" ht="19.2" customHeight="1" x14ac:dyDescent="0.3">
      <c r="K2910" s="8"/>
    </row>
    <row r="2911" spans="11:11" ht="19.2" customHeight="1" x14ac:dyDescent="0.3">
      <c r="K2911" s="8"/>
    </row>
    <row r="2912" spans="11:11" ht="19.2" customHeight="1" x14ac:dyDescent="0.3">
      <c r="K2912" s="8"/>
    </row>
    <row r="2913" spans="11:11" ht="19.2" customHeight="1" x14ac:dyDescent="0.3">
      <c r="K2913" s="8"/>
    </row>
    <row r="2914" spans="11:11" ht="19.2" customHeight="1" x14ac:dyDescent="0.3">
      <c r="K2914" s="8"/>
    </row>
    <row r="2915" spans="11:11" ht="19.2" customHeight="1" x14ac:dyDescent="0.3">
      <c r="K2915" s="8"/>
    </row>
    <row r="2916" spans="11:11" ht="19.2" customHeight="1" x14ac:dyDescent="0.3">
      <c r="K2916" s="8"/>
    </row>
    <row r="2917" spans="11:11" ht="19.2" customHeight="1" x14ac:dyDescent="0.3">
      <c r="K2917" s="8"/>
    </row>
    <row r="2918" spans="11:11" ht="19.2" customHeight="1" x14ac:dyDescent="0.3">
      <c r="K2918" s="8"/>
    </row>
    <row r="2919" spans="11:11" ht="19.2" customHeight="1" x14ac:dyDescent="0.3">
      <c r="K2919" s="8"/>
    </row>
    <row r="2920" spans="11:11" ht="19.2" customHeight="1" x14ac:dyDescent="0.3">
      <c r="K2920" s="8"/>
    </row>
    <row r="2921" spans="11:11" ht="19.2" customHeight="1" x14ac:dyDescent="0.3">
      <c r="K2921" s="8"/>
    </row>
    <row r="2922" spans="11:11" ht="19.2" customHeight="1" x14ac:dyDescent="0.3">
      <c r="K2922" s="8"/>
    </row>
    <row r="2923" spans="11:11" ht="19.2" customHeight="1" x14ac:dyDescent="0.3">
      <c r="K2923" s="8"/>
    </row>
    <row r="2924" spans="11:11" ht="19.2" customHeight="1" x14ac:dyDescent="0.3">
      <c r="K2924" s="8"/>
    </row>
    <row r="2925" spans="11:11" ht="19.2" customHeight="1" x14ac:dyDescent="0.3">
      <c r="K2925" s="8"/>
    </row>
    <row r="2926" spans="11:11" ht="19.2" customHeight="1" x14ac:dyDescent="0.3">
      <c r="K2926" s="8"/>
    </row>
    <row r="2927" spans="11:11" ht="19.2" customHeight="1" x14ac:dyDescent="0.3">
      <c r="K2927" s="8"/>
    </row>
    <row r="2928" spans="11:11" ht="19.2" customHeight="1" x14ac:dyDescent="0.3">
      <c r="K2928" s="8"/>
    </row>
    <row r="2929" spans="11:11" ht="19.2" customHeight="1" x14ac:dyDescent="0.3">
      <c r="K2929" s="8"/>
    </row>
    <row r="2930" spans="11:11" ht="19.2" customHeight="1" x14ac:dyDescent="0.3">
      <c r="K2930" s="8"/>
    </row>
    <row r="2931" spans="11:11" ht="19.2" customHeight="1" x14ac:dyDescent="0.3">
      <c r="K2931" s="8"/>
    </row>
    <row r="2932" spans="11:11" ht="19.2" customHeight="1" x14ac:dyDescent="0.3">
      <c r="K2932" s="8"/>
    </row>
    <row r="2933" spans="11:11" ht="19.2" customHeight="1" x14ac:dyDescent="0.3">
      <c r="K2933" s="8"/>
    </row>
    <row r="2934" spans="11:11" ht="19.2" customHeight="1" x14ac:dyDescent="0.3">
      <c r="K2934" s="8"/>
    </row>
    <row r="2935" spans="11:11" ht="19.2" customHeight="1" x14ac:dyDescent="0.3">
      <c r="K2935" s="8"/>
    </row>
    <row r="2936" spans="11:11" ht="19.2" customHeight="1" x14ac:dyDescent="0.3">
      <c r="K2936" s="8"/>
    </row>
    <row r="2937" spans="11:11" ht="19.2" customHeight="1" x14ac:dyDescent="0.3">
      <c r="K2937" s="8"/>
    </row>
    <row r="2938" spans="11:11" ht="19.2" customHeight="1" x14ac:dyDescent="0.3">
      <c r="K2938" s="8"/>
    </row>
    <row r="2939" spans="11:11" ht="19.2" customHeight="1" x14ac:dyDescent="0.3">
      <c r="K2939" s="8"/>
    </row>
    <row r="2940" spans="11:11" ht="19.2" customHeight="1" x14ac:dyDescent="0.3">
      <c r="K2940" s="8"/>
    </row>
    <row r="2941" spans="11:11" ht="19.2" customHeight="1" x14ac:dyDescent="0.3">
      <c r="K2941" s="8"/>
    </row>
    <row r="2942" spans="11:11" ht="19.2" customHeight="1" x14ac:dyDescent="0.3">
      <c r="K2942" s="8"/>
    </row>
    <row r="2943" spans="11:11" ht="19.2" customHeight="1" x14ac:dyDescent="0.3">
      <c r="K2943" s="8"/>
    </row>
    <row r="2944" spans="11:11" ht="19.2" customHeight="1" x14ac:dyDescent="0.3">
      <c r="K2944" s="8"/>
    </row>
    <row r="2945" spans="11:11" ht="19.2" customHeight="1" x14ac:dyDescent="0.3">
      <c r="K2945" s="8"/>
    </row>
    <row r="2946" spans="11:11" ht="19.2" customHeight="1" x14ac:dyDescent="0.3">
      <c r="K2946" s="8"/>
    </row>
    <row r="2947" spans="11:11" ht="19.2" customHeight="1" x14ac:dyDescent="0.3">
      <c r="K2947" s="8"/>
    </row>
    <row r="2948" spans="11:11" ht="19.2" customHeight="1" x14ac:dyDescent="0.3">
      <c r="K2948" s="8"/>
    </row>
    <row r="2949" spans="11:11" ht="19.2" customHeight="1" x14ac:dyDescent="0.3">
      <c r="K2949" s="8"/>
    </row>
    <row r="2950" spans="11:11" ht="19.2" customHeight="1" x14ac:dyDescent="0.3">
      <c r="K2950" s="8"/>
    </row>
    <row r="2951" spans="11:11" ht="19.2" customHeight="1" x14ac:dyDescent="0.3">
      <c r="K2951" s="8"/>
    </row>
    <row r="2952" spans="11:11" ht="19.2" customHeight="1" x14ac:dyDescent="0.3">
      <c r="K2952" s="8"/>
    </row>
    <row r="2953" spans="11:11" ht="19.2" customHeight="1" x14ac:dyDescent="0.3">
      <c r="K2953" s="8"/>
    </row>
    <row r="2954" spans="11:11" ht="19.2" customHeight="1" x14ac:dyDescent="0.3">
      <c r="K2954" s="8"/>
    </row>
    <row r="2955" spans="11:11" ht="19.2" customHeight="1" x14ac:dyDescent="0.3">
      <c r="K2955" s="8"/>
    </row>
    <row r="2956" spans="11:11" ht="19.2" customHeight="1" x14ac:dyDescent="0.3">
      <c r="K2956" s="8"/>
    </row>
    <row r="2957" spans="11:11" ht="19.2" customHeight="1" x14ac:dyDescent="0.3">
      <c r="K2957" s="8"/>
    </row>
    <row r="2958" spans="11:11" ht="19.2" customHeight="1" x14ac:dyDescent="0.3">
      <c r="K2958" s="8"/>
    </row>
    <row r="2959" spans="11:11" ht="19.2" customHeight="1" x14ac:dyDescent="0.3">
      <c r="K2959" s="8"/>
    </row>
    <row r="2960" spans="11:11" ht="19.2" customHeight="1" x14ac:dyDescent="0.3">
      <c r="K2960" s="8"/>
    </row>
    <row r="2961" spans="11:11" ht="19.2" customHeight="1" x14ac:dyDescent="0.3">
      <c r="K2961" s="8"/>
    </row>
    <row r="2962" spans="11:11" ht="19.2" customHeight="1" x14ac:dyDescent="0.3">
      <c r="K2962" s="8"/>
    </row>
    <row r="2963" spans="11:11" ht="19.2" customHeight="1" x14ac:dyDescent="0.3">
      <c r="K2963" s="8"/>
    </row>
    <row r="2964" spans="11:11" ht="19.2" customHeight="1" x14ac:dyDescent="0.3">
      <c r="K2964" s="8"/>
    </row>
    <row r="2965" spans="11:11" ht="19.2" customHeight="1" x14ac:dyDescent="0.3">
      <c r="K2965" s="8"/>
    </row>
    <row r="2966" spans="11:11" ht="19.2" customHeight="1" x14ac:dyDescent="0.3">
      <c r="K2966" s="8"/>
    </row>
    <row r="2967" spans="11:11" ht="19.2" customHeight="1" x14ac:dyDescent="0.3">
      <c r="K2967" s="8"/>
    </row>
    <row r="2968" spans="11:11" ht="19.2" customHeight="1" x14ac:dyDescent="0.3">
      <c r="K2968" s="8"/>
    </row>
    <row r="2969" spans="11:11" ht="19.2" customHeight="1" x14ac:dyDescent="0.3">
      <c r="K2969" s="8"/>
    </row>
    <row r="2970" spans="11:11" ht="19.2" customHeight="1" x14ac:dyDescent="0.3">
      <c r="K2970" s="8"/>
    </row>
    <row r="2971" spans="11:11" ht="19.2" customHeight="1" x14ac:dyDescent="0.3">
      <c r="K2971" s="8"/>
    </row>
    <row r="2972" spans="11:11" ht="19.2" customHeight="1" x14ac:dyDescent="0.3">
      <c r="K2972" s="8"/>
    </row>
    <row r="2973" spans="11:11" ht="19.2" customHeight="1" x14ac:dyDescent="0.3">
      <c r="K2973" s="8"/>
    </row>
    <row r="2974" spans="11:11" ht="19.2" customHeight="1" x14ac:dyDescent="0.3">
      <c r="K2974" s="8"/>
    </row>
    <row r="2975" spans="11:11" ht="19.2" customHeight="1" x14ac:dyDescent="0.3">
      <c r="K2975" s="8"/>
    </row>
    <row r="2976" spans="11:11" ht="19.2" customHeight="1" x14ac:dyDescent="0.3">
      <c r="K2976" s="8"/>
    </row>
    <row r="2977" spans="11:11" ht="19.2" customHeight="1" x14ac:dyDescent="0.3">
      <c r="K2977" s="8"/>
    </row>
    <row r="2978" spans="11:11" ht="19.2" customHeight="1" x14ac:dyDescent="0.3">
      <c r="K2978" s="8"/>
    </row>
    <row r="2979" spans="11:11" ht="19.2" customHeight="1" x14ac:dyDescent="0.3">
      <c r="K2979" s="8"/>
    </row>
    <row r="2980" spans="11:11" ht="19.2" customHeight="1" x14ac:dyDescent="0.3">
      <c r="K2980" s="8"/>
    </row>
    <row r="2981" spans="11:11" ht="19.2" customHeight="1" x14ac:dyDescent="0.3">
      <c r="K2981" s="8"/>
    </row>
    <row r="2982" spans="11:11" ht="19.2" customHeight="1" x14ac:dyDescent="0.3">
      <c r="K2982" s="8"/>
    </row>
    <row r="2983" spans="11:11" ht="19.2" customHeight="1" x14ac:dyDescent="0.3">
      <c r="K2983" s="8"/>
    </row>
    <row r="2984" spans="11:11" ht="19.2" customHeight="1" x14ac:dyDescent="0.3">
      <c r="K2984" s="8"/>
    </row>
    <row r="2985" spans="11:11" ht="19.2" customHeight="1" x14ac:dyDescent="0.3">
      <c r="K2985" s="8"/>
    </row>
    <row r="2986" spans="11:11" ht="19.2" customHeight="1" x14ac:dyDescent="0.3">
      <c r="K2986" s="8"/>
    </row>
    <row r="2987" spans="11:11" ht="19.2" customHeight="1" x14ac:dyDescent="0.3">
      <c r="K2987" s="8"/>
    </row>
    <row r="2988" spans="11:11" ht="19.2" customHeight="1" x14ac:dyDescent="0.3">
      <c r="K2988" s="8"/>
    </row>
    <row r="2989" spans="11:11" ht="19.2" customHeight="1" x14ac:dyDescent="0.3">
      <c r="K2989" s="8"/>
    </row>
    <row r="2990" spans="11:11" ht="19.2" customHeight="1" x14ac:dyDescent="0.3">
      <c r="K2990" s="8"/>
    </row>
    <row r="2991" spans="11:11" ht="19.2" customHeight="1" x14ac:dyDescent="0.3">
      <c r="K2991" s="8"/>
    </row>
    <row r="2992" spans="11:11" ht="19.2" customHeight="1" x14ac:dyDescent="0.3">
      <c r="K2992" s="8"/>
    </row>
    <row r="2993" spans="11:11" ht="19.2" customHeight="1" x14ac:dyDescent="0.3">
      <c r="K2993" s="8"/>
    </row>
    <row r="2994" spans="11:11" ht="19.2" customHeight="1" x14ac:dyDescent="0.3">
      <c r="K2994" s="8"/>
    </row>
    <row r="2995" spans="11:11" ht="19.2" customHeight="1" x14ac:dyDescent="0.3">
      <c r="K2995" s="8"/>
    </row>
    <row r="2996" spans="11:11" ht="19.2" customHeight="1" x14ac:dyDescent="0.3">
      <c r="K2996" s="8"/>
    </row>
    <row r="2997" spans="11:11" ht="19.2" customHeight="1" x14ac:dyDescent="0.3">
      <c r="K2997" s="8"/>
    </row>
    <row r="2998" spans="11:11" ht="19.2" customHeight="1" x14ac:dyDescent="0.3">
      <c r="K2998" s="8"/>
    </row>
    <row r="2999" spans="11:11" ht="19.2" customHeight="1" x14ac:dyDescent="0.3">
      <c r="K2999" s="8"/>
    </row>
    <row r="3000" spans="11:11" ht="19.2" customHeight="1" x14ac:dyDescent="0.3">
      <c r="K3000" s="8"/>
    </row>
    <row r="3001" spans="11:11" ht="19.2" customHeight="1" x14ac:dyDescent="0.3">
      <c r="K3001" s="8"/>
    </row>
    <row r="3002" spans="11:11" ht="19.2" customHeight="1" x14ac:dyDescent="0.3">
      <c r="K3002" s="8"/>
    </row>
    <row r="3003" spans="11:11" ht="19.2" customHeight="1" x14ac:dyDescent="0.3">
      <c r="K3003" s="8"/>
    </row>
    <row r="3004" spans="11:11" ht="19.2" customHeight="1" x14ac:dyDescent="0.3">
      <c r="K3004" s="8"/>
    </row>
    <row r="3005" spans="11:11" ht="19.2" customHeight="1" x14ac:dyDescent="0.3">
      <c r="K3005" s="8"/>
    </row>
    <row r="3006" spans="11:11" ht="19.2" customHeight="1" x14ac:dyDescent="0.3">
      <c r="K3006" s="8"/>
    </row>
    <row r="3007" spans="11:11" ht="19.2" customHeight="1" x14ac:dyDescent="0.3">
      <c r="K3007" s="8"/>
    </row>
    <row r="3008" spans="11:11" ht="19.2" customHeight="1" x14ac:dyDescent="0.3">
      <c r="K3008" s="8"/>
    </row>
    <row r="3009" spans="11:11" ht="19.2" customHeight="1" x14ac:dyDescent="0.3">
      <c r="K3009" s="8"/>
    </row>
    <row r="3010" spans="11:11" ht="19.2" customHeight="1" x14ac:dyDescent="0.3">
      <c r="K3010" s="8"/>
    </row>
    <row r="3011" spans="11:11" ht="19.2" customHeight="1" x14ac:dyDescent="0.3">
      <c r="K3011" s="8"/>
    </row>
    <row r="3012" spans="11:11" ht="19.2" customHeight="1" x14ac:dyDescent="0.3">
      <c r="K3012" s="8"/>
    </row>
    <row r="3013" spans="11:11" ht="19.2" customHeight="1" x14ac:dyDescent="0.3">
      <c r="K3013" s="8"/>
    </row>
    <row r="3014" spans="11:11" ht="19.2" customHeight="1" x14ac:dyDescent="0.3">
      <c r="K3014" s="8"/>
    </row>
    <row r="3015" spans="11:11" ht="19.2" customHeight="1" x14ac:dyDescent="0.3">
      <c r="K3015" s="8"/>
    </row>
    <row r="3016" spans="11:11" ht="19.2" customHeight="1" x14ac:dyDescent="0.3">
      <c r="K3016" s="8"/>
    </row>
    <row r="3017" spans="11:11" ht="19.2" customHeight="1" x14ac:dyDescent="0.3">
      <c r="K3017" s="8"/>
    </row>
    <row r="3018" spans="11:11" ht="19.2" customHeight="1" x14ac:dyDescent="0.3">
      <c r="K3018" s="8"/>
    </row>
    <row r="3019" spans="11:11" ht="19.2" customHeight="1" x14ac:dyDescent="0.3">
      <c r="K3019" s="8"/>
    </row>
    <row r="3020" spans="11:11" ht="19.2" customHeight="1" x14ac:dyDescent="0.3">
      <c r="K3020" s="8"/>
    </row>
    <row r="3021" spans="11:11" ht="19.2" customHeight="1" x14ac:dyDescent="0.3">
      <c r="K3021" s="8"/>
    </row>
    <row r="3022" spans="11:11" ht="19.2" customHeight="1" x14ac:dyDescent="0.3">
      <c r="K3022" s="8"/>
    </row>
    <row r="3023" spans="11:11" ht="19.2" customHeight="1" x14ac:dyDescent="0.3">
      <c r="K3023" s="8"/>
    </row>
    <row r="3024" spans="11:11" ht="19.2" customHeight="1" x14ac:dyDescent="0.3">
      <c r="K3024" s="8"/>
    </row>
    <row r="3025" spans="11:11" ht="19.2" customHeight="1" x14ac:dyDescent="0.3">
      <c r="K3025" s="8"/>
    </row>
    <row r="3026" spans="11:11" ht="19.2" customHeight="1" x14ac:dyDescent="0.3">
      <c r="K3026" s="8"/>
    </row>
    <row r="3027" spans="11:11" ht="19.2" customHeight="1" x14ac:dyDescent="0.3">
      <c r="K3027" s="8"/>
    </row>
    <row r="3028" spans="11:11" ht="19.2" customHeight="1" x14ac:dyDescent="0.3">
      <c r="K3028" s="8"/>
    </row>
    <row r="3029" spans="11:11" ht="19.2" customHeight="1" x14ac:dyDescent="0.3">
      <c r="K3029" s="8"/>
    </row>
    <row r="3030" spans="11:11" ht="19.2" customHeight="1" x14ac:dyDescent="0.3">
      <c r="K3030" s="8"/>
    </row>
    <row r="3031" spans="11:11" ht="19.2" customHeight="1" x14ac:dyDescent="0.3">
      <c r="K3031" s="8"/>
    </row>
    <row r="3032" spans="11:11" ht="19.2" customHeight="1" x14ac:dyDescent="0.3">
      <c r="K3032" s="8"/>
    </row>
    <row r="3033" spans="11:11" ht="19.2" customHeight="1" x14ac:dyDescent="0.3">
      <c r="K3033" s="8"/>
    </row>
    <row r="3034" spans="11:11" ht="19.2" customHeight="1" x14ac:dyDescent="0.3">
      <c r="K3034" s="8"/>
    </row>
    <row r="3035" spans="11:11" ht="19.2" customHeight="1" x14ac:dyDescent="0.3">
      <c r="K3035" s="8"/>
    </row>
    <row r="3036" spans="11:11" ht="19.2" customHeight="1" x14ac:dyDescent="0.3">
      <c r="K3036" s="8"/>
    </row>
    <row r="3037" spans="11:11" ht="19.2" customHeight="1" x14ac:dyDescent="0.3">
      <c r="K3037" s="8"/>
    </row>
    <row r="3038" spans="11:11" ht="19.2" customHeight="1" x14ac:dyDescent="0.3">
      <c r="K3038" s="8"/>
    </row>
    <row r="3039" spans="11:11" ht="19.2" customHeight="1" x14ac:dyDescent="0.3">
      <c r="K3039" s="8"/>
    </row>
    <row r="3040" spans="11:11" ht="19.2" customHeight="1" x14ac:dyDescent="0.3">
      <c r="K3040" s="8"/>
    </row>
    <row r="3041" spans="11:11" ht="19.2" customHeight="1" x14ac:dyDescent="0.3">
      <c r="K3041" s="8"/>
    </row>
    <row r="3042" spans="11:11" ht="19.2" customHeight="1" x14ac:dyDescent="0.3">
      <c r="K3042" s="8"/>
    </row>
    <row r="3043" spans="11:11" ht="19.2" customHeight="1" x14ac:dyDescent="0.3">
      <c r="K3043" s="8"/>
    </row>
    <row r="3044" spans="11:11" ht="19.2" customHeight="1" x14ac:dyDescent="0.3">
      <c r="K3044" s="8"/>
    </row>
    <row r="3045" spans="11:11" ht="19.2" customHeight="1" x14ac:dyDescent="0.3">
      <c r="K3045" s="8"/>
    </row>
    <row r="3046" spans="11:11" ht="19.2" customHeight="1" x14ac:dyDescent="0.3">
      <c r="K3046" s="8"/>
    </row>
    <row r="3047" spans="11:11" ht="19.2" customHeight="1" x14ac:dyDescent="0.3">
      <c r="K3047" s="8"/>
    </row>
    <row r="3048" spans="11:11" ht="19.2" customHeight="1" x14ac:dyDescent="0.3">
      <c r="K3048" s="8"/>
    </row>
    <row r="3049" spans="11:11" ht="19.2" customHeight="1" x14ac:dyDescent="0.3">
      <c r="K3049" s="8"/>
    </row>
    <row r="3050" spans="11:11" ht="19.2" customHeight="1" x14ac:dyDescent="0.3">
      <c r="K3050" s="8"/>
    </row>
    <row r="3051" spans="11:11" ht="19.2" customHeight="1" x14ac:dyDescent="0.3">
      <c r="K3051" s="8"/>
    </row>
    <row r="3052" spans="11:11" ht="19.2" customHeight="1" x14ac:dyDescent="0.3">
      <c r="K3052" s="8"/>
    </row>
    <row r="3053" spans="11:11" ht="19.2" customHeight="1" x14ac:dyDescent="0.3">
      <c r="K3053" s="8"/>
    </row>
    <row r="3054" spans="11:11" ht="19.2" customHeight="1" x14ac:dyDescent="0.3">
      <c r="K3054" s="8"/>
    </row>
    <row r="3055" spans="11:11" ht="19.2" customHeight="1" x14ac:dyDescent="0.3">
      <c r="K3055" s="8"/>
    </row>
    <row r="3056" spans="11:11" ht="19.2" customHeight="1" x14ac:dyDescent="0.3">
      <c r="K3056" s="8"/>
    </row>
    <row r="3057" spans="11:11" ht="19.2" customHeight="1" x14ac:dyDescent="0.3">
      <c r="K3057" s="8"/>
    </row>
    <row r="3058" spans="11:11" ht="19.2" customHeight="1" x14ac:dyDescent="0.3">
      <c r="K3058" s="8"/>
    </row>
    <row r="3059" spans="11:11" ht="19.2" customHeight="1" x14ac:dyDescent="0.3">
      <c r="K3059" s="8"/>
    </row>
    <row r="3060" spans="11:11" ht="19.2" customHeight="1" x14ac:dyDescent="0.3">
      <c r="K3060" s="8"/>
    </row>
    <row r="3061" spans="11:11" ht="19.2" customHeight="1" x14ac:dyDescent="0.3">
      <c r="K3061" s="8"/>
    </row>
    <row r="3062" spans="11:11" ht="19.2" customHeight="1" x14ac:dyDescent="0.3">
      <c r="K3062" s="8"/>
    </row>
    <row r="3063" spans="11:11" ht="19.2" customHeight="1" x14ac:dyDescent="0.3">
      <c r="K3063" s="8"/>
    </row>
    <row r="3064" spans="11:11" ht="19.2" customHeight="1" x14ac:dyDescent="0.3">
      <c r="K3064" s="8"/>
    </row>
    <row r="3065" spans="11:11" ht="19.2" customHeight="1" x14ac:dyDescent="0.3">
      <c r="K3065" s="8"/>
    </row>
    <row r="3066" spans="11:11" ht="19.2" customHeight="1" x14ac:dyDescent="0.3">
      <c r="K3066" s="8"/>
    </row>
    <row r="3067" spans="11:11" ht="19.2" customHeight="1" x14ac:dyDescent="0.3">
      <c r="K3067" s="8"/>
    </row>
    <row r="3068" spans="11:11" ht="19.2" customHeight="1" x14ac:dyDescent="0.3">
      <c r="K3068" s="8"/>
    </row>
    <row r="3069" spans="11:11" ht="19.2" customHeight="1" x14ac:dyDescent="0.3">
      <c r="K3069" s="8"/>
    </row>
    <row r="3070" spans="11:11" ht="19.2" customHeight="1" x14ac:dyDescent="0.3">
      <c r="K3070" s="8"/>
    </row>
    <row r="3071" spans="11:11" ht="19.2" customHeight="1" x14ac:dyDescent="0.3">
      <c r="K3071" s="8"/>
    </row>
    <row r="3072" spans="11:11" ht="19.2" customHeight="1" x14ac:dyDescent="0.3">
      <c r="K3072" s="8"/>
    </row>
    <row r="3073" spans="11:11" ht="19.2" customHeight="1" x14ac:dyDescent="0.3">
      <c r="K3073" s="8"/>
    </row>
    <row r="3074" spans="11:11" ht="19.2" customHeight="1" x14ac:dyDescent="0.3">
      <c r="K3074" s="8"/>
    </row>
    <row r="3075" spans="11:11" ht="19.2" customHeight="1" x14ac:dyDescent="0.3">
      <c r="K3075" s="8"/>
    </row>
    <row r="3076" spans="11:11" ht="19.2" customHeight="1" x14ac:dyDescent="0.3">
      <c r="K3076" s="8"/>
    </row>
    <row r="3077" spans="11:11" ht="19.2" customHeight="1" x14ac:dyDescent="0.3">
      <c r="K3077" s="8"/>
    </row>
    <row r="3078" spans="11:11" ht="19.2" customHeight="1" x14ac:dyDescent="0.3">
      <c r="K3078" s="8"/>
    </row>
    <row r="3079" spans="11:11" ht="19.2" customHeight="1" x14ac:dyDescent="0.3">
      <c r="K3079" s="8"/>
    </row>
    <row r="3080" spans="11:11" ht="19.2" customHeight="1" x14ac:dyDescent="0.3">
      <c r="K3080" s="8"/>
    </row>
    <row r="3081" spans="11:11" ht="19.2" customHeight="1" x14ac:dyDescent="0.3">
      <c r="K3081" s="8"/>
    </row>
    <row r="3082" spans="11:11" ht="19.2" customHeight="1" x14ac:dyDescent="0.3">
      <c r="K3082" s="8"/>
    </row>
    <row r="3083" spans="11:11" ht="19.2" customHeight="1" x14ac:dyDescent="0.3">
      <c r="K3083" s="8"/>
    </row>
    <row r="3084" spans="11:11" ht="19.2" customHeight="1" x14ac:dyDescent="0.3">
      <c r="K3084" s="8"/>
    </row>
    <row r="3085" spans="11:11" ht="19.2" customHeight="1" x14ac:dyDescent="0.3">
      <c r="K3085" s="8"/>
    </row>
    <row r="3086" spans="11:11" ht="19.2" customHeight="1" x14ac:dyDescent="0.3">
      <c r="K3086" s="8"/>
    </row>
    <row r="3087" spans="11:11" ht="19.2" customHeight="1" x14ac:dyDescent="0.3">
      <c r="K3087" s="8"/>
    </row>
    <row r="3088" spans="11:11" ht="19.2" customHeight="1" x14ac:dyDescent="0.3">
      <c r="K3088" s="8"/>
    </row>
    <row r="3089" spans="11:11" ht="19.2" customHeight="1" x14ac:dyDescent="0.3">
      <c r="K3089" s="8"/>
    </row>
    <row r="3090" spans="11:11" ht="19.2" customHeight="1" x14ac:dyDescent="0.3">
      <c r="K3090" s="8"/>
    </row>
    <row r="3091" spans="11:11" ht="19.2" customHeight="1" x14ac:dyDescent="0.3">
      <c r="K3091" s="8"/>
    </row>
    <row r="3092" spans="11:11" ht="19.2" customHeight="1" x14ac:dyDescent="0.3">
      <c r="K3092" s="8"/>
    </row>
    <row r="3093" spans="11:11" ht="19.2" customHeight="1" x14ac:dyDescent="0.3">
      <c r="K3093" s="8"/>
    </row>
    <row r="3094" spans="11:11" ht="19.2" customHeight="1" x14ac:dyDescent="0.3">
      <c r="K3094" s="8"/>
    </row>
    <row r="3095" spans="11:11" ht="19.2" customHeight="1" x14ac:dyDescent="0.3">
      <c r="K3095" s="8"/>
    </row>
    <row r="3096" spans="11:11" ht="19.2" customHeight="1" x14ac:dyDescent="0.3">
      <c r="K3096" s="8"/>
    </row>
    <row r="3097" spans="11:11" ht="19.2" customHeight="1" x14ac:dyDescent="0.3">
      <c r="K3097" s="8"/>
    </row>
    <row r="3098" spans="11:11" ht="19.2" customHeight="1" x14ac:dyDescent="0.3">
      <c r="K3098" s="8"/>
    </row>
    <row r="3099" spans="11:11" ht="19.2" customHeight="1" x14ac:dyDescent="0.3">
      <c r="K3099" s="8"/>
    </row>
    <row r="3100" spans="11:11" ht="19.2" customHeight="1" x14ac:dyDescent="0.3">
      <c r="K3100" s="8"/>
    </row>
    <row r="3101" spans="11:11" ht="19.2" customHeight="1" x14ac:dyDescent="0.3">
      <c r="K3101" s="8"/>
    </row>
    <row r="3102" spans="11:11" ht="19.2" customHeight="1" x14ac:dyDescent="0.3">
      <c r="K3102" s="8"/>
    </row>
    <row r="3103" spans="11:11" ht="19.2" customHeight="1" x14ac:dyDescent="0.3">
      <c r="K3103" s="8"/>
    </row>
    <row r="3104" spans="11:11" ht="19.2" customHeight="1" x14ac:dyDescent="0.3">
      <c r="K3104" s="8"/>
    </row>
    <row r="3105" spans="11:11" ht="19.2" customHeight="1" x14ac:dyDescent="0.3">
      <c r="K3105" s="8"/>
    </row>
    <row r="3106" spans="11:11" ht="19.2" customHeight="1" x14ac:dyDescent="0.3">
      <c r="K3106" s="8"/>
    </row>
    <row r="3107" spans="11:11" ht="19.2" customHeight="1" x14ac:dyDescent="0.3">
      <c r="K3107" s="8"/>
    </row>
    <row r="3108" spans="11:11" ht="19.2" customHeight="1" x14ac:dyDescent="0.3">
      <c r="K3108" s="8"/>
    </row>
    <row r="3109" spans="11:11" ht="19.2" customHeight="1" x14ac:dyDescent="0.3">
      <c r="K3109" s="8"/>
    </row>
    <row r="3110" spans="11:11" ht="19.2" customHeight="1" x14ac:dyDescent="0.3">
      <c r="K3110" s="8"/>
    </row>
    <row r="3111" spans="11:11" ht="19.2" customHeight="1" x14ac:dyDescent="0.3">
      <c r="K3111" s="8"/>
    </row>
    <row r="3112" spans="11:11" ht="19.2" customHeight="1" x14ac:dyDescent="0.3">
      <c r="K3112" s="8"/>
    </row>
    <row r="3113" spans="11:11" ht="19.2" customHeight="1" x14ac:dyDescent="0.3">
      <c r="K3113" s="8"/>
    </row>
    <row r="3114" spans="11:11" ht="19.2" customHeight="1" x14ac:dyDescent="0.3">
      <c r="K3114" s="8"/>
    </row>
    <row r="3115" spans="11:11" ht="19.2" customHeight="1" x14ac:dyDescent="0.3">
      <c r="K3115" s="8"/>
    </row>
    <row r="3116" spans="11:11" ht="19.2" customHeight="1" x14ac:dyDescent="0.3">
      <c r="K3116" s="8"/>
    </row>
    <row r="3117" spans="11:11" ht="19.2" customHeight="1" x14ac:dyDescent="0.3">
      <c r="K3117" s="8"/>
    </row>
    <row r="3118" spans="11:11" ht="19.2" customHeight="1" x14ac:dyDescent="0.3">
      <c r="K3118" s="8"/>
    </row>
    <row r="3119" spans="11:11" ht="19.2" customHeight="1" x14ac:dyDescent="0.3">
      <c r="K3119" s="8"/>
    </row>
    <row r="3120" spans="11:11" ht="19.2" customHeight="1" x14ac:dyDescent="0.3">
      <c r="K3120" s="8"/>
    </row>
    <row r="3121" spans="11:11" ht="19.2" customHeight="1" x14ac:dyDescent="0.3">
      <c r="K3121" s="8"/>
    </row>
    <row r="3122" spans="11:11" ht="19.2" customHeight="1" x14ac:dyDescent="0.3">
      <c r="K3122" s="8"/>
    </row>
    <row r="3123" spans="11:11" ht="19.2" customHeight="1" x14ac:dyDescent="0.3">
      <c r="K3123" s="8"/>
    </row>
    <row r="3124" spans="11:11" ht="19.2" customHeight="1" x14ac:dyDescent="0.3">
      <c r="K3124" s="8"/>
    </row>
    <row r="3125" spans="11:11" ht="19.2" customHeight="1" x14ac:dyDescent="0.3">
      <c r="K3125" s="8"/>
    </row>
    <row r="3126" spans="11:11" ht="19.2" customHeight="1" x14ac:dyDescent="0.3">
      <c r="K3126" s="8"/>
    </row>
    <row r="3127" spans="11:11" ht="19.2" customHeight="1" x14ac:dyDescent="0.3">
      <c r="K3127" s="8"/>
    </row>
    <row r="3128" spans="11:11" ht="19.2" customHeight="1" x14ac:dyDescent="0.3">
      <c r="K3128" s="8"/>
    </row>
    <row r="3129" spans="11:11" ht="19.2" customHeight="1" x14ac:dyDescent="0.3">
      <c r="K3129" s="8"/>
    </row>
  </sheetData>
  <mergeCells count="2">
    <mergeCell ref="S9:U9"/>
    <mergeCell ref="J9:Q9"/>
  </mergeCells>
  <conditionalFormatting pivot="1">
    <cfRule type="cellIs" dxfId="59" priority="9" operator="lessThan">
      <formula>0</formula>
    </cfRule>
  </conditionalFormatting>
  <conditionalFormatting pivot="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{5383E3AA-F129-4DD7-BC4A-6D3734B4D23C}</x14:id>
        </ext>
      </extLst>
    </cfRule>
  </conditionalFormatting>
  <conditionalFormatting pivot="1" sqref="Q11:Q25">
    <cfRule type="iconSet" priority="3">
      <iconSet iconSet="3Arrows">
        <cfvo type="percent" val="0"/>
        <cfvo type="num" val="0"/>
        <cfvo type="num" val="0" gte="0"/>
      </iconSet>
    </cfRule>
  </conditionalFormatting>
  <conditionalFormatting pivot="1" sqref="M11:M25">
    <cfRule type="dataBar" priority="2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{1B9063F6-F12B-4D35-AE1C-31D4597EC26A}</x14:id>
        </ext>
      </extLst>
    </cfRule>
  </conditionalFormatting>
  <conditionalFormatting pivot="1" sqref="U11:U15">
    <cfRule type="dataBar" priority="1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{373885D7-A4DE-4ED0-A6AF-F0C15A91137A}</x14:id>
        </ext>
      </extLst>
    </cfRule>
  </conditionalFormatting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Przycisk1_Click">
                <anchor moveWithCells="1" sizeWithCells="1">
                  <from>
                    <xdr:col>0</xdr:col>
                    <xdr:colOff>289560</xdr:colOff>
                    <xdr:row>2</xdr:row>
                    <xdr:rowOff>0</xdr:rowOff>
                  </from>
                  <to>
                    <xdr:col>2</xdr:col>
                    <xdr:colOff>579120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rozwin">
                <anchor moveWithCells="1" sizeWithCells="1">
                  <from>
                    <xdr:col>15</xdr:col>
                    <xdr:colOff>807720</xdr:colOff>
                    <xdr:row>2</xdr:row>
                    <xdr:rowOff>106680</xdr:rowOff>
                  </from>
                  <to>
                    <xdr:col>16</xdr:col>
                    <xdr:colOff>205740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zwin">
                <anchor moveWithCells="1" sizeWithCells="1">
                  <from>
                    <xdr:col>16</xdr:col>
                    <xdr:colOff>266700</xdr:colOff>
                    <xdr:row>2</xdr:row>
                    <xdr:rowOff>106680</xdr:rowOff>
                  </from>
                  <to>
                    <xdr:col>17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5383E3AA-F129-4DD7-BC4A-6D3734B4D2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</x14:conditionalFormatting>
        <x14:conditionalFormatting xmlns:xm="http://schemas.microsoft.com/office/excel/2006/main" pivot="1">
          <x14:cfRule type="dataBar" id="{1B9063F6-F12B-4D35-AE1C-31D4597EC26A}">
            <x14:dataBar minLength="0" maxLength="100" gradient="0">
              <x14:cfvo type="min"/>
              <x14:cfvo type="autoMax"/>
              <x14:negativeFillColor rgb="FFFF0000"/>
              <x14:axisColor rgb="FF000000"/>
            </x14:dataBar>
          </x14:cfRule>
          <xm:sqref>M11:M25</xm:sqref>
        </x14:conditionalFormatting>
        <x14:conditionalFormatting xmlns:xm="http://schemas.microsoft.com/office/excel/2006/main" pivot="1">
          <x14:cfRule type="dataBar" id="{373885D7-A4DE-4ED0-A6AF-F0C15A9113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U11:U15</xm:sqref>
        </x14:conditionalFormatting>
      </x14:conditionalFormattings>
    </ex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3"/>
  <dimension ref="A1:I4524"/>
  <sheetViews>
    <sheetView workbookViewId="0"/>
  </sheetViews>
  <sheetFormatPr defaultRowHeight="14.4" x14ac:dyDescent="0.3"/>
  <cols>
    <col min="1" max="1" width="5" bestFit="1" customWidth="1"/>
    <col min="2" max="2" width="7.6640625" customWidth="1"/>
    <col min="3" max="3" width="5.44140625" customWidth="1"/>
    <col min="4" max="4" width="8.21875" customWidth="1"/>
    <col min="5" max="5" width="8.6640625" style="1" customWidth="1"/>
    <col min="6" max="6" width="22" bestFit="1" customWidth="1"/>
    <col min="7" max="7" width="16.44140625" bestFit="1" customWidth="1"/>
    <col min="8" max="8" width="11.88671875" customWidth="1"/>
    <col min="9" max="9" width="8.88671875" style="1"/>
    <col min="10" max="10" width="9.109375" bestFit="1" customWidth="1"/>
  </cols>
  <sheetData>
    <row r="1" spans="1:9" ht="40.200000000000003" customHeight="1" x14ac:dyDescent="0.3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s="1" t="s">
        <v>38</v>
      </c>
    </row>
    <row r="2" spans="1:9" x14ac:dyDescent="0.3">
      <c r="A2">
        <v>1</v>
      </c>
      <c r="B2">
        <v>2010</v>
      </c>
      <c r="C2">
        <v>1</v>
      </c>
      <c r="D2">
        <v>2</v>
      </c>
      <c r="E2" s="1">
        <v>-1.6600000000000001</v>
      </c>
      <c r="F2" t="s">
        <v>26</v>
      </c>
      <c r="G2" t="str">
        <f>_xlfn.XLOOKUP(transakcje[[#This Row],[podkategoria]],parametr[podkategoria],parametr[kategoria])</f>
        <v>życie</v>
      </c>
      <c r="H2" t="str">
        <f>_xlfn.XLOOKUP(transakcje[[#This Row],[kategoria]],parametr[kategoria],parametr[typ])</f>
        <v>wydatki</v>
      </c>
      <c r="I2" s="1">
        <f>ABS(transakcje[[#This Row],[kwota]])</f>
        <v>1.6600000000000001</v>
      </c>
    </row>
    <row r="3" spans="1:9" x14ac:dyDescent="0.3">
      <c r="A3">
        <v>2</v>
      </c>
      <c r="B3">
        <v>2010</v>
      </c>
      <c r="C3">
        <v>1</v>
      </c>
      <c r="D3">
        <v>7</v>
      </c>
      <c r="E3" s="1">
        <v>-10.001999999999999</v>
      </c>
      <c r="F3" t="s">
        <v>25</v>
      </c>
      <c r="G3" t="str">
        <f>_xlfn.XLOOKUP(transakcje[[#This Row],[podkategoria]],parametr[podkategoria],parametr[kategoria])</f>
        <v>opłaty stałe</v>
      </c>
      <c r="H3" t="str">
        <f>_xlfn.XLOOKUP(transakcje[[#This Row],[kategoria]],parametr[kategoria],parametr[typ])</f>
        <v>wydatki</v>
      </c>
      <c r="I3" s="1">
        <f>ABS(transakcje[[#This Row],[kwota]])</f>
        <v>10.001999999999999</v>
      </c>
    </row>
    <row r="4" spans="1:9" x14ac:dyDescent="0.3">
      <c r="A4">
        <v>3</v>
      </c>
      <c r="B4">
        <v>2010</v>
      </c>
      <c r="C4">
        <v>1</v>
      </c>
      <c r="D4">
        <v>7</v>
      </c>
      <c r="E4" s="1">
        <v>-0.19800000000000001</v>
      </c>
      <c r="F4" t="s">
        <v>14</v>
      </c>
      <c r="G4" t="str">
        <f>_xlfn.XLOOKUP(transakcje[[#This Row],[podkategoria]],parametr[podkategoria],parametr[kategoria])</f>
        <v>opłaty stałe</v>
      </c>
      <c r="H4" t="str">
        <f>_xlfn.XLOOKUP(transakcje[[#This Row],[kategoria]],parametr[kategoria],parametr[typ])</f>
        <v>wydatki</v>
      </c>
      <c r="I4" s="1">
        <f>ABS(transakcje[[#This Row],[kwota]])</f>
        <v>0.19800000000000001</v>
      </c>
    </row>
    <row r="5" spans="1:9" x14ac:dyDescent="0.3">
      <c r="A5">
        <v>4</v>
      </c>
      <c r="B5">
        <v>2010</v>
      </c>
      <c r="C5">
        <v>1</v>
      </c>
      <c r="D5">
        <v>8</v>
      </c>
      <c r="E5" s="1">
        <v>-19.8</v>
      </c>
      <c r="F5" t="s">
        <v>26</v>
      </c>
      <c r="G5" t="str">
        <f>_xlfn.XLOOKUP(transakcje[[#This Row],[podkategoria]],parametr[podkategoria],parametr[kategoria])</f>
        <v>życie</v>
      </c>
      <c r="H5" t="str">
        <f>_xlfn.XLOOKUP(transakcje[[#This Row],[kategoria]],parametr[kategoria],parametr[typ])</f>
        <v>wydatki</v>
      </c>
      <c r="I5" s="1">
        <f>ABS(transakcje[[#This Row],[kwota]])</f>
        <v>19.8</v>
      </c>
    </row>
    <row r="6" spans="1:9" x14ac:dyDescent="0.3">
      <c r="A6">
        <v>5</v>
      </c>
      <c r="B6">
        <v>2010</v>
      </c>
      <c r="C6">
        <v>1</v>
      </c>
      <c r="D6">
        <v>11</v>
      </c>
      <c r="E6" s="1">
        <v>-20</v>
      </c>
      <c r="F6" t="s">
        <v>26</v>
      </c>
      <c r="G6" t="str">
        <f>_xlfn.XLOOKUP(transakcje[[#This Row],[podkategoria]],parametr[podkategoria],parametr[kategoria])</f>
        <v>życie</v>
      </c>
      <c r="H6" t="str">
        <f>_xlfn.XLOOKUP(transakcje[[#This Row],[kategoria]],parametr[kategoria],parametr[typ])</f>
        <v>wydatki</v>
      </c>
      <c r="I6" s="1">
        <f>ABS(transakcje[[#This Row],[kwota]])</f>
        <v>20</v>
      </c>
    </row>
    <row r="7" spans="1:9" x14ac:dyDescent="0.3">
      <c r="A7">
        <v>6</v>
      </c>
      <c r="B7">
        <v>2010</v>
      </c>
      <c r="C7">
        <v>1</v>
      </c>
      <c r="D7">
        <v>15</v>
      </c>
      <c r="E7" s="1">
        <v>-30</v>
      </c>
      <c r="F7" t="s">
        <v>26</v>
      </c>
      <c r="G7" t="str">
        <f>_xlfn.XLOOKUP(transakcje[[#This Row],[podkategoria]],parametr[podkategoria],parametr[kategoria])</f>
        <v>życie</v>
      </c>
      <c r="H7" t="str">
        <f>_xlfn.XLOOKUP(transakcje[[#This Row],[kategoria]],parametr[kategoria],parametr[typ])</f>
        <v>wydatki</v>
      </c>
      <c r="I7" s="1">
        <f>ABS(transakcje[[#This Row],[kwota]])</f>
        <v>30</v>
      </c>
    </row>
    <row r="8" spans="1:9" x14ac:dyDescent="0.3">
      <c r="A8">
        <v>7</v>
      </c>
      <c r="B8">
        <v>2010</v>
      </c>
      <c r="C8">
        <v>1</v>
      </c>
      <c r="D8">
        <v>15</v>
      </c>
      <c r="E8" s="1">
        <v>0.04</v>
      </c>
      <c r="F8" t="s">
        <v>17</v>
      </c>
      <c r="G8" t="str">
        <f>_xlfn.XLOOKUP(transakcje[[#This Row],[podkategoria]],parametr[podkategoria],parametr[kategoria])</f>
        <v>dochody pozostałe</v>
      </c>
      <c r="H8" t="str">
        <f>_xlfn.XLOOKUP(transakcje[[#This Row],[kategoria]],parametr[kategoria],parametr[typ])</f>
        <v>dochody</v>
      </c>
      <c r="I8" s="1">
        <f>ABS(transakcje[[#This Row],[kwota]])</f>
        <v>0.04</v>
      </c>
    </row>
    <row r="9" spans="1:9" x14ac:dyDescent="0.3">
      <c r="A9">
        <v>8</v>
      </c>
      <c r="B9">
        <v>2010</v>
      </c>
      <c r="C9">
        <v>1</v>
      </c>
      <c r="D9">
        <v>15</v>
      </c>
      <c r="E9" s="1">
        <v>-0.998</v>
      </c>
      <c r="F9" t="s">
        <v>14</v>
      </c>
      <c r="G9" t="str">
        <f>_xlfn.XLOOKUP(transakcje[[#This Row],[podkategoria]],parametr[podkategoria],parametr[kategoria])</f>
        <v>opłaty stałe</v>
      </c>
      <c r="H9" t="str">
        <f>_xlfn.XLOOKUP(transakcje[[#This Row],[kategoria]],parametr[kategoria],parametr[typ])</f>
        <v>wydatki</v>
      </c>
      <c r="I9" s="1">
        <f>ABS(transakcje[[#This Row],[kwota]])</f>
        <v>0.998</v>
      </c>
    </row>
    <row r="10" spans="1:9" x14ac:dyDescent="0.3">
      <c r="A10">
        <v>9</v>
      </c>
      <c r="B10">
        <v>2010</v>
      </c>
      <c r="C10">
        <v>1</v>
      </c>
      <c r="D10">
        <v>21</v>
      </c>
      <c r="E10" s="1">
        <v>-20</v>
      </c>
      <c r="F10" t="s">
        <v>26</v>
      </c>
      <c r="G10" t="str">
        <f>_xlfn.XLOOKUP(transakcje[[#This Row],[podkategoria]],parametr[podkategoria],parametr[kategoria])</f>
        <v>życie</v>
      </c>
      <c r="H10" t="str">
        <f>_xlfn.XLOOKUP(transakcje[[#This Row],[kategoria]],parametr[kategoria],parametr[typ])</f>
        <v>wydatki</v>
      </c>
      <c r="I10" s="1">
        <f>ABS(transakcje[[#This Row],[kwota]])</f>
        <v>20</v>
      </c>
    </row>
    <row r="11" spans="1:9" x14ac:dyDescent="0.3">
      <c r="A11">
        <v>10</v>
      </c>
      <c r="B11">
        <v>2010</v>
      </c>
      <c r="C11">
        <v>1</v>
      </c>
      <c r="D11">
        <v>26</v>
      </c>
      <c r="E11" s="1">
        <v>382.36</v>
      </c>
      <c r="F11" t="s">
        <v>8</v>
      </c>
      <c r="G11" t="str">
        <f>_xlfn.XLOOKUP(transakcje[[#This Row],[podkategoria]],parametr[podkategoria],parametr[kategoria])</f>
        <v>dochody z pracy</v>
      </c>
      <c r="H11" t="str">
        <f>_xlfn.XLOOKUP(transakcje[[#This Row],[kategoria]],parametr[kategoria],parametr[typ])</f>
        <v>dochody</v>
      </c>
      <c r="I11" s="1">
        <f>ABS(transakcje[[#This Row],[kwota]])</f>
        <v>382.36</v>
      </c>
    </row>
    <row r="12" spans="1:9" x14ac:dyDescent="0.3">
      <c r="A12">
        <v>11</v>
      </c>
      <c r="B12">
        <v>2010</v>
      </c>
      <c r="C12">
        <v>2</v>
      </c>
      <c r="D12">
        <v>4</v>
      </c>
      <c r="E12" s="1">
        <v>369.64</v>
      </c>
      <c r="F12" t="s">
        <v>22</v>
      </c>
      <c r="G12" t="str">
        <f>_xlfn.XLOOKUP(transakcje[[#This Row],[podkategoria]],parametr[podkategoria],parametr[kategoria])</f>
        <v>dochody z pracy</v>
      </c>
      <c r="H12" t="str">
        <f>_xlfn.XLOOKUP(transakcje[[#This Row],[kategoria]],parametr[kategoria],parametr[typ])</f>
        <v>dochody</v>
      </c>
      <c r="I12" s="1">
        <f>ABS(transakcje[[#This Row],[kwota]])</f>
        <v>369.64</v>
      </c>
    </row>
    <row r="13" spans="1:9" x14ac:dyDescent="0.3">
      <c r="A13">
        <v>12</v>
      </c>
      <c r="B13">
        <v>2010</v>
      </c>
      <c r="C13">
        <v>2</v>
      </c>
      <c r="D13">
        <v>5</v>
      </c>
      <c r="E13" s="1">
        <v>-10.001999999999999</v>
      </c>
      <c r="F13" t="s">
        <v>25</v>
      </c>
      <c r="G13" t="str">
        <f>_xlfn.XLOOKUP(transakcje[[#This Row],[podkategoria]],parametr[podkategoria],parametr[kategoria])</f>
        <v>opłaty stałe</v>
      </c>
      <c r="H13" t="str">
        <f>_xlfn.XLOOKUP(transakcje[[#This Row],[kategoria]],parametr[kategoria],parametr[typ])</f>
        <v>wydatki</v>
      </c>
      <c r="I13" s="1">
        <f>ABS(transakcje[[#This Row],[kwota]])</f>
        <v>10.001999999999999</v>
      </c>
    </row>
    <row r="14" spans="1:9" x14ac:dyDescent="0.3">
      <c r="A14">
        <v>13</v>
      </c>
      <c r="B14">
        <v>2010</v>
      </c>
      <c r="C14">
        <v>2</v>
      </c>
      <c r="D14">
        <v>5</v>
      </c>
      <c r="E14" s="1">
        <v>-0.19800000000000001</v>
      </c>
      <c r="F14" t="s">
        <v>14</v>
      </c>
      <c r="G14" t="str">
        <f>_xlfn.XLOOKUP(transakcje[[#This Row],[podkategoria]],parametr[podkategoria],parametr[kategoria])</f>
        <v>opłaty stałe</v>
      </c>
      <c r="H14" t="str">
        <f>_xlfn.XLOOKUP(transakcje[[#This Row],[kategoria]],parametr[kategoria],parametr[typ])</f>
        <v>wydatki</v>
      </c>
      <c r="I14" s="1">
        <f>ABS(transakcje[[#This Row],[kwota]])</f>
        <v>0.19800000000000001</v>
      </c>
    </row>
    <row r="15" spans="1:9" x14ac:dyDescent="0.3">
      <c r="A15">
        <v>14</v>
      </c>
      <c r="B15">
        <v>2010</v>
      </c>
      <c r="C15">
        <v>2</v>
      </c>
      <c r="D15">
        <v>8</v>
      </c>
      <c r="E15" s="1">
        <v>-11.172000000000001</v>
      </c>
      <c r="F15" t="s">
        <v>24</v>
      </c>
      <c r="G15" t="str">
        <f>_xlfn.XLOOKUP(transakcje[[#This Row],[podkategoria]],parametr[podkategoria],parametr[kategoria])</f>
        <v>trwałe</v>
      </c>
      <c r="H15" t="str">
        <f>_xlfn.XLOOKUP(transakcje[[#This Row],[kategoria]],parametr[kategoria],parametr[typ])</f>
        <v>wydatki</v>
      </c>
      <c r="I15" s="1">
        <f>ABS(transakcje[[#This Row],[kwota]])</f>
        <v>11.172000000000001</v>
      </c>
    </row>
    <row r="16" spans="1:9" x14ac:dyDescent="0.3">
      <c r="A16">
        <v>15</v>
      </c>
      <c r="B16">
        <v>2010</v>
      </c>
      <c r="C16">
        <v>2</v>
      </c>
      <c r="D16">
        <v>8</v>
      </c>
      <c r="E16" s="1">
        <v>-41.701999999999998</v>
      </c>
      <c r="F16" t="s">
        <v>24</v>
      </c>
      <c r="G16" t="str">
        <f>_xlfn.XLOOKUP(transakcje[[#This Row],[podkategoria]],parametr[podkategoria],parametr[kategoria])</f>
        <v>trwałe</v>
      </c>
      <c r="H16" t="str">
        <f>_xlfn.XLOOKUP(transakcje[[#This Row],[kategoria]],parametr[kategoria],parametr[typ])</f>
        <v>wydatki</v>
      </c>
      <c r="I16" s="1">
        <f>ABS(transakcje[[#This Row],[kwota]])</f>
        <v>41.701999999999998</v>
      </c>
    </row>
    <row r="17" spans="1:9" x14ac:dyDescent="0.3">
      <c r="A17">
        <v>16</v>
      </c>
      <c r="B17">
        <v>2010</v>
      </c>
      <c r="C17">
        <v>2</v>
      </c>
      <c r="D17">
        <v>8</v>
      </c>
      <c r="E17" s="1">
        <v>-0.19800000000000001</v>
      </c>
      <c r="F17" t="s">
        <v>14</v>
      </c>
      <c r="G17" t="str">
        <f>_xlfn.XLOOKUP(transakcje[[#This Row],[podkategoria]],parametr[podkategoria],parametr[kategoria])</f>
        <v>opłaty stałe</v>
      </c>
      <c r="H17" t="str">
        <f>_xlfn.XLOOKUP(transakcje[[#This Row],[kategoria]],parametr[kategoria],parametr[typ])</f>
        <v>wydatki</v>
      </c>
      <c r="I17" s="1">
        <f>ABS(transakcje[[#This Row],[kwota]])</f>
        <v>0.19800000000000001</v>
      </c>
    </row>
    <row r="18" spans="1:9" x14ac:dyDescent="0.3">
      <c r="A18">
        <v>17</v>
      </c>
      <c r="B18">
        <v>2010</v>
      </c>
      <c r="C18">
        <v>2</v>
      </c>
      <c r="D18">
        <v>11</v>
      </c>
      <c r="E18" s="1">
        <v>-80</v>
      </c>
      <c r="F18" t="s">
        <v>26</v>
      </c>
      <c r="G18" t="str">
        <f>_xlfn.XLOOKUP(transakcje[[#This Row],[podkategoria]],parametr[podkategoria],parametr[kategoria])</f>
        <v>życie</v>
      </c>
      <c r="H18" t="str">
        <f>_xlfn.XLOOKUP(transakcje[[#This Row],[kategoria]],parametr[kategoria],parametr[typ])</f>
        <v>wydatki</v>
      </c>
      <c r="I18" s="1">
        <f>ABS(transakcje[[#This Row],[kwota]])</f>
        <v>80</v>
      </c>
    </row>
    <row r="19" spans="1:9" x14ac:dyDescent="0.3">
      <c r="A19">
        <v>18</v>
      </c>
      <c r="B19">
        <v>2010</v>
      </c>
      <c r="C19">
        <v>2</v>
      </c>
      <c r="D19">
        <v>15</v>
      </c>
      <c r="E19" s="1">
        <v>-1.6600000000000001</v>
      </c>
      <c r="F19" t="s">
        <v>11</v>
      </c>
      <c r="G19" t="str">
        <f>_xlfn.XLOOKUP(transakcje[[#This Row],[podkategoria]],parametr[podkategoria],parametr[kategoria])</f>
        <v>wydatki inne</v>
      </c>
      <c r="H19" t="str">
        <f>_xlfn.XLOOKUP(transakcje[[#This Row],[kategoria]],parametr[kategoria],parametr[typ])</f>
        <v>wydatki</v>
      </c>
      <c r="I19" s="1">
        <f>ABS(transakcje[[#This Row],[kwota]])</f>
        <v>1.6600000000000001</v>
      </c>
    </row>
    <row r="20" spans="1:9" x14ac:dyDescent="0.3">
      <c r="A20">
        <v>19</v>
      </c>
      <c r="B20">
        <v>2010</v>
      </c>
      <c r="C20">
        <v>2</v>
      </c>
      <c r="D20">
        <v>15</v>
      </c>
      <c r="E20" s="1">
        <v>-120</v>
      </c>
      <c r="F20" t="s">
        <v>11</v>
      </c>
      <c r="G20" t="str">
        <f>_xlfn.XLOOKUP(transakcje[[#This Row],[podkategoria]],parametr[podkategoria],parametr[kategoria])</f>
        <v>wydatki inne</v>
      </c>
      <c r="H20" t="str">
        <f>_xlfn.XLOOKUP(transakcje[[#This Row],[kategoria]],parametr[kategoria],parametr[typ])</f>
        <v>wydatki</v>
      </c>
      <c r="I20" s="1">
        <f>ABS(transakcje[[#This Row],[kwota]])</f>
        <v>120</v>
      </c>
    </row>
    <row r="21" spans="1:9" x14ac:dyDescent="0.3">
      <c r="A21">
        <v>20</v>
      </c>
      <c r="B21">
        <v>2010</v>
      </c>
      <c r="C21">
        <v>2</v>
      </c>
      <c r="D21">
        <v>15</v>
      </c>
      <c r="E21" s="1">
        <v>0.05</v>
      </c>
      <c r="F21" t="s">
        <v>17</v>
      </c>
      <c r="G21" t="str">
        <f>_xlfn.XLOOKUP(transakcje[[#This Row],[podkategoria]],parametr[podkategoria],parametr[kategoria])</f>
        <v>dochody pozostałe</v>
      </c>
      <c r="H21" t="str">
        <f>_xlfn.XLOOKUP(transakcje[[#This Row],[kategoria]],parametr[kategoria],parametr[typ])</f>
        <v>dochody</v>
      </c>
      <c r="I21" s="1">
        <f>ABS(transakcje[[#This Row],[kwota]])</f>
        <v>0.05</v>
      </c>
    </row>
    <row r="22" spans="1:9" x14ac:dyDescent="0.3">
      <c r="A22">
        <v>21</v>
      </c>
      <c r="B22">
        <v>2010</v>
      </c>
      <c r="C22">
        <v>2</v>
      </c>
      <c r="D22">
        <v>15</v>
      </c>
      <c r="E22" s="1">
        <v>-0.998</v>
      </c>
      <c r="F22" t="s">
        <v>14</v>
      </c>
      <c r="G22" t="str">
        <f>_xlfn.XLOOKUP(transakcje[[#This Row],[podkategoria]],parametr[podkategoria],parametr[kategoria])</f>
        <v>opłaty stałe</v>
      </c>
      <c r="H22" t="str">
        <f>_xlfn.XLOOKUP(transakcje[[#This Row],[kategoria]],parametr[kategoria],parametr[typ])</f>
        <v>wydatki</v>
      </c>
      <c r="I22" s="1">
        <f>ABS(transakcje[[#This Row],[kwota]])</f>
        <v>0.998</v>
      </c>
    </row>
    <row r="23" spans="1:9" x14ac:dyDescent="0.3">
      <c r="A23">
        <v>22</v>
      </c>
      <c r="B23">
        <v>2010</v>
      </c>
      <c r="C23">
        <v>2</v>
      </c>
      <c r="D23">
        <v>21</v>
      </c>
      <c r="E23" s="1">
        <v>-160.04400000000001</v>
      </c>
      <c r="F23" t="s">
        <v>11</v>
      </c>
      <c r="G23" t="str">
        <f>_xlfn.XLOOKUP(transakcje[[#This Row],[podkategoria]],parametr[podkategoria],parametr[kategoria])</f>
        <v>wydatki inne</v>
      </c>
      <c r="H23" t="str">
        <f>_xlfn.XLOOKUP(transakcje[[#This Row],[kategoria]],parametr[kategoria],parametr[typ])</f>
        <v>wydatki</v>
      </c>
      <c r="I23" s="1">
        <f>ABS(transakcje[[#This Row],[kwota]])</f>
        <v>160.04400000000001</v>
      </c>
    </row>
    <row r="24" spans="1:9" x14ac:dyDescent="0.3">
      <c r="A24">
        <v>23</v>
      </c>
      <c r="B24">
        <v>2010</v>
      </c>
      <c r="C24">
        <v>2</v>
      </c>
      <c r="D24">
        <v>24</v>
      </c>
      <c r="E24" s="1">
        <v>-1.6</v>
      </c>
      <c r="F24" t="s">
        <v>24</v>
      </c>
      <c r="G24" t="str">
        <f>_xlfn.XLOOKUP(transakcje[[#This Row],[podkategoria]],parametr[podkategoria],parametr[kategoria])</f>
        <v>trwałe</v>
      </c>
      <c r="H24" t="str">
        <f>_xlfn.XLOOKUP(transakcje[[#This Row],[kategoria]],parametr[kategoria],parametr[typ])</f>
        <v>wydatki</v>
      </c>
      <c r="I24" s="1">
        <f>ABS(transakcje[[#This Row],[kwota]])</f>
        <v>1.6</v>
      </c>
    </row>
    <row r="25" spans="1:9" x14ac:dyDescent="0.3">
      <c r="A25">
        <v>24</v>
      </c>
      <c r="B25">
        <v>2010</v>
      </c>
      <c r="C25">
        <v>2</v>
      </c>
      <c r="D25">
        <v>25</v>
      </c>
      <c r="E25" s="1">
        <v>382.36</v>
      </c>
      <c r="F25" t="s">
        <v>8</v>
      </c>
      <c r="G25" t="str">
        <f>_xlfn.XLOOKUP(transakcje[[#This Row],[podkategoria]],parametr[podkategoria],parametr[kategoria])</f>
        <v>dochody z pracy</v>
      </c>
      <c r="H25" t="str">
        <f>_xlfn.XLOOKUP(transakcje[[#This Row],[kategoria]],parametr[kategoria],parametr[typ])</f>
        <v>dochody</v>
      </c>
      <c r="I25" s="1">
        <f>ABS(transakcje[[#This Row],[kwota]])</f>
        <v>382.36</v>
      </c>
    </row>
    <row r="26" spans="1:9" x14ac:dyDescent="0.3">
      <c r="A26">
        <v>25</v>
      </c>
      <c r="B26">
        <v>2010</v>
      </c>
      <c r="C26">
        <v>2</v>
      </c>
      <c r="D26">
        <v>27</v>
      </c>
      <c r="E26" s="1">
        <v>-1.6600000000000001</v>
      </c>
      <c r="F26" t="s">
        <v>11</v>
      </c>
      <c r="G26" t="str">
        <f>_xlfn.XLOOKUP(transakcje[[#This Row],[podkategoria]],parametr[podkategoria],parametr[kategoria])</f>
        <v>wydatki inne</v>
      </c>
      <c r="H26" t="str">
        <f>_xlfn.XLOOKUP(transakcje[[#This Row],[kategoria]],parametr[kategoria],parametr[typ])</f>
        <v>wydatki</v>
      </c>
      <c r="I26" s="1">
        <f>ABS(transakcje[[#This Row],[kwota]])</f>
        <v>1.6600000000000001</v>
      </c>
    </row>
    <row r="27" spans="1:9" x14ac:dyDescent="0.3">
      <c r="A27">
        <v>26</v>
      </c>
      <c r="B27">
        <v>2010</v>
      </c>
      <c r="C27">
        <v>3</v>
      </c>
      <c r="D27">
        <v>1</v>
      </c>
      <c r="E27" s="1">
        <v>-19.8</v>
      </c>
      <c r="F27" t="s">
        <v>11</v>
      </c>
      <c r="G27" t="str">
        <f>_xlfn.XLOOKUP(transakcje[[#This Row],[podkategoria]],parametr[podkategoria],parametr[kategoria])</f>
        <v>wydatki inne</v>
      </c>
      <c r="H27" t="str">
        <f>_xlfn.XLOOKUP(transakcje[[#This Row],[kategoria]],parametr[kategoria],parametr[typ])</f>
        <v>wydatki</v>
      </c>
      <c r="I27" s="1">
        <f>ABS(transakcje[[#This Row],[kwota]])</f>
        <v>19.8</v>
      </c>
    </row>
    <row r="28" spans="1:9" x14ac:dyDescent="0.3">
      <c r="A28">
        <v>27</v>
      </c>
      <c r="B28">
        <v>2010</v>
      </c>
      <c r="C28">
        <v>3</v>
      </c>
      <c r="D28">
        <v>3</v>
      </c>
      <c r="E28" s="1">
        <v>-80</v>
      </c>
      <c r="F28" t="s">
        <v>26</v>
      </c>
      <c r="G28" t="str">
        <f>_xlfn.XLOOKUP(transakcje[[#This Row],[podkategoria]],parametr[podkategoria],parametr[kategoria])</f>
        <v>życie</v>
      </c>
      <c r="H28" t="str">
        <f>_xlfn.XLOOKUP(transakcje[[#This Row],[kategoria]],parametr[kategoria],parametr[typ])</f>
        <v>wydatki</v>
      </c>
      <c r="I28" s="1">
        <f>ABS(transakcje[[#This Row],[kwota]])</f>
        <v>80</v>
      </c>
    </row>
    <row r="29" spans="1:9" x14ac:dyDescent="0.3">
      <c r="A29">
        <v>28</v>
      </c>
      <c r="B29">
        <v>2010</v>
      </c>
      <c r="C29">
        <v>3</v>
      </c>
      <c r="D29">
        <v>4</v>
      </c>
      <c r="E29" s="1">
        <v>-10.49</v>
      </c>
      <c r="F29" t="s">
        <v>25</v>
      </c>
      <c r="G29" t="str">
        <f>_xlfn.XLOOKUP(transakcje[[#This Row],[podkategoria]],parametr[podkategoria],parametr[kategoria])</f>
        <v>opłaty stałe</v>
      </c>
      <c r="H29" t="str">
        <f>_xlfn.XLOOKUP(transakcje[[#This Row],[kategoria]],parametr[kategoria],parametr[typ])</f>
        <v>wydatki</v>
      </c>
      <c r="I29" s="1">
        <f>ABS(transakcje[[#This Row],[kwota]])</f>
        <v>10.49</v>
      </c>
    </row>
    <row r="30" spans="1:9" x14ac:dyDescent="0.3">
      <c r="A30">
        <v>29</v>
      </c>
      <c r="B30">
        <v>2010</v>
      </c>
      <c r="C30">
        <v>3</v>
      </c>
      <c r="D30">
        <v>4</v>
      </c>
      <c r="E30" s="1">
        <v>-0.19800000000000001</v>
      </c>
      <c r="F30" t="s">
        <v>14</v>
      </c>
      <c r="G30" t="str">
        <f>_xlfn.XLOOKUP(transakcje[[#This Row],[podkategoria]],parametr[podkategoria],parametr[kategoria])</f>
        <v>opłaty stałe</v>
      </c>
      <c r="H30" t="str">
        <f>_xlfn.XLOOKUP(transakcje[[#This Row],[kategoria]],parametr[kategoria],parametr[typ])</f>
        <v>wydatki</v>
      </c>
      <c r="I30" s="1">
        <f>ABS(transakcje[[#This Row],[kwota]])</f>
        <v>0.19800000000000001</v>
      </c>
    </row>
    <row r="31" spans="1:9" x14ac:dyDescent="0.3">
      <c r="A31">
        <v>30</v>
      </c>
      <c r="B31">
        <v>2010</v>
      </c>
      <c r="C31">
        <v>3</v>
      </c>
      <c r="D31">
        <v>15</v>
      </c>
      <c r="E31" s="1">
        <v>-274.8</v>
      </c>
      <c r="F31" t="s">
        <v>24</v>
      </c>
      <c r="G31" t="str">
        <f>_xlfn.XLOOKUP(transakcje[[#This Row],[podkategoria]],parametr[podkategoria],parametr[kategoria])</f>
        <v>trwałe</v>
      </c>
      <c r="H31" t="str">
        <f>_xlfn.XLOOKUP(transakcje[[#This Row],[kategoria]],parametr[kategoria],parametr[typ])</f>
        <v>wydatki</v>
      </c>
      <c r="I31" s="1">
        <f>ABS(transakcje[[#This Row],[kwota]])</f>
        <v>274.8</v>
      </c>
    </row>
    <row r="32" spans="1:9" x14ac:dyDescent="0.3">
      <c r="A32">
        <v>31</v>
      </c>
      <c r="B32">
        <v>2010</v>
      </c>
      <c r="C32">
        <v>3</v>
      </c>
      <c r="D32">
        <v>15</v>
      </c>
      <c r="E32" s="1">
        <v>1.4000000000000002E-2</v>
      </c>
      <c r="F32" t="s">
        <v>17</v>
      </c>
      <c r="G32" t="str">
        <f>_xlfn.XLOOKUP(transakcje[[#This Row],[podkategoria]],parametr[podkategoria],parametr[kategoria])</f>
        <v>dochody pozostałe</v>
      </c>
      <c r="H32" t="str">
        <f>_xlfn.XLOOKUP(transakcje[[#This Row],[kategoria]],parametr[kategoria],parametr[typ])</f>
        <v>dochody</v>
      </c>
      <c r="I32" s="1">
        <f>ABS(transakcje[[#This Row],[kwota]])</f>
        <v>1.4000000000000002E-2</v>
      </c>
    </row>
    <row r="33" spans="1:9" x14ac:dyDescent="0.3">
      <c r="A33">
        <v>32</v>
      </c>
      <c r="B33">
        <v>2010</v>
      </c>
      <c r="C33">
        <v>3</v>
      </c>
      <c r="D33">
        <v>15</v>
      </c>
      <c r="E33" s="1">
        <v>-0.19800000000000001</v>
      </c>
      <c r="F33" t="s">
        <v>14</v>
      </c>
      <c r="G33" t="str">
        <f>_xlfn.XLOOKUP(transakcje[[#This Row],[podkategoria]],parametr[podkategoria],parametr[kategoria])</f>
        <v>opłaty stałe</v>
      </c>
      <c r="H33" t="str">
        <f>_xlfn.XLOOKUP(transakcje[[#This Row],[kategoria]],parametr[kategoria],parametr[typ])</f>
        <v>wydatki</v>
      </c>
      <c r="I33" s="1">
        <f>ABS(transakcje[[#This Row],[kwota]])</f>
        <v>0.19800000000000001</v>
      </c>
    </row>
    <row r="34" spans="1:9" x14ac:dyDescent="0.3">
      <c r="A34">
        <v>33</v>
      </c>
      <c r="B34">
        <v>2010</v>
      </c>
      <c r="C34">
        <v>3</v>
      </c>
      <c r="D34">
        <v>15</v>
      </c>
      <c r="E34" s="1">
        <v>-0.998</v>
      </c>
      <c r="F34" t="s">
        <v>14</v>
      </c>
      <c r="G34" t="str">
        <f>_xlfn.XLOOKUP(transakcje[[#This Row],[podkategoria]],parametr[podkategoria],parametr[kategoria])</f>
        <v>opłaty stałe</v>
      </c>
      <c r="H34" t="str">
        <f>_xlfn.XLOOKUP(transakcje[[#This Row],[kategoria]],parametr[kategoria],parametr[typ])</f>
        <v>wydatki</v>
      </c>
      <c r="I34" s="1">
        <f>ABS(transakcje[[#This Row],[kwota]])</f>
        <v>0.998</v>
      </c>
    </row>
    <row r="35" spans="1:9" x14ac:dyDescent="0.3">
      <c r="A35">
        <v>34</v>
      </c>
      <c r="B35">
        <v>2010</v>
      </c>
      <c r="C35">
        <v>3</v>
      </c>
      <c r="D35">
        <v>26</v>
      </c>
      <c r="E35" s="1">
        <v>382.36</v>
      </c>
      <c r="F35" t="s">
        <v>8</v>
      </c>
      <c r="G35" t="str">
        <f>_xlfn.XLOOKUP(transakcje[[#This Row],[podkategoria]],parametr[podkategoria],parametr[kategoria])</f>
        <v>dochody z pracy</v>
      </c>
      <c r="H35" t="str">
        <f>_xlfn.XLOOKUP(transakcje[[#This Row],[kategoria]],parametr[kategoria],parametr[typ])</f>
        <v>dochody</v>
      </c>
      <c r="I35" s="1">
        <f>ABS(transakcje[[#This Row],[kwota]])</f>
        <v>382.36</v>
      </c>
    </row>
    <row r="36" spans="1:9" x14ac:dyDescent="0.3">
      <c r="A36">
        <v>35</v>
      </c>
      <c r="B36">
        <v>2010</v>
      </c>
      <c r="C36">
        <v>3</v>
      </c>
      <c r="D36">
        <v>29</v>
      </c>
      <c r="E36" s="1">
        <v>-18</v>
      </c>
      <c r="F36" t="s">
        <v>11</v>
      </c>
      <c r="G36" t="str">
        <f>_xlfn.XLOOKUP(transakcje[[#This Row],[podkategoria]],parametr[podkategoria],parametr[kategoria])</f>
        <v>wydatki inne</v>
      </c>
      <c r="H36" t="str">
        <f>_xlfn.XLOOKUP(transakcje[[#This Row],[kategoria]],parametr[kategoria],parametr[typ])</f>
        <v>wydatki</v>
      </c>
      <c r="I36" s="1">
        <f>ABS(transakcje[[#This Row],[kwota]])</f>
        <v>18</v>
      </c>
    </row>
    <row r="37" spans="1:9" x14ac:dyDescent="0.3">
      <c r="A37">
        <v>36</v>
      </c>
      <c r="B37">
        <v>2010</v>
      </c>
      <c r="C37">
        <v>4</v>
      </c>
      <c r="D37">
        <v>1</v>
      </c>
      <c r="E37" s="1">
        <v>-10.734</v>
      </c>
      <c r="F37" t="s">
        <v>25</v>
      </c>
      <c r="G37" t="str">
        <f>_xlfn.XLOOKUP(transakcje[[#This Row],[podkategoria]],parametr[podkategoria],parametr[kategoria])</f>
        <v>opłaty stałe</v>
      </c>
      <c r="H37" t="str">
        <f>_xlfn.XLOOKUP(transakcje[[#This Row],[kategoria]],parametr[kategoria],parametr[typ])</f>
        <v>wydatki</v>
      </c>
      <c r="I37" s="1">
        <f>ABS(transakcje[[#This Row],[kwota]])</f>
        <v>10.734</v>
      </c>
    </row>
    <row r="38" spans="1:9" x14ac:dyDescent="0.3">
      <c r="A38">
        <v>37</v>
      </c>
      <c r="B38">
        <v>2010</v>
      </c>
      <c r="C38">
        <v>4</v>
      </c>
      <c r="D38">
        <v>1</v>
      </c>
      <c r="E38" s="1">
        <v>-0.19800000000000001</v>
      </c>
      <c r="F38" t="s">
        <v>14</v>
      </c>
      <c r="G38" t="str">
        <f>_xlfn.XLOOKUP(transakcje[[#This Row],[podkategoria]],parametr[podkategoria],parametr[kategoria])</f>
        <v>opłaty stałe</v>
      </c>
      <c r="H38" t="str">
        <f>_xlfn.XLOOKUP(transakcje[[#This Row],[kategoria]],parametr[kategoria],parametr[typ])</f>
        <v>wydatki</v>
      </c>
      <c r="I38" s="1">
        <f>ABS(transakcje[[#This Row],[kwota]])</f>
        <v>0.19800000000000001</v>
      </c>
    </row>
    <row r="39" spans="1:9" x14ac:dyDescent="0.3">
      <c r="A39">
        <v>38</v>
      </c>
      <c r="B39">
        <v>2010</v>
      </c>
      <c r="C39">
        <v>4</v>
      </c>
      <c r="D39">
        <v>15</v>
      </c>
      <c r="E39" s="1">
        <v>6.0000000000000001E-3</v>
      </c>
      <c r="F39" t="s">
        <v>17</v>
      </c>
      <c r="G39" t="str">
        <f>_xlfn.XLOOKUP(transakcje[[#This Row],[podkategoria]],parametr[podkategoria],parametr[kategoria])</f>
        <v>dochody pozostałe</v>
      </c>
      <c r="H39" t="str">
        <f>_xlfn.XLOOKUP(transakcje[[#This Row],[kategoria]],parametr[kategoria],parametr[typ])</f>
        <v>dochody</v>
      </c>
      <c r="I39" s="1">
        <f>ABS(transakcje[[#This Row],[kwota]])</f>
        <v>6.0000000000000001E-3</v>
      </c>
    </row>
    <row r="40" spans="1:9" x14ac:dyDescent="0.3">
      <c r="A40">
        <v>39</v>
      </c>
      <c r="B40">
        <v>2010</v>
      </c>
      <c r="C40">
        <v>4</v>
      </c>
      <c r="D40">
        <v>15</v>
      </c>
      <c r="E40" s="1">
        <v>-0.998</v>
      </c>
      <c r="F40" t="s">
        <v>14</v>
      </c>
      <c r="G40" t="str">
        <f>_xlfn.XLOOKUP(transakcje[[#This Row],[podkategoria]],parametr[podkategoria],parametr[kategoria])</f>
        <v>opłaty stałe</v>
      </c>
      <c r="H40" t="str">
        <f>_xlfn.XLOOKUP(transakcje[[#This Row],[kategoria]],parametr[kategoria],parametr[typ])</f>
        <v>wydatki</v>
      </c>
      <c r="I40" s="1">
        <f>ABS(transakcje[[#This Row],[kwota]])</f>
        <v>0.998</v>
      </c>
    </row>
    <row r="41" spans="1:9" x14ac:dyDescent="0.3">
      <c r="A41">
        <v>40</v>
      </c>
      <c r="B41">
        <v>2010</v>
      </c>
      <c r="C41">
        <v>4</v>
      </c>
      <c r="D41">
        <v>19</v>
      </c>
      <c r="E41" s="1">
        <v>-80</v>
      </c>
      <c r="F41" t="s">
        <v>26</v>
      </c>
      <c r="G41" t="str">
        <f>_xlfn.XLOOKUP(transakcje[[#This Row],[podkategoria]],parametr[podkategoria],parametr[kategoria])</f>
        <v>życie</v>
      </c>
      <c r="H41" t="str">
        <f>_xlfn.XLOOKUP(transakcje[[#This Row],[kategoria]],parametr[kategoria],parametr[typ])</f>
        <v>wydatki</v>
      </c>
      <c r="I41" s="1">
        <f>ABS(transakcje[[#This Row],[kwota]])</f>
        <v>80</v>
      </c>
    </row>
    <row r="42" spans="1:9" x14ac:dyDescent="0.3">
      <c r="A42">
        <v>41</v>
      </c>
      <c r="B42">
        <v>2010</v>
      </c>
      <c r="C42">
        <v>4</v>
      </c>
      <c r="D42">
        <v>21</v>
      </c>
      <c r="E42" s="1">
        <v>94.792000000000002</v>
      </c>
      <c r="F42" t="s">
        <v>19</v>
      </c>
      <c r="G42" t="str">
        <f>_xlfn.XLOOKUP(transakcje[[#This Row],[podkategoria]],parametr[podkategoria],parametr[kategoria])</f>
        <v>dochody z pracy</v>
      </c>
      <c r="H42" t="str">
        <f>_xlfn.XLOOKUP(transakcje[[#This Row],[kategoria]],parametr[kategoria],parametr[typ])</f>
        <v>dochody</v>
      </c>
      <c r="I42" s="1">
        <f>ABS(transakcje[[#This Row],[kwota]])</f>
        <v>94.792000000000002</v>
      </c>
    </row>
    <row r="43" spans="1:9" x14ac:dyDescent="0.3">
      <c r="A43">
        <v>42</v>
      </c>
      <c r="B43">
        <v>2010</v>
      </c>
      <c r="C43">
        <v>4</v>
      </c>
      <c r="D43">
        <v>22</v>
      </c>
      <c r="E43" s="1">
        <v>67.445999999999998</v>
      </c>
      <c r="F43" t="s">
        <v>16</v>
      </c>
      <c r="G43" t="str">
        <f>_xlfn.XLOOKUP(transakcje[[#This Row],[podkategoria]],parametr[podkategoria],parametr[kategoria])</f>
        <v>dochody z pracy</v>
      </c>
      <c r="H43" t="str">
        <f>_xlfn.XLOOKUP(transakcje[[#This Row],[kategoria]],parametr[kategoria],parametr[typ])</f>
        <v>dochody</v>
      </c>
      <c r="I43" s="1">
        <f>ABS(transakcje[[#This Row],[kwota]])</f>
        <v>67.445999999999998</v>
      </c>
    </row>
    <row r="44" spans="1:9" x14ac:dyDescent="0.3">
      <c r="A44">
        <v>43</v>
      </c>
      <c r="B44">
        <v>2010</v>
      </c>
      <c r="C44">
        <v>4</v>
      </c>
      <c r="D44">
        <v>26</v>
      </c>
      <c r="E44" s="1">
        <v>-0.19800000000000001</v>
      </c>
      <c r="F44" t="s">
        <v>14</v>
      </c>
      <c r="G44" t="str">
        <f>_xlfn.XLOOKUP(transakcje[[#This Row],[podkategoria]],parametr[podkategoria],parametr[kategoria])</f>
        <v>opłaty stałe</v>
      </c>
      <c r="H44" t="str">
        <f>_xlfn.XLOOKUP(transakcje[[#This Row],[kategoria]],parametr[kategoria],parametr[typ])</f>
        <v>wydatki</v>
      </c>
      <c r="I44" s="1">
        <f>ABS(transakcje[[#This Row],[kwota]])</f>
        <v>0.19800000000000001</v>
      </c>
    </row>
    <row r="45" spans="1:9" x14ac:dyDescent="0.3">
      <c r="A45">
        <v>44</v>
      </c>
      <c r="B45">
        <v>2010</v>
      </c>
      <c r="C45">
        <v>4</v>
      </c>
      <c r="D45">
        <v>27</v>
      </c>
      <c r="E45" s="1">
        <v>382.358</v>
      </c>
      <c r="F45" t="s">
        <v>8</v>
      </c>
      <c r="G45" t="str">
        <f>_xlfn.XLOOKUP(transakcje[[#This Row],[podkategoria]],parametr[podkategoria],parametr[kategoria])</f>
        <v>dochody z pracy</v>
      </c>
      <c r="H45" t="str">
        <f>_xlfn.XLOOKUP(transakcje[[#This Row],[kategoria]],parametr[kategoria],parametr[typ])</f>
        <v>dochody</v>
      </c>
      <c r="I45" s="1">
        <f>ABS(transakcje[[#This Row],[kwota]])</f>
        <v>382.358</v>
      </c>
    </row>
    <row r="46" spans="1:9" x14ac:dyDescent="0.3">
      <c r="A46">
        <v>45</v>
      </c>
      <c r="B46">
        <v>2010</v>
      </c>
      <c r="C46">
        <v>5</v>
      </c>
      <c r="D46">
        <v>4</v>
      </c>
      <c r="E46" s="1">
        <v>-12.126000000000001</v>
      </c>
      <c r="F46" t="s">
        <v>25</v>
      </c>
      <c r="G46" t="str">
        <f>_xlfn.XLOOKUP(transakcje[[#This Row],[podkategoria]],parametr[podkategoria],parametr[kategoria])</f>
        <v>opłaty stałe</v>
      </c>
      <c r="H46" t="str">
        <f>_xlfn.XLOOKUP(transakcje[[#This Row],[kategoria]],parametr[kategoria],parametr[typ])</f>
        <v>wydatki</v>
      </c>
      <c r="I46" s="1">
        <f>ABS(transakcje[[#This Row],[kwota]])</f>
        <v>12.126000000000001</v>
      </c>
    </row>
    <row r="47" spans="1:9" x14ac:dyDescent="0.3">
      <c r="A47">
        <v>46</v>
      </c>
      <c r="B47">
        <v>2010</v>
      </c>
      <c r="C47">
        <v>5</v>
      </c>
      <c r="D47">
        <v>4</v>
      </c>
      <c r="E47" s="1">
        <v>-0.19800000000000001</v>
      </c>
      <c r="F47" t="s">
        <v>14</v>
      </c>
      <c r="G47" t="str">
        <f>_xlfn.XLOOKUP(transakcje[[#This Row],[podkategoria]],parametr[podkategoria],parametr[kategoria])</f>
        <v>opłaty stałe</v>
      </c>
      <c r="H47" t="str">
        <f>_xlfn.XLOOKUP(transakcje[[#This Row],[kategoria]],parametr[kategoria],parametr[typ])</f>
        <v>wydatki</v>
      </c>
      <c r="I47" s="1">
        <f>ABS(transakcje[[#This Row],[kwota]])</f>
        <v>0.19800000000000001</v>
      </c>
    </row>
    <row r="48" spans="1:9" x14ac:dyDescent="0.3">
      <c r="A48">
        <v>47</v>
      </c>
      <c r="B48">
        <v>2010</v>
      </c>
      <c r="C48">
        <v>5</v>
      </c>
      <c r="D48">
        <v>12</v>
      </c>
      <c r="E48" s="1">
        <v>25.925999999999998</v>
      </c>
      <c r="F48" t="s">
        <v>17</v>
      </c>
      <c r="G48" t="str">
        <f>_xlfn.XLOOKUP(transakcje[[#This Row],[podkategoria]],parametr[podkategoria],parametr[kategoria])</f>
        <v>dochody pozostałe</v>
      </c>
      <c r="H48" t="str">
        <f>_xlfn.XLOOKUP(transakcje[[#This Row],[kategoria]],parametr[kategoria],parametr[typ])</f>
        <v>dochody</v>
      </c>
      <c r="I48" s="1">
        <f>ABS(transakcje[[#This Row],[kwota]])</f>
        <v>25.925999999999998</v>
      </c>
    </row>
    <row r="49" spans="1:9" x14ac:dyDescent="0.3">
      <c r="A49">
        <v>48</v>
      </c>
      <c r="B49">
        <v>2010</v>
      </c>
      <c r="C49">
        <v>5</v>
      </c>
      <c r="D49">
        <v>14</v>
      </c>
      <c r="E49" s="1">
        <v>-0.19800000000000001</v>
      </c>
      <c r="F49" t="s">
        <v>14</v>
      </c>
      <c r="G49" t="str">
        <f>_xlfn.XLOOKUP(transakcje[[#This Row],[podkategoria]],parametr[podkategoria],parametr[kategoria])</f>
        <v>opłaty stałe</v>
      </c>
      <c r="H49" t="str">
        <f>_xlfn.XLOOKUP(transakcje[[#This Row],[kategoria]],parametr[kategoria],parametr[typ])</f>
        <v>wydatki</v>
      </c>
      <c r="I49" s="1">
        <f>ABS(transakcje[[#This Row],[kwota]])</f>
        <v>0.19800000000000001</v>
      </c>
    </row>
    <row r="50" spans="1:9" x14ac:dyDescent="0.3">
      <c r="A50">
        <v>49</v>
      </c>
      <c r="B50">
        <v>2010</v>
      </c>
      <c r="C50">
        <v>5</v>
      </c>
      <c r="D50">
        <v>15</v>
      </c>
      <c r="E50" s="1">
        <v>2.3660000000000001</v>
      </c>
      <c r="F50" t="s">
        <v>17</v>
      </c>
      <c r="G50" t="str">
        <f>_xlfn.XLOOKUP(transakcje[[#This Row],[podkategoria]],parametr[podkategoria],parametr[kategoria])</f>
        <v>dochody pozostałe</v>
      </c>
      <c r="H50" t="str">
        <f>_xlfn.XLOOKUP(transakcje[[#This Row],[kategoria]],parametr[kategoria],parametr[typ])</f>
        <v>dochody</v>
      </c>
      <c r="I50" s="1">
        <f>ABS(transakcje[[#This Row],[kwota]])</f>
        <v>2.3660000000000001</v>
      </c>
    </row>
    <row r="51" spans="1:9" x14ac:dyDescent="0.3">
      <c r="A51">
        <v>50</v>
      </c>
      <c r="B51">
        <v>2010</v>
      </c>
      <c r="C51">
        <v>5</v>
      </c>
      <c r="D51">
        <v>15</v>
      </c>
      <c r="E51" s="1">
        <v>-1.1960000000000002</v>
      </c>
      <c r="F51" t="s">
        <v>14</v>
      </c>
      <c r="G51" t="str">
        <f>_xlfn.XLOOKUP(transakcje[[#This Row],[podkategoria]],parametr[podkategoria],parametr[kategoria])</f>
        <v>opłaty stałe</v>
      </c>
      <c r="H51" t="str">
        <f>_xlfn.XLOOKUP(transakcje[[#This Row],[kategoria]],parametr[kategoria],parametr[typ])</f>
        <v>wydatki</v>
      </c>
      <c r="I51" s="1">
        <f>ABS(transakcje[[#This Row],[kwota]])</f>
        <v>1.1960000000000002</v>
      </c>
    </row>
    <row r="52" spans="1:9" x14ac:dyDescent="0.3">
      <c r="A52">
        <v>51</v>
      </c>
      <c r="B52">
        <v>2010</v>
      </c>
      <c r="C52">
        <v>5</v>
      </c>
      <c r="D52">
        <v>16</v>
      </c>
      <c r="E52" s="1">
        <v>6.1840000000000002</v>
      </c>
      <c r="F52" t="s">
        <v>17</v>
      </c>
      <c r="G52" t="str">
        <f>_xlfn.XLOOKUP(transakcje[[#This Row],[podkategoria]],parametr[podkategoria],parametr[kategoria])</f>
        <v>dochody pozostałe</v>
      </c>
      <c r="H52" t="str">
        <f>_xlfn.XLOOKUP(transakcje[[#This Row],[kategoria]],parametr[kategoria],parametr[typ])</f>
        <v>dochody</v>
      </c>
      <c r="I52" s="1">
        <f>ABS(transakcje[[#This Row],[kwota]])</f>
        <v>6.1840000000000002</v>
      </c>
    </row>
    <row r="53" spans="1:9" x14ac:dyDescent="0.3">
      <c r="A53">
        <v>52</v>
      </c>
      <c r="B53">
        <v>2010</v>
      </c>
      <c r="C53">
        <v>5</v>
      </c>
      <c r="D53">
        <v>17</v>
      </c>
      <c r="E53" s="1">
        <v>120</v>
      </c>
      <c r="F53" t="s">
        <v>28</v>
      </c>
      <c r="G53" t="str">
        <f>_xlfn.XLOOKUP(transakcje[[#This Row],[podkategoria]],parametr[podkategoria],parametr[kategoria])</f>
        <v>dochody pozostałe</v>
      </c>
      <c r="H53" t="str">
        <f>_xlfn.XLOOKUP(transakcje[[#This Row],[kategoria]],parametr[kategoria],parametr[typ])</f>
        <v>dochody</v>
      </c>
      <c r="I53" s="1">
        <f>ABS(transakcje[[#This Row],[kwota]])</f>
        <v>120</v>
      </c>
    </row>
    <row r="54" spans="1:9" x14ac:dyDescent="0.3">
      <c r="A54">
        <v>53</v>
      </c>
      <c r="B54">
        <v>2010</v>
      </c>
      <c r="C54">
        <v>5</v>
      </c>
      <c r="D54">
        <v>17</v>
      </c>
      <c r="E54" s="1">
        <v>-0.19800000000000001</v>
      </c>
      <c r="F54" t="s">
        <v>14</v>
      </c>
      <c r="G54" t="str">
        <f>_xlfn.XLOOKUP(transakcje[[#This Row],[podkategoria]],parametr[podkategoria],parametr[kategoria])</f>
        <v>opłaty stałe</v>
      </c>
      <c r="H54" t="str">
        <f>_xlfn.XLOOKUP(transakcje[[#This Row],[kategoria]],parametr[kategoria],parametr[typ])</f>
        <v>wydatki</v>
      </c>
      <c r="I54" s="1">
        <f>ABS(transakcje[[#This Row],[kwota]])</f>
        <v>0.19800000000000001</v>
      </c>
    </row>
    <row r="55" spans="1:9" x14ac:dyDescent="0.3">
      <c r="A55">
        <v>54</v>
      </c>
      <c r="B55">
        <v>2010</v>
      </c>
      <c r="C55">
        <v>5</v>
      </c>
      <c r="D55">
        <v>18</v>
      </c>
      <c r="E55" s="1">
        <v>-23.2</v>
      </c>
      <c r="F55" t="s">
        <v>29</v>
      </c>
      <c r="G55" t="str">
        <f>_xlfn.XLOOKUP(transakcje[[#This Row],[podkategoria]],parametr[podkategoria],parametr[kategoria])</f>
        <v>opłaty stałe</v>
      </c>
      <c r="H55" t="str">
        <f>_xlfn.XLOOKUP(transakcje[[#This Row],[kategoria]],parametr[kategoria],parametr[typ])</f>
        <v>wydatki</v>
      </c>
      <c r="I55" s="1">
        <f>ABS(transakcje[[#This Row],[kwota]])</f>
        <v>23.2</v>
      </c>
    </row>
    <row r="56" spans="1:9" x14ac:dyDescent="0.3">
      <c r="A56">
        <v>55</v>
      </c>
      <c r="B56">
        <v>2010</v>
      </c>
      <c r="C56">
        <v>5</v>
      </c>
      <c r="D56">
        <v>18</v>
      </c>
      <c r="E56" s="1">
        <v>-46.4</v>
      </c>
      <c r="F56" t="s">
        <v>30</v>
      </c>
      <c r="G56" t="str">
        <f>_xlfn.XLOOKUP(transakcje[[#This Row],[podkategoria]],parametr[podkategoria],parametr[kategoria])</f>
        <v>opłaty stałe</v>
      </c>
      <c r="H56" t="str">
        <f>_xlfn.XLOOKUP(transakcje[[#This Row],[kategoria]],parametr[kategoria],parametr[typ])</f>
        <v>wydatki</v>
      </c>
      <c r="I56" s="1">
        <f>ABS(transakcje[[#This Row],[kwota]])</f>
        <v>46.4</v>
      </c>
    </row>
    <row r="57" spans="1:9" x14ac:dyDescent="0.3">
      <c r="A57">
        <v>56</v>
      </c>
      <c r="B57">
        <v>2010</v>
      </c>
      <c r="C57">
        <v>5</v>
      </c>
      <c r="D57">
        <v>18</v>
      </c>
      <c r="E57" s="1">
        <v>-0.19800000000000001</v>
      </c>
      <c r="F57" t="s">
        <v>14</v>
      </c>
      <c r="G57" t="str">
        <f>_xlfn.XLOOKUP(transakcje[[#This Row],[podkategoria]],parametr[podkategoria],parametr[kategoria])</f>
        <v>opłaty stałe</v>
      </c>
      <c r="H57" t="str">
        <f>_xlfn.XLOOKUP(transakcje[[#This Row],[kategoria]],parametr[kategoria],parametr[typ])</f>
        <v>wydatki</v>
      </c>
      <c r="I57" s="1">
        <f>ABS(transakcje[[#This Row],[kwota]])</f>
        <v>0.19800000000000001</v>
      </c>
    </row>
    <row r="58" spans="1:9" x14ac:dyDescent="0.3">
      <c r="A58">
        <v>57</v>
      </c>
      <c r="B58">
        <v>2010</v>
      </c>
      <c r="C58">
        <v>5</v>
      </c>
      <c r="D58">
        <v>18</v>
      </c>
      <c r="E58" s="1">
        <v>-0.19800000000000001</v>
      </c>
      <c r="F58" t="s">
        <v>14</v>
      </c>
      <c r="G58" t="str">
        <f>_xlfn.XLOOKUP(transakcje[[#This Row],[podkategoria]],parametr[podkategoria],parametr[kategoria])</f>
        <v>opłaty stałe</v>
      </c>
      <c r="H58" t="str">
        <f>_xlfn.XLOOKUP(transakcje[[#This Row],[kategoria]],parametr[kategoria],parametr[typ])</f>
        <v>wydatki</v>
      </c>
      <c r="I58" s="1">
        <f>ABS(transakcje[[#This Row],[kwota]])</f>
        <v>0.19800000000000001</v>
      </c>
    </row>
    <row r="59" spans="1:9" x14ac:dyDescent="0.3">
      <c r="A59">
        <v>58</v>
      </c>
      <c r="B59">
        <v>2010</v>
      </c>
      <c r="C59">
        <v>5</v>
      </c>
      <c r="D59">
        <v>18</v>
      </c>
      <c r="E59" s="1">
        <v>-76.5</v>
      </c>
      <c r="F59" t="s">
        <v>11</v>
      </c>
      <c r="G59" t="str">
        <f>_xlfn.XLOOKUP(transakcje[[#This Row],[podkategoria]],parametr[podkategoria],parametr[kategoria])</f>
        <v>wydatki inne</v>
      </c>
      <c r="H59" t="str">
        <f>_xlfn.XLOOKUP(transakcje[[#This Row],[kategoria]],parametr[kategoria],parametr[typ])</f>
        <v>wydatki</v>
      </c>
      <c r="I59" s="1">
        <f>ABS(transakcje[[#This Row],[kwota]])</f>
        <v>76.5</v>
      </c>
    </row>
    <row r="60" spans="1:9" x14ac:dyDescent="0.3">
      <c r="A60">
        <v>59</v>
      </c>
      <c r="B60">
        <v>2010</v>
      </c>
      <c r="C60">
        <v>5</v>
      </c>
      <c r="D60">
        <v>20</v>
      </c>
      <c r="E60" s="1">
        <v>600</v>
      </c>
      <c r="F60" t="s">
        <v>28</v>
      </c>
      <c r="G60" t="str">
        <f>_xlfn.XLOOKUP(transakcje[[#This Row],[podkategoria]],parametr[podkategoria],parametr[kategoria])</f>
        <v>dochody pozostałe</v>
      </c>
      <c r="H60" t="str">
        <f>_xlfn.XLOOKUP(transakcje[[#This Row],[kategoria]],parametr[kategoria],parametr[typ])</f>
        <v>dochody</v>
      </c>
      <c r="I60" s="1">
        <f>ABS(transakcje[[#This Row],[kwota]])</f>
        <v>600</v>
      </c>
    </row>
    <row r="61" spans="1:9" x14ac:dyDescent="0.3">
      <c r="A61">
        <v>60</v>
      </c>
      <c r="B61">
        <v>2010</v>
      </c>
      <c r="C61">
        <v>5</v>
      </c>
      <c r="D61">
        <v>24</v>
      </c>
      <c r="E61" s="1">
        <v>-44.6</v>
      </c>
      <c r="F61" t="s">
        <v>11</v>
      </c>
      <c r="G61" t="str">
        <f>_xlfn.XLOOKUP(transakcje[[#This Row],[podkategoria]],parametr[podkategoria],parametr[kategoria])</f>
        <v>wydatki inne</v>
      </c>
      <c r="H61" t="str">
        <f>_xlfn.XLOOKUP(transakcje[[#This Row],[kategoria]],parametr[kategoria],parametr[typ])</f>
        <v>wydatki</v>
      </c>
      <c r="I61" s="1">
        <f>ABS(transakcje[[#This Row],[kwota]])</f>
        <v>44.6</v>
      </c>
    </row>
    <row r="62" spans="1:9" x14ac:dyDescent="0.3">
      <c r="A62">
        <v>61</v>
      </c>
      <c r="B62">
        <v>2010</v>
      </c>
      <c r="C62">
        <v>5</v>
      </c>
      <c r="D62">
        <v>24</v>
      </c>
      <c r="E62" s="1">
        <v>-0.19800000000000001</v>
      </c>
      <c r="F62" t="s">
        <v>14</v>
      </c>
      <c r="G62" t="str">
        <f>_xlfn.XLOOKUP(transakcje[[#This Row],[podkategoria]],parametr[podkategoria],parametr[kategoria])</f>
        <v>opłaty stałe</v>
      </c>
      <c r="H62" t="str">
        <f>_xlfn.XLOOKUP(transakcje[[#This Row],[kategoria]],parametr[kategoria],parametr[typ])</f>
        <v>wydatki</v>
      </c>
      <c r="I62" s="1">
        <f>ABS(transakcje[[#This Row],[kwota]])</f>
        <v>0.19800000000000001</v>
      </c>
    </row>
    <row r="63" spans="1:9" x14ac:dyDescent="0.3">
      <c r="A63">
        <v>62</v>
      </c>
      <c r="B63">
        <v>2010</v>
      </c>
      <c r="C63">
        <v>5</v>
      </c>
      <c r="D63">
        <v>27</v>
      </c>
      <c r="E63" s="1">
        <v>382.36</v>
      </c>
      <c r="F63" t="s">
        <v>8</v>
      </c>
      <c r="G63" t="str">
        <f>_xlfn.XLOOKUP(transakcje[[#This Row],[podkategoria]],parametr[podkategoria],parametr[kategoria])</f>
        <v>dochody z pracy</v>
      </c>
      <c r="H63" t="str">
        <f>_xlfn.XLOOKUP(transakcje[[#This Row],[kategoria]],parametr[kategoria],parametr[typ])</f>
        <v>dochody</v>
      </c>
      <c r="I63" s="1">
        <f>ABS(transakcje[[#This Row],[kwota]])</f>
        <v>382.36</v>
      </c>
    </row>
    <row r="64" spans="1:9" x14ac:dyDescent="0.3">
      <c r="A64">
        <v>63</v>
      </c>
      <c r="B64">
        <v>2010</v>
      </c>
      <c r="C64">
        <v>5</v>
      </c>
      <c r="D64">
        <v>31</v>
      </c>
      <c r="E64" s="1">
        <v>-0.19800000000000001</v>
      </c>
      <c r="F64" t="s">
        <v>14</v>
      </c>
      <c r="G64" t="str">
        <f>_xlfn.XLOOKUP(transakcje[[#This Row],[podkategoria]],parametr[podkategoria],parametr[kategoria])</f>
        <v>opłaty stałe</v>
      </c>
      <c r="H64" t="str">
        <f>_xlfn.XLOOKUP(transakcje[[#This Row],[kategoria]],parametr[kategoria],parametr[typ])</f>
        <v>wydatki</v>
      </c>
      <c r="I64" s="1">
        <f>ABS(transakcje[[#This Row],[kwota]])</f>
        <v>0.19800000000000001</v>
      </c>
    </row>
    <row r="65" spans="1:9" x14ac:dyDescent="0.3">
      <c r="A65">
        <v>64</v>
      </c>
      <c r="B65">
        <v>2010</v>
      </c>
      <c r="C65">
        <v>5</v>
      </c>
      <c r="D65">
        <v>31</v>
      </c>
      <c r="E65" s="1">
        <v>-1.198</v>
      </c>
      <c r="F65" t="s">
        <v>14</v>
      </c>
      <c r="G65" t="str">
        <f>_xlfn.XLOOKUP(transakcje[[#This Row],[podkategoria]],parametr[podkategoria],parametr[kategoria])</f>
        <v>opłaty stałe</v>
      </c>
      <c r="H65" t="str">
        <f>_xlfn.XLOOKUP(transakcje[[#This Row],[kategoria]],parametr[kategoria],parametr[typ])</f>
        <v>wydatki</v>
      </c>
      <c r="I65" s="1">
        <f>ABS(transakcje[[#This Row],[kwota]])</f>
        <v>1.198</v>
      </c>
    </row>
    <row r="66" spans="1:9" x14ac:dyDescent="0.3">
      <c r="A66">
        <v>65</v>
      </c>
      <c r="B66">
        <v>2010</v>
      </c>
      <c r="C66">
        <v>6</v>
      </c>
      <c r="D66">
        <v>1</v>
      </c>
      <c r="E66" s="1">
        <v>-20</v>
      </c>
      <c r="F66" t="s">
        <v>11</v>
      </c>
      <c r="G66" t="str">
        <f>_xlfn.XLOOKUP(transakcje[[#This Row],[podkategoria]],parametr[podkategoria],parametr[kategoria])</f>
        <v>wydatki inne</v>
      </c>
      <c r="H66" t="str">
        <f>_xlfn.XLOOKUP(transakcje[[#This Row],[kategoria]],parametr[kategoria],parametr[typ])</f>
        <v>wydatki</v>
      </c>
      <c r="I66" s="1">
        <f>ABS(transakcje[[#This Row],[kwota]])</f>
        <v>20</v>
      </c>
    </row>
    <row r="67" spans="1:9" x14ac:dyDescent="0.3">
      <c r="A67">
        <v>66</v>
      </c>
      <c r="B67">
        <v>2010</v>
      </c>
      <c r="C67">
        <v>6</v>
      </c>
      <c r="D67">
        <v>4</v>
      </c>
      <c r="E67" s="1">
        <v>-15.874000000000001</v>
      </c>
      <c r="F67" t="s">
        <v>25</v>
      </c>
      <c r="G67" t="str">
        <f>_xlfn.XLOOKUP(transakcje[[#This Row],[podkategoria]],parametr[podkategoria],parametr[kategoria])</f>
        <v>opłaty stałe</v>
      </c>
      <c r="H67" t="str">
        <f>_xlfn.XLOOKUP(transakcje[[#This Row],[kategoria]],parametr[kategoria],parametr[typ])</f>
        <v>wydatki</v>
      </c>
      <c r="I67" s="1">
        <f>ABS(transakcje[[#This Row],[kwota]])</f>
        <v>15.874000000000001</v>
      </c>
    </row>
    <row r="68" spans="1:9" x14ac:dyDescent="0.3">
      <c r="A68">
        <v>67</v>
      </c>
      <c r="B68">
        <v>2010</v>
      </c>
      <c r="C68">
        <v>6</v>
      </c>
      <c r="D68">
        <v>9</v>
      </c>
      <c r="E68" s="1">
        <v>-82.6</v>
      </c>
      <c r="F68" t="s">
        <v>26</v>
      </c>
      <c r="G68" t="str">
        <f>_xlfn.XLOOKUP(transakcje[[#This Row],[podkategoria]],parametr[podkategoria],parametr[kategoria])</f>
        <v>życie</v>
      </c>
      <c r="H68" t="str">
        <f>_xlfn.XLOOKUP(transakcje[[#This Row],[kategoria]],parametr[kategoria],parametr[typ])</f>
        <v>wydatki</v>
      </c>
      <c r="I68" s="1">
        <f>ABS(transakcje[[#This Row],[kwota]])</f>
        <v>82.6</v>
      </c>
    </row>
    <row r="69" spans="1:9" x14ac:dyDescent="0.3">
      <c r="A69">
        <v>68</v>
      </c>
      <c r="B69">
        <v>2010</v>
      </c>
      <c r="C69">
        <v>6</v>
      </c>
      <c r="D69">
        <v>9</v>
      </c>
      <c r="E69" s="1">
        <v>-55.69</v>
      </c>
      <c r="F69" t="s">
        <v>31</v>
      </c>
      <c r="G69" t="str">
        <f>_xlfn.XLOOKUP(transakcje[[#This Row],[podkategoria]],parametr[podkategoria],parametr[kategoria])</f>
        <v>opłaty stałe</v>
      </c>
      <c r="H69" t="str">
        <f>_xlfn.XLOOKUP(transakcje[[#This Row],[kategoria]],parametr[kategoria],parametr[typ])</f>
        <v>wydatki</v>
      </c>
      <c r="I69" s="1">
        <f>ABS(transakcje[[#This Row],[kwota]])</f>
        <v>55.69</v>
      </c>
    </row>
    <row r="70" spans="1:9" x14ac:dyDescent="0.3">
      <c r="A70">
        <v>69</v>
      </c>
      <c r="B70">
        <v>2010</v>
      </c>
      <c r="C70">
        <v>6</v>
      </c>
      <c r="D70">
        <v>15</v>
      </c>
      <c r="E70" s="1">
        <v>2.1999999999999999E-2</v>
      </c>
      <c r="F70" t="s">
        <v>17</v>
      </c>
      <c r="G70" t="str">
        <f>_xlfn.XLOOKUP(transakcje[[#This Row],[podkategoria]],parametr[podkategoria],parametr[kategoria])</f>
        <v>dochody pozostałe</v>
      </c>
      <c r="H70" t="str">
        <f>_xlfn.XLOOKUP(transakcje[[#This Row],[kategoria]],parametr[kategoria],parametr[typ])</f>
        <v>dochody</v>
      </c>
      <c r="I70" s="1">
        <f>ABS(transakcje[[#This Row],[kwota]])</f>
        <v>2.1999999999999999E-2</v>
      </c>
    </row>
    <row r="71" spans="1:9" x14ac:dyDescent="0.3">
      <c r="A71">
        <v>70</v>
      </c>
      <c r="B71">
        <v>2010</v>
      </c>
      <c r="C71">
        <v>6</v>
      </c>
      <c r="D71">
        <v>15</v>
      </c>
      <c r="E71" s="1">
        <v>-0.19800000000000001</v>
      </c>
      <c r="F71" t="s">
        <v>14</v>
      </c>
      <c r="G71" t="str">
        <f>_xlfn.XLOOKUP(transakcje[[#This Row],[podkategoria]],parametr[podkategoria],parametr[kategoria])</f>
        <v>opłaty stałe</v>
      </c>
      <c r="H71" t="str">
        <f>_xlfn.XLOOKUP(transakcje[[#This Row],[kategoria]],parametr[kategoria],parametr[typ])</f>
        <v>wydatki</v>
      </c>
      <c r="I71" s="1">
        <f>ABS(transakcje[[#This Row],[kwota]])</f>
        <v>0.19800000000000001</v>
      </c>
    </row>
    <row r="72" spans="1:9" x14ac:dyDescent="0.3">
      <c r="A72">
        <v>71</v>
      </c>
      <c r="B72">
        <v>2010</v>
      </c>
      <c r="C72">
        <v>6</v>
      </c>
      <c r="D72">
        <v>16</v>
      </c>
      <c r="E72" s="1">
        <v>-0.39800000000000002</v>
      </c>
      <c r="F72" t="s">
        <v>14</v>
      </c>
      <c r="G72" t="str">
        <f>_xlfn.XLOOKUP(transakcje[[#This Row],[podkategoria]],parametr[podkategoria],parametr[kategoria])</f>
        <v>opłaty stałe</v>
      </c>
      <c r="H72" t="str">
        <f>_xlfn.XLOOKUP(transakcje[[#This Row],[kategoria]],parametr[kategoria],parametr[typ])</f>
        <v>wydatki</v>
      </c>
      <c r="I72" s="1">
        <f>ABS(transakcje[[#This Row],[kwota]])</f>
        <v>0.39800000000000002</v>
      </c>
    </row>
    <row r="73" spans="1:9" x14ac:dyDescent="0.3">
      <c r="A73">
        <v>72</v>
      </c>
      <c r="B73">
        <v>2010</v>
      </c>
      <c r="C73">
        <v>6</v>
      </c>
      <c r="D73">
        <v>25</v>
      </c>
      <c r="E73" s="1">
        <v>-16.2</v>
      </c>
      <c r="F73" t="s">
        <v>32</v>
      </c>
      <c r="G73" t="str">
        <f>_xlfn.XLOOKUP(transakcje[[#This Row],[podkategoria]],parametr[podkategoria],parametr[kategoria])</f>
        <v>opłaty stałe</v>
      </c>
      <c r="H73" t="str">
        <f>_xlfn.XLOOKUP(transakcje[[#This Row],[kategoria]],parametr[kategoria],parametr[typ])</f>
        <v>wydatki</v>
      </c>
      <c r="I73" s="1">
        <f>ABS(transakcje[[#This Row],[kwota]])</f>
        <v>16.2</v>
      </c>
    </row>
    <row r="74" spans="1:9" x14ac:dyDescent="0.3">
      <c r="A74">
        <v>73</v>
      </c>
      <c r="B74">
        <v>2010</v>
      </c>
      <c r="C74">
        <v>6</v>
      </c>
      <c r="D74">
        <v>25</v>
      </c>
      <c r="E74" s="1">
        <v>382.36</v>
      </c>
      <c r="F74" t="s">
        <v>8</v>
      </c>
      <c r="G74" t="str">
        <f>_xlfn.XLOOKUP(transakcje[[#This Row],[podkategoria]],parametr[podkategoria],parametr[kategoria])</f>
        <v>dochody z pracy</v>
      </c>
      <c r="H74" t="str">
        <f>_xlfn.XLOOKUP(transakcje[[#This Row],[kategoria]],parametr[kategoria],parametr[typ])</f>
        <v>dochody</v>
      </c>
      <c r="I74" s="1">
        <f>ABS(transakcje[[#This Row],[kwota]])</f>
        <v>382.36</v>
      </c>
    </row>
    <row r="75" spans="1:9" x14ac:dyDescent="0.3">
      <c r="A75">
        <v>74</v>
      </c>
      <c r="B75">
        <v>2010</v>
      </c>
      <c r="C75">
        <v>6</v>
      </c>
      <c r="D75">
        <v>29</v>
      </c>
      <c r="E75" s="1">
        <v>-33.851999999999997</v>
      </c>
      <c r="F75" t="s">
        <v>33</v>
      </c>
      <c r="G75" t="str">
        <f>_xlfn.XLOOKUP(transakcje[[#This Row],[podkategoria]],parametr[podkategoria],parametr[kategoria])</f>
        <v>trwałe</v>
      </c>
      <c r="H75" t="str">
        <f>_xlfn.XLOOKUP(transakcje[[#This Row],[kategoria]],parametr[kategoria],parametr[typ])</f>
        <v>wydatki</v>
      </c>
      <c r="I75" s="1">
        <f>ABS(transakcje[[#This Row],[kwota]])</f>
        <v>33.851999999999997</v>
      </c>
    </row>
    <row r="76" spans="1:9" x14ac:dyDescent="0.3">
      <c r="A76">
        <v>75</v>
      </c>
      <c r="B76">
        <v>2010</v>
      </c>
      <c r="C76">
        <v>6</v>
      </c>
      <c r="D76">
        <v>30</v>
      </c>
      <c r="E76" s="1">
        <v>2E-3</v>
      </c>
      <c r="F76" t="s">
        <v>17</v>
      </c>
      <c r="G76" t="str">
        <f>_xlfn.XLOOKUP(transakcje[[#This Row],[podkategoria]],parametr[podkategoria],parametr[kategoria])</f>
        <v>dochody pozostałe</v>
      </c>
      <c r="H76" t="str">
        <f>_xlfn.XLOOKUP(transakcje[[#This Row],[kategoria]],parametr[kategoria],parametr[typ])</f>
        <v>dochody</v>
      </c>
      <c r="I76" s="1">
        <f>ABS(transakcje[[#This Row],[kwota]])</f>
        <v>2E-3</v>
      </c>
    </row>
    <row r="77" spans="1:9" x14ac:dyDescent="0.3">
      <c r="A77">
        <v>76</v>
      </c>
      <c r="B77">
        <v>2010</v>
      </c>
      <c r="C77">
        <v>6</v>
      </c>
      <c r="D77">
        <v>30</v>
      </c>
      <c r="E77" s="1">
        <v>-1.198</v>
      </c>
      <c r="F77" t="s">
        <v>14</v>
      </c>
      <c r="G77" t="str">
        <f>_xlfn.XLOOKUP(transakcje[[#This Row],[podkategoria]],parametr[podkategoria],parametr[kategoria])</f>
        <v>opłaty stałe</v>
      </c>
      <c r="H77" t="str">
        <f>_xlfn.XLOOKUP(transakcje[[#This Row],[kategoria]],parametr[kategoria],parametr[typ])</f>
        <v>wydatki</v>
      </c>
      <c r="I77" s="1">
        <f>ABS(transakcje[[#This Row],[kwota]])</f>
        <v>1.198</v>
      </c>
    </row>
    <row r="78" spans="1:9" x14ac:dyDescent="0.3">
      <c r="A78">
        <v>77</v>
      </c>
      <c r="B78">
        <v>2010</v>
      </c>
      <c r="C78">
        <v>6</v>
      </c>
      <c r="D78">
        <v>30</v>
      </c>
      <c r="E78" s="1">
        <v>-0.3</v>
      </c>
      <c r="F78" t="s">
        <v>14</v>
      </c>
      <c r="G78" t="str">
        <f>_xlfn.XLOOKUP(transakcje[[#This Row],[podkategoria]],parametr[podkategoria],parametr[kategoria])</f>
        <v>opłaty stałe</v>
      </c>
      <c r="H78" t="str">
        <f>_xlfn.XLOOKUP(transakcje[[#This Row],[kategoria]],parametr[kategoria],parametr[typ])</f>
        <v>wydatki</v>
      </c>
      <c r="I78" s="1">
        <f>ABS(transakcje[[#This Row],[kwota]])</f>
        <v>0.3</v>
      </c>
    </row>
    <row r="79" spans="1:9" x14ac:dyDescent="0.3">
      <c r="A79">
        <v>78</v>
      </c>
      <c r="B79">
        <v>2010</v>
      </c>
      <c r="C79">
        <v>7</v>
      </c>
      <c r="D79">
        <v>1</v>
      </c>
      <c r="E79" s="1">
        <v>-216.39600000000002</v>
      </c>
      <c r="F79" t="s">
        <v>11</v>
      </c>
      <c r="G79" t="str">
        <f>_xlfn.XLOOKUP(transakcje[[#This Row],[podkategoria]],parametr[podkategoria],parametr[kategoria])</f>
        <v>wydatki inne</v>
      </c>
      <c r="H79" t="str">
        <f>_xlfn.XLOOKUP(transakcje[[#This Row],[kategoria]],parametr[kategoria],parametr[typ])</f>
        <v>wydatki</v>
      </c>
      <c r="I79" s="1">
        <f>ABS(transakcje[[#This Row],[kwota]])</f>
        <v>216.39600000000002</v>
      </c>
    </row>
    <row r="80" spans="1:9" x14ac:dyDescent="0.3">
      <c r="A80">
        <v>79</v>
      </c>
      <c r="B80">
        <v>2010</v>
      </c>
      <c r="C80">
        <v>7</v>
      </c>
      <c r="D80">
        <v>8</v>
      </c>
      <c r="E80" s="1">
        <v>3000</v>
      </c>
      <c r="F80" t="s">
        <v>28</v>
      </c>
      <c r="G80" t="str">
        <f>_xlfn.XLOOKUP(transakcje[[#This Row],[podkategoria]],parametr[podkategoria],parametr[kategoria])</f>
        <v>dochody pozostałe</v>
      </c>
      <c r="H80" t="str">
        <f>_xlfn.XLOOKUP(transakcje[[#This Row],[kategoria]],parametr[kategoria],parametr[typ])</f>
        <v>dochody</v>
      </c>
      <c r="I80" s="1">
        <f>ABS(transakcje[[#This Row],[kwota]])</f>
        <v>3000</v>
      </c>
    </row>
    <row r="81" spans="1:9" x14ac:dyDescent="0.3">
      <c r="A81">
        <v>80</v>
      </c>
      <c r="B81">
        <v>2010</v>
      </c>
      <c r="C81">
        <v>7</v>
      </c>
      <c r="D81">
        <v>9</v>
      </c>
      <c r="E81" s="1">
        <v>-1.6600000000000001</v>
      </c>
      <c r="F81" t="s">
        <v>11</v>
      </c>
      <c r="G81" t="str">
        <f>_xlfn.XLOOKUP(transakcje[[#This Row],[podkategoria]],parametr[podkategoria],parametr[kategoria])</f>
        <v>wydatki inne</v>
      </c>
      <c r="H81" t="str">
        <f>_xlfn.XLOOKUP(transakcje[[#This Row],[kategoria]],parametr[kategoria],parametr[typ])</f>
        <v>wydatki</v>
      </c>
      <c r="I81" s="1">
        <f>ABS(transakcje[[#This Row],[kwota]])</f>
        <v>1.6600000000000001</v>
      </c>
    </row>
    <row r="82" spans="1:9" x14ac:dyDescent="0.3">
      <c r="A82">
        <v>81</v>
      </c>
      <c r="B82">
        <v>2010</v>
      </c>
      <c r="C82">
        <v>7</v>
      </c>
      <c r="D82">
        <v>9</v>
      </c>
      <c r="E82" s="1">
        <v>-7.6059999999999999</v>
      </c>
      <c r="F82" t="s">
        <v>34</v>
      </c>
      <c r="G82" t="str">
        <f>_xlfn.XLOOKUP(transakcje[[#This Row],[podkategoria]],parametr[podkategoria],parametr[kategoria])</f>
        <v>opłaty stałe</v>
      </c>
      <c r="H82" t="str">
        <f>_xlfn.XLOOKUP(transakcje[[#This Row],[kategoria]],parametr[kategoria],parametr[typ])</f>
        <v>wydatki</v>
      </c>
      <c r="I82" s="1">
        <f>ABS(transakcje[[#This Row],[kwota]])</f>
        <v>7.6059999999999999</v>
      </c>
    </row>
    <row r="83" spans="1:9" x14ac:dyDescent="0.3">
      <c r="A83">
        <v>82</v>
      </c>
      <c r="B83">
        <v>2010</v>
      </c>
      <c r="C83">
        <v>7</v>
      </c>
      <c r="D83">
        <v>9</v>
      </c>
      <c r="E83" s="1">
        <v>-12.465999999999999</v>
      </c>
      <c r="F83" t="s">
        <v>25</v>
      </c>
      <c r="G83" t="str">
        <f>_xlfn.XLOOKUP(transakcje[[#This Row],[podkategoria]],parametr[podkategoria],parametr[kategoria])</f>
        <v>opłaty stałe</v>
      </c>
      <c r="H83" t="str">
        <f>_xlfn.XLOOKUP(transakcje[[#This Row],[kategoria]],parametr[kategoria],parametr[typ])</f>
        <v>wydatki</v>
      </c>
      <c r="I83" s="1">
        <f>ABS(transakcje[[#This Row],[kwota]])</f>
        <v>12.465999999999999</v>
      </c>
    </row>
    <row r="84" spans="1:9" x14ac:dyDescent="0.3">
      <c r="A84">
        <v>83</v>
      </c>
      <c r="B84">
        <v>2010</v>
      </c>
      <c r="C84">
        <v>7</v>
      </c>
      <c r="D84">
        <v>12</v>
      </c>
      <c r="E84" s="1">
        <v>-55.698</v>
      </c>
      <c r="F84" t="s">
        <v>31</v>
      </c>
      <c r="G84" t="str">
        <f>_xlfn.XLOOKUP(transakcje[[#This Row],[podkategoria]],parametr[podkategoria],parametr[kategoria])</f>
        <v>opłaty stałe</v>
      </c>
      <c r="H84" t="str">
        <f>_xlfn.XLOOKUP(transakcje[[#This Row],[kategoria]],parametr[kategoria],parametr[typ])</f>
        <v>wydatki</v>
      </c>
      <c r="I84" s="1">
        <f>ABS(transakcje[[#This Row],[kwota]])</f>
        <v>55.698</v>
      </c>
    </row>
    <row r="85" spans="1:9" x14ac:dyDescent="0.3">
      <c r="A85">
        <v>84</v>
      </c>
      <c r="B85">
        <v>2010</v>
      </c>
      <c r="C85">
        <v>7</v>
      </c>
      <c r="D85">
        <v>14</v>
      </c>
      <c r="E85" s="1">
        <v>-100</v>
      </c>
      <c r="F85" t="s">
        <v>11</v>
      </c>
      <c r="G85" t="str">
        <f>_xlfn.XLOOKUP(transakcje[[#This Row],[podkategoria]],parametr[podkategoria],parametr[kategoria])</f>
        <v>wydatki inne</v>
      </c>
      <c r="H85" t="str">
        <f>_xlfn.XLOOKUP(transakcje[[#This Row],[kategoria]],parametr[kategoria],parametr[typ])</f>
        <v>wydatki</v>
      </c>
      <c r="I85" s="1">
        <f>ABS(transakcje[[#This Row],[kwota]])</f>
        <v>100</v>
      </c>
    </row>
    <row r="86" spans="1:9" x14ac:dyDescent="0.3">
      <c r="A86">
        <v>85</v>
      </c>
      <c r="B86">
        <v>2010</v>
      </c>
      <c r="C86">
        <v>7</v>
      </c>
      <c r="D86">
        <v>14</v>
      </c>
      <c r="E86" s="1">
        <v>-4</v>
      </c>
      <c r="F86" t="s">
        <v>14</v>
      </c>
      <c r="G86" t="str">
        <f>_xlfn.XLOOKUP(transakcje[[#This Row],[podkategoria]],parametr[podkategoria],parametr[kategoria])</f>
        <v>opłaty stałe</v>
      </c>
      <c r="H86" t="str">
        <f>_xlfn.XLOOKUP(transakcje[[#This Row],[kategoria]],parametr[kategoria],parametr[typ])</f>
        <v>wydatki</v>
      </c>
      <c r="I86" s="1">
        <f>ABS(transakcje[[#This Row],[kwota]])</f>
        <v>4</v>
      </c>
    </row>
    <row r="87" spans="1:9" x14ac:dyDescent="0.3">
      <c r="A87">
        <v>86</v>
      </c>
      <c r="B87">
        <v>2010</v>
      </c>
      <c r="C87">
        <v>7</v>
      </c>
      <c r="D87">
        <v>15</v>
      </c>
      <c r="E87" s="1">
        <v>-1.1960000000000002</v>
      </c>
      <c r="F87" t="s">
        <v>14</v>
      </c>
      <c r="G87" t="str">
        <f>_xlfn.XLOOKUP(transakcje[[#This Row],[podkategoria]],parametr[podkategoria],parametr[kategoria])</f>
        <v>opłaty stałe</v>
      </c>
      <c r="H87" t="str">
        <f>_xlfn.XLOOKUP(transakcje[[#This Row],[kategoria]],parametr[kategoria],parametr[typ])</f>
        <v>wydatki</v>
      </c>
      <c r="I87" s="1">
        <f>ABS(transakcje[[#This Row],[kwota]])</f>
        <v>1.1960000000000002</v>
      </c>
    </row>
    <row r="88" spans="1:9" x14ac:dyDescent="0.3">
      <c r="A88">
        <v>87</v>
      </c>
      <c r="B88">
        <v>2010</v>
      </c>
      <c r="C88">
        <v>7</v>
      </c>
      <c r="D88">
        <v>15</v>
      </c>
      <c r="E88" s="1">
        <v>-0.79600000000000004</v>
      </c>
      <c r="F88" t="s">
        <v>14</v>
      </c>
      <c r="G88" t="str">
        <f>_xlfn.XLOOKUP(transakcje[[#This Row],[podkategoria]],parametr[podkategoria],parametr[kategoria])</f>
        <v>opłaty stałe</v>
      </c>
      <c r="H88" t="str">
        <f>_xlfn.XLOOKUP(transakcje[[#This Row],[kategoria]],parametr[kategoria],parametr[typ])</f>
        <v>wydatki</v>
      </c>
      <c r="I88" s="1">
        <f>ABS(transakcje[[#This Row],[kwota]])</f>
        <v>0.79600000000000004</v>
      </c>
    </row>
    <row r="89" spans="1:9" x14ac:dyDescent="0.3">
      <c r="A89">
        <v>88</v>
      </c>
      <c r="B89">
        <v>2010</v>
      </c>
      <c r="C89">
        <v>7</v>
      </c>
      <c r="D89">
        <v>19</v>
      </c>
      <c r="E89" s="1">
        <v>-5</v>
      </c>
      <c r="F89" t="s">
        <v>11</v>
      </c>
      <c r="G89" t="str">
        <f>_xlfn.XLOOKUP(transakcje[[#This Row],[podkategoria]],parametr[podkategoria],parametr[kategoria])</f>
        <v>wydatki inne</v>
      </c>
      <c r="H89" t="str">
        <f>_xlfn.XLOOKUP(transakcje[[#This Row],[kategoria]],parametr[kategoria],parametr[typ])</f>
        <v>wydatki</v>
      </c>
      <c r="I89" s="1">
        <f>ABS(transakcje[[#This Row],[kwota]])</f>
        <v>5</v>
      </c>
    </row>
    <row r="90" spans="1:9" x14ac:dyDescent="0.3">
      <c r="A90">
        <v>89</v>
      </c>
      <c r="B90">
        <v>2010</v>
      </c>
      <c r="C90">
        <v>7</v>
      </c>
      <c r="D90">
        <v>21</v>
      </c>
      <c r="E90" s="1">
        <v>-119.998</v>
      </c>
      <c r="F90" t="s">
        <v>33</v>
      </c>
      <c r="G90" t="str">
        <f>_xlfn.XLOOKUP(transakcje[[#This Row],[podkategoria]],parametr[podkategoria],parametr[kategoria])</f>
        <v>trwałe</v>
      </c>
      <c r="H90" t="str">
        <f>_xlfn.XLOOKUP(transakcje[[#This Row],[kategoria]],parametr[kategoria],parametr[typ])</f>
        <v>wydatki</v>
      </c>
      <c r="I90" s="1">
        <f>ABS(transakcje[[#This Row],[kwota]])</f>
        <v>119.998</v>
      </c>
    </row>
    <row r="91" spans="1:9" x14ac:dyDescent="0.3">
      <c r="A91">
        <v>90</v>
      </c>
      <c r="B91">
        <v>2010</v>
      </c>
      <c r="C91">
        <v>7</v>
      </c>
      <c r="D91">
        <v>21</v>
      </c>
      <c r="E91" s="1">
        <v>-100</v>
      </c>
      <c r="F91" t="s">
        <v>11</v>
      </c>
      <c r="G91" t="str">
        <f>_xlfn.XLOOKUP(transakcje[[#This Row],[podkategoria]],parametr[podkategoria],parametr[kategoria])</f>
        <v>wydatki inne</v>
      </c>
      <c r="H91" t="str">
        <f>_xlfn.XLOOKUP(transakcje[[#This Row],[kategoria]],parametr[kategoria],parametr[typ])</f>
        <v>wydatki</v>
      </c>
      <c r="I91" s="1">
        <f>ABS(transakcje[[#This Row],[kwota]])</f>
        <v>100</v>
      </c>
    </row>
    <row r="92" spans="1:9" x14ac:dyDescent="0.3">
      <c r="A92">
        <v>91</v>
      </c>
      <c r="B92">
        <v>2010</v>
      </c>
      <c r="C92">
        <v>7</v>
      </c>
      <c r="D92">
        <v>21</v>
      </c>
      <c r="E92" s="1">
        <v>-340.55</v>
      </c>
      <c r="F92" t="s">
        <v>24</v>
      </c>
      <c r="G92" t="str">
        <f>_xlfn.XLOOKUP(transakcje[[#This Row],[podkategoria]],parametr[podkategoria],parametr[kategoria])</f>
        <v>trwałe</v>
      </c>
      <c r="H92" t="str">
        <f>_xlfn.XLOOKUP(transakcje[[#This Row],[kategoria]],parametr[kategoria],parametr[typ])</f>
        <v>wydatki</v>
      </c>
      <c r="I92" s="1">
        <f>ABS(transakcje[[#This Row],[kwota]])</f>
        <v>340.55</v>
      </c>
    </row>
    <row r="93" spans="1:9" x14ac:dyDescent="0.3">
      <c r="A93">
        <v>92</v>
      </c>
      <c r="B93">
        <v>2010</v>
      </c>
      <c r="C93">
        <v>7</v>
      </c>
      <c r="D93">
        <v>23</v>
      </c>
      <c r="E93" s="1">
        <v>-66.527999999999992</v>
      </c>
      <c r="F93" t="s">
        <v>26</v>
      </c>
      <c r="G93" t="str">
        <f>_xlfn.XLOOKUP(transakcje[[#This Row],[podkategoria]],parametr[podkategoria],parametr[kategoria])</f>
        <v>życie</v>
      </c>
      <c r="H93" t="str">
        <f>_xlfn.XLOOKUP(transakcje[[#This Row],[kategoria]],parametr[kategoria],parametr[typ])</f>
        <v>wydatki</v>
      </c>
      <c r="I93" s="1">
        <f>ABS(transakcje[[#This Row],[kwota]])</f>
        <v>66.527999999999992</v>
      </c>
    </row>
    <row r="94" spans="1:9" x14ac:dyDescent="0.3">
      <c r="A94">
        <v>93</v>
      </c>
      <c r="B94">
        <v>2010</v>
      </c>
      <c r="C94">
        <v>7</v>
      </c>
      <c r="D94">
        <v>23</v>
      </c>
      <c r="E94" s="1">
        <v>-100</v>
      </c>
      <c r="F94" t="s">
        <v>11</v>
      </c>
      <c r="G94" t="str">
        <f>_xlfn.XLOOKUP(transakcje[[#This Row],[podkategoria]],parametr[podkategoria],parametr[kategoria])</f>
        <v>wydatki inne</v>
      </c>
      <c r="H94" t="str">
        <f>_xlfn.XLOOKUP(transakcje[[#This Row],[kategoria]],parametr[kategoria],parametr[typ])</f>
        <v>wydatki</v>
      </c>
      <c r="I94" s="1">
        <f>ABS(transakcje[[#This Row],[kwota]])</f>
        <v>100</v>
      </c>
    </row>
    <row r="95" spans="1:9" x14ac:dyDescent="0.3">
      <c r="A95">
        <v>94</v>
      </c>
      <c r="B95">
        <v>2010</v>
      </c>
      <c r="C95">
        <v>7</v>
      </c>
      <c r="D95">
        <v>23</v>
      </c>
      <c r="E95" s="1">
        <v>-100</v>
      </c>
      <c r="F95" t="s">
        <v>11</v>
      </c>
      <c r="G95" t="str">
        <f>_xlfn.XLOOKUP(transakcje[[#This Row],[podkategoria]],parametr[podkategoria],parametr[kategoria])</f>
        <v>wydatki inne</v>
      </c>
      <c r="H95" t="str">
        <f>_xlfn.XLOOKUP(transakcje[[#This Row],[kategoria]],parametr[kategoria],parametr[typ])</f>
        <v>wydatki</v>
      </c>
      <c r="I95" s="1">
        <f>ABS(transakcje[[#This Row],[kwota]])</f>
        <v>100</v>
      </c>
    </row>
    <row r="96" spans="1:9" x14ac:dyDescent="0.3">
      <c r="A96">
        <v>95</v>
      </c>
      <c r="B96">
        <v>2010</v>
      </c>
      <c r="C96">
        <v>7</v>
      </c>
      <c r="D96">
        <v>24</v>
      </c>
      <c r="E96" s="1">
        <v>-110.39400000000001</v>
      </c>
      <c r="F96" t="s">
        <v>20</v>
      </c>
      <c r="G96" t="str">
        <f>_xlfn.XLOOKUP(transakcje[[#This Row],[podkategoria]],parametr[podkategoria],parametr[kategoria])</f>
        <v>trwałe</v>
      </c>
      <c r="H96" t="str">
        <f>_xlfn.XLOOKUP(transakcje[[#This Row],[kategoria]],parametr[kategoria],parametr[typ])</f>
        <v>wydatki</v>
      </c>
      <c r="I96" s="1">
        <f>ABS(transakcje[[#This Row],[kwota]])</f>
        <v>110.39400000000001</v>
      </c>
    </row>
    <row r="97" spans="1:9" x14ac:dyDescent="0.3">
      <c r="A97">
        <v>96</v>
      </c>
      <c r="B97">
        <v>2010</v>
      </c>
      <c r="C97">
        <v>7</v>
      </c>
      <c r="D97">
        <v>24</v>
      </c>
      <c r="E97" s="1">
        <v>-16.2</v>
      </c>
      <c r="F97" t="s">
        <v>32</v>
      </c>
      <c r="G97" t="str">
        <f>_xlfn.XLOOKUP(transakcje[[#This Row],[podkategoria]],parametr[podkategoria],parametr[kategoria])</f>
        <v>opłaty stałe</v>
      </c>
      <c r="H97" t="str">
        <f>_xlfn.XLOOKUP(transakcje[[#This Row],[kategoria]],parametr[kategoria],parametr[typ])</f>
        <v>wydatki</v>
      </c>
      <c r="I97" s="1">
        <f>ABS(transakcje[[#This Row],[kwota]])</f>
        <v>16.2</v>
      </c>
    </row>
    <row r="98" spans="1:9" x14ac:dyDescent="0.3">
      <c r="A98">
        <v>97</v>
      </c>
      <c r="B98">
        <v>2010</v>
      </c>
      <c r="C98">
        <v>7</v>
      </c>
      <c r="D98">
        <v>26</v>
      </c>
      <c r="E98" s="1">
        <v>410.24799999999993</v>
      </c>
      <c r="F98" t="s">
        <v>8</v>
      </c>
      <c r="G98" t="str">
        <f>_xlfn.XLOOKUP(transakcje[[#This Row],[podkategoria]],parametr[podkategoria],parametr[kategoria])</f>
        <v>dochody z pracy</v>
      </c>
      <c r="H98" t="str">
        <f>_xlfn.XLOOKUP(transakcje[[#This Row],[kategoria]],parametr[kategoria],parametr[typ])</f>
        <v>dochody</v>
      </c>
      <c r="I98" s="1">
        <f>ABS(transakcje[[#This Row],[kwota]])</f>
        <v>410.24799999999993</v>
      </c>
    </row>
    <row r="99" spans="1:9" x14ac:dyDescent="0.3">
      <c r="A99">
        <v>98</v>
      </c>
      <c r="B99">
        <v>2010</v>
      </c>
      <c r="C99">
        <v>7</v>
      </c>
      <c r="D99">
        <v>30</v>
      </c>
      <c r="E99" s="1">
        <v>-77.8</v>
      </c>
      <c r="F99" t="s">
        <v>24</v>
      </c>
      <c r="G99" t="str">
        <f>_xlfn.XLOOKUP(transakcje[[#This Row],[podkategoria]],parametr[podkategoria],parametr[kategoria])</f>
        <v>trwałe</v>
      </c>
      <c r="H99" t="str">
        <f>_xlfn.XLOOKUP(transakcje[[#This Row],[kategoria]],parametr[kategoria],parametr[typ])</f>
        <v>wydatki</v>
      </c>
      <c r="I99" s="1">
        <f>ABS(transakcje[[#This Row],[kwota]])</f>
        <v>77.8</v>
      </c>
    </row>
    <row r="100" spans="1:9" x14ac:dyDescent="0.3">
      <c r="A100">
        <v>99</v>
      </c>
      <c r="B100">
        <v>2010</v>
      </c>
      <c r="C100">
        <v>7</v>
      </c>
      <c r="D100">
        <v>31</v>
      </c>
      <c r="E100" s="1">
        <v>-1.86</v>
      </c>
      <c r="F100" t="s">
        <v>26</v>
      </c>
      <c r="G100" t="str">
        <f>_xlfn.XLOOKUP(transakcje[[#This Row],[podkategoria]],parametr[podkategoria],parametr[kategoria])</f>
        <v>życie</v>
      </c>
      <c r="H100" t="str">
        <f>_xlfn.XLOOKUP(transakcje[[#This Row],[kategoria]],parametr[kategoria],parametr[typ])</f>
        <v>wydatki</v>
      </c>
      <c r="I100" s="1">
        <f>ABS(transakcje[[#This Row],[kwota]])</f>
        <v>1.86</v>
      </c>
    </row>
    <row r="101" spans="1:9" x14ac:dyDescent="0.3">
      <c r="A101">
        <v>100</v>
      </c>
      <c r="B101">
        <v>2010</v>
      </c>
      <c r="C101">
        <v>7</v>
      </c>
      <c r="D101">
        <v>31</v>
      </c>
      <c r="E101" s="1">
        <v>1.7999999999999999E-2</v>
      </c>
      <c r="F101" t="s">
        <v>17</v>
      </c>
      <c r="G101" t="str">
        <f>_xlfn.XLOOKUP(transakcje[[#This Row],[podkategoria]],parametr[podkategoria],parametr[kategoria])</f>
        <v>dochody pozostałe</v>
      </c>
      <c r="H101" t="str">
        <f>_xlfn.XLOOKUP(transakcje[[#This Row],[kategoria]],parametr[kategoria],parametr[typ])</f>
        <v>dochody</v>
      </c>
      <c r="I101" s="1">
        <f>ABS(transakcje[[#This Row],[kwota]])</f>
        <v>1.7999999999999999E-2</v>
      </c>
    </row>
    <row r="102" spans="1:9" x14ac:dyDescent="0.3">
      <c r="A102">
        <v>101</v>
      </c>
      <c r="B102">
        <v>2010</v>
      </c>
      <c r="C102">
        <v>7</v>
      </c>
      <c r="D102">
        <v>31</v>
      </c>
      <c r="E102" s="1">
        <v>-1.198</v>
      </c>
      <c r="F102" t="s">
        <v>14</v>
      </c>
      <c r="G102" t="str">
        <f>_xlfn.XLOOKUP(transakcje[[#This Row],[podkategoria]],parametr[podkategoria],parametr[kategoria])</f>
        <v>opłaty stałe</v>
      </c>
      <c r="H102" t="str">
        <f>_xlfn.XLOOKUP(transakcje[[#This Row],[kategoria]],parametr[kategoria],parametr[typ])</f>
        <v>wydatki</v>
      </c>
      <c r="I102" s="1">
        <f>ABS(transakcje[[#This Row],[kwota]])</f>
        <v>1.198</v>
      </c>
    </row>
    <row r="103" spans="1:9" x14ac:dyDescent="0.3">
      <c r="A103">
        <v>102</v>
      </c>
      <c r="B103">
        <v>2010</v>
      </c>
      <c r="C103">
        <v>7</v>
      </c>
      <c r="D103">
        <v>31</v>
      </c>
      <c r="E103" s="1">
        <v>-0.3</v>
      </c>
      <c r="F103" t="s">
        <v>14</v>
      </c>
      <c r="G103" t="str">
        <f>_xlfn.XLOOKUP(transakcje[[#This Row],[podkategoria]],parametr[podkategoria],parametr[kategoria])</f>
        <v>opłaty stałe</v>
      </c>
      <c r="H103" t="str">
        <f>_xlfn.XLOOKUP(transakcje[[#This Row],[kategoria]],parametr[kategoria],parametr[typ])</f>
        <v>wydatki</v>
      </c>
      <c r="I103" s="1">
        <f>ABS(transakcje[[#This Row],[kwota]])</f>
        <v>0.3</v>
      </c>
    </row>
    <row r="104" spans="1:9" x14ac:dyDescent="0.3">
      <c r="A104">
        <v>103</v>
      </c>
      <c r="B104">
        <v>2010</v>
      </c>
      <c r="C104">
        <v>8</v>
      </c>
      <c r="D104">
        <v>2</v>
      </c>
      <c r="E104" s="1">
        <v>-33.660000000000004</v>
      </c>
      <c r="F104" t="s">
        <v>33</v>
      </c>
      <c r="G104" t="str">
        <f>_xlfn.XLOOKUP(transakcje[[#This Row],[podkategoria]],parametr[podkategoria],parametr[kategoria])</f>
        <v>trwałe</v>
      </c>
      <c r="H104" t="str">
        <f>_xlfn.XLOOKUP(transakcje[[#This Row],[kategoria]],parametr[kategoria],parametr[typ])</f>
        <v>wydatki</v>
      </c>
      <c r="I104" s="1">
        <f>ABS(transakcje[[#This Row],[kwota]])</f>
        <v>33.660000000000004</v>
      </c>
    </row>
    <row r="105" spans="1:9" x14ac:dyDescent="0.3">
      <c r="A105">
        <v>104</v>
      </c>
      <c r="B105">
        <v>2010</v>
      </c>
      <c r="C105">
        <v>8</v>
      </c>
      <c r="D105">
        <v>2</v>
      </c>
      <c r="E105" s="1">
        <v>-71.599999999999994</v>
      </c>
      <c r="F105" t="s">
        <v>24</v>
      </c>
      <c r="G105" t="str">
        <f>_xlfn.XLOOKUP(transakcje[[#This Row],[podkategoria]],parametr[podkategoria],parametr[kategoria])</f>
        <v>trwałe</v>
      </c>
      <c r="H105" t="str">
        <f>_xlfn.XLOOKUP(transakcje[[#This Row],[kategoria]],parametr[kategoria],parametr[typ])</f>
        <v>wydatki</v>
      </c>
      <c r="I105" s="1">
        <f>ABS(transakcje[[#This Row],[kwota]])</f>
        <v>71.599999999999994</v>
      </c>
    </row>
    <row r="106" spans="1:9" x14ac:dyDescent="0.3">
      <c r="A106">
        <v>105</v>
      </c>
      <c r="B106">
        <v>2010</v>
      </c>
      <c r="C106">
        <v>8</v>
      </c>
      <c r="D106">
        <v>2</v>
      </c>
      <c r="E106" s="1">
        <v>-2.8780000000000001</v>
      </c>
      <c r="F106" t="s">
        <v>35</v>
      </c>
      <c r="G106" t="str">
        <f>_xlfn.XLOOKUP(transakcje[[#This Row],[podkategoria]],parametr[podkategoria],parametr[kategoria])</f>
        <v>opłaty stałe</v>
      </c>
      <c r="H106" t="str">
        <f>_xlfn.XLOOKUP(transakcje[[#This Row],[kategoria]],parametr[kategoria],parametr[typ])</f>
        <v>wydatki</v>
      </c>
      <c r="I106" s="1">
        <f>ABS(transakcje[[#This Row],[kwota]])</f>
        <v>2.8780000000000001</v>
      </c>
    </row>
    <row r="107" spans="1:9" x14ac:dyDescent="0.3">
      <c r="A107">
        <v>106</v>
      </c>
      <c r="B107">
        <v>2010</v>
      </c>
      <c r="C107">
        <v>8</v>
      </c>
      <c r="D107">
        <v>2</v>
      </c>
      <c r="E107" s="1">
        <v>-5.04</v>
      </c>
      <c r="F107" t="s">
        <v>35</v>
      </c>
      <c r="G107" t="str">
        <f>_xlfn.XLOOKUP(transakcje[[#This Row],[podkategoria]],parametr[podkategoria],parametr[kategoria])</f>
        <v>opłaty stałe</v>
      </c>
      <c r="H107" t="str">
        <f>_xlfn.XLOOKUP(transakcje[[#This Row],[kategoria]],parametr[kategoria],parametr[typ])</f>
        <v>wydatki</v>
      </c>
      <c r="I107" s="1">
        <f>ABS(transakcje[[#This Row],[kwota]])</f>
        <v>5.04</v>
      </c>
    </row>
    <row r="108" spans="1:9" x14ac:dyDescent="0.3">
      <c r="A108">
        <v>107</v>
      </c>
      <c r="B108">
        <v>2010</v>
      </c>
      <c r="C108">
        <v>8</v>
      </c>
      <c r="D108">
        <v>2</v>
      </c>
      <c r="E108" s="1">
        <v>-23.161999999999999</v>
      </c>
      <c r="F108" t="s">
        <v>11</v>
      </c>
      <c r="G108" t="str">
        <f>_xlfn.XLOOKUP(transakcje[[#This Row],[podkategoria]],parametr[podkategoria],parametr[kategoria])</f>
        <v>wydatki inne</v>
      </c>
      <c r="H108" t="str">
        <f>_xlfn.XLOOKUP(transakcje[[#This Row],[kategoria]],parametr[kategoria],parametr[typ])</f>
        <v>wydatki</v>
      </c>
      <c r="I108" s="1">
        <f>ABS(transakcje[[#This Row],[kwota]])</f>
        <v>23.161999999999999</v>
      </c>
    </row>
    <row r="109" spans="1:9" x14ac:dyDescent="0.3">
      <c r="A109">
        <v>108</v>
      </c>
      <c r="B109">
        <v>2010</v>
      </c>
      <c r="C109">
        <v>8</v>
      </c>
      <c r="D109">
        <v>3</v>
      </c>
      <c r="E109" s="1">
        <v>-10</v>
      </c>
      <c r="F109" t="s">
        <v>11</v>
      </c>
      <c r="G109" t="str">
        <f>_xlfn.XLOOKUP(transakcje[[#This Row],[podkategoria]],parametr[podkategoria],parametr[kategoria])</f>
        <v>wydatki inne</v>
      </c>
      <c r="H109" t="str">
        <f>_xlfn.XLOOKUP(transakcje[[#This Row],[kategoria]],parametr[kategoria],parametr[typ])</f>
        <v>wydatki</v>
      </c>
      <c r="I109" s="1">
        <f>ABS(transakcje[[#This Row],[kwota]])</f>
        <v>10</v>
      </c>
    </row>
    <row r="110" spans="1:9" x14ac:dyDescent="0.3">
      <c r="A110">
        <v>109</v>
      </c>
      <c r="B110">
        <v>2010</v>
      </c>
      <c r="C110">
        <v>8</v>
      </c>
      <c r="D110">
        <v>3</v>
      </c>
      <c r="E110" s="1">
        <v>-15.891999999999999</v>
      </c>
      <c r="F110" t="s">
        <v>26</v>
      </c>
      <c r="G110" t="str">
        <f>_xlfn.XLOOKUP(transakcje[[#This Row],[podkategoria]],parametr[podkategoria],parametr[kategoria])</f>
        <v>życie</v>
      </c>
      <c r="H110" t="str">
        <f>_xlfn.XLOOKUP(transakcje[[#This Row],[kategoria]],parametr[kategoria],parametr[typ])</f>
        <v>wydatki</v>
      </c>
      <c r="I110" s="1">
        <f>ABS(transakcje[[#This Row],[kwota]])</f>
        <v>15.891999999999999</v>
      </c>
    </row>
    <row r="111" spans="1:9" x14ac:dyDescent="0.3">
      <c r="A111">
        <v>110</v>
      </c>
      <c r="B111">
        <v>2010</v>
      </c>
      <c r="C111">
        <v>8</v>
      </c>
      <c r="D111">
        <v>5</v>
      </c>
      <c r="E111" s="1">
        <v>-13.13</v>
      </c>
      <c r="F111" t="s">
        <v>25</v>
      </c>
      <c r="G111" t="str">
        <f>_xlfn.XLOOKUP(transakcje[[#This Row],[podkategoria]],parametr[podkategoria],parametr[kategoria])</f>
        <v>opłaty stałe</v>
      </c>
      <c r="H111" t="str">
        <f>_xlfn.XLOOKUP(transakcje[[#This Row],[kategoria]],parametr[kategoria],parametr[typ])</f>
        <v>wydatki</v>
      </c>
      <c r="I111" s="1">
        <f>ABS(transakcje[[#This Row],[kwota]])</f>
        <v>13.13</v>
      </c>
    </row>
    <row r="112" spans="1:9" x14ac:dyDescent="0.3">
      <c r="A112">
        <v>111</v>
      </c>
      <c r="B112">
        <v>2010</v>
      </c>
      <c r="C112">
        <v>8</v>
      </c>
      <c r="D112">
        <v>5</v>
      </c>
      <c r="E112" s="1">
        <v>-4.9659999999999993</v>
      </c>
      <c r="F112" t="s">
        <v>26</v>
      </c>
      <c r="G112" t="str">
        <f>_xlfn.XLOOKUP(transakcje[[#This Row],[podkategoria]],parametr[podkategoria],parametr[kategoria])</f>
        <v>życie</v>
      </c>
      <c r="H112" t="str">
        <f>_xlfn.XLOOKUP(transakcje[[#This Row],[kategoria]],parametr[kategoria],parametr[typ])</f>
        <v>wydatki</v>
      </c>
      <c r="I112" s="1">
        <f>ABS(transakcje[[#This Row],[kwota]])</f>
        <v>4.9659999999999993</v>
      </c>
    </row>
    <row r="113" spans="1:9" x14ac:dyDescent="0.3">
      <c r="A113">
        <v>112</v>
      </c>
      <c r="B113">
        <v>2010</v>
      </c>
      <c r="C113">
        <v>8</v>
      </c>
      <c r="D113">
        <v>6</v>
      </c>
      <c r="E113" s="1">
        <v>-1.6600000000000001</v>
      </c>
      <c r="F113" t="s">
        <v>11</v>
      </c>
      <c r="G113" t="str">
        <f>_xlfn.XLOOKUP(transakcje[[#This Row],[podkategoria]],parametr[podkategoria],parametr[kategoria])</f>
        <v>wydatki inne</v>
      </c>
      <c r="H113" t="str">
        <f>_xlfn.XLOOKUP(transakcje[[#This Row],[kategoria]],parametr[kategoria],parametr[typ])</f>
        <v>wydatki</v>
      </c>
      <c r="I113" s="1">
        <f>ABS(transakcje[[#This Row],[kwota]])</f>
        <v>1.6600000000000001</v>
      </c>
    </row>
    <row r="114" spans="1:9" x14ac:dyDescent="0.3">
      <c r="A114">
        <v>113</v>
      </c>
      <c r="B114">
        <v>2010</v>
      </c>
      <c r="C114">
        <v>8</v>
      </c>
      <c r="D114">
        <v>6</v>
      </c>
      <c r="E114" s="1">
        <v>-7.9799999999999995</v>
      </c>
      <c r="F114" t="s">
        <v>11</v>
      </c>
      <c r="G114" t="str">
        <f>_xlfn.XLOOKUP(transakcje[[#This Row],[podkategoria]],parametr[podkategoria],parametr[kategoria])</f>
        <v>wydatki inne</v>
      </c>
      <c r="H114" t="str">
        <f>_xlfn.XLOOKUP(transakcje[[#This Row],[kategoria]],parametr[kategoria],parametr[typ])</f>
        <v>wydatki</v>
      </c>
      <c r="I114" s="1">
        <f>ABS(transakcje[[#This Row],[kwota]])</f>
        <v>7.9799999999999995</v>
      </c>
    </row>
    <row r="115" spans="1:9" x14ac:dyDescent="0.3">
      <c r="A115">
        <v>114</v>
      </c>
      <c r="B115">
        <v>2010</v>
      </c>
      <c r="C115">
        <v>8</v>
      </c>
      <c r="D115">
        <v>7</v>
      </c>
      <c r="E115" s="1">
        <v>-1.6600000000000001</v>
      </c>
      <c r="F115" t="s">
        <v>11</v>
      </c>
      <c r="G115" t="str">
        <f>_xlfn.XLOOKUP(transakcje[[#This Row],[podkategoria]],parametr[podkategoria],parametr[kategoria])</f>
        <v>wydatki inne</v>
      </c>
      <c r="H115" t="str">
        <f>_xlfn.XLOOKUP(transakcje[[#This Row],[kategoria]],parametr[kategoria],parametr[typ])</f>
        <v>wydatki</v>
      </c>
      <c r="I115" s="1">
        <f>ABS(transakcje[[#This Row],[kwota]])</f>
        <v>1.6600000000000001</v>
      </c>
    </row>
    <row r="116" spans="1:9" x14ac:dyDescent="0.3">
      <c r="A116">
        <v>115</v>
      </c>
      <c r="B116">
        <v>2010</v>
      </c>
      <c r="C116">
        <v>8</v>
      </c>
      <c r="D116">
        <v>11</v>
      </c>
      <c r="E116" s="1">
        <v>-55.69</v>
      </c>
      <c r="F116" t="s">
        <v>31</v>
      </c>
      <c r="G116" t="str">
        <f>_xlfn.XLOOKUP(transakcje[[#This Row],[podkategoria]],parametr[podkategoria],parametr[kategoria])</f>
        <v>opłaty stałe</v>
      </c>
      <c r="H116" t="str">
        <f>_xlfn.XLOOKUP(transakcje[[#This Row],[kategoria]],parametr[kategoria],parametr[typ])</f>
        <v>wydatki</v>
      </c>
      <c r="I116" s="1">
        <f>ABS(transakcje[[#This Row],[kwota]])</f>
        <v>55.69</v>
      </c>
    </row>
    <row r="117" spans="1:9" x14ac:dyDescent="0.3">
      <c r="A117">
        <v>116</v>
      </c>
      <c r="B117">
        <v>2010</v>
      </c>
      <c r="C117">
        <v>8</v>
      </c>
      <c r="D117">
        <v>11</v>
      </c>
      <c r="E117" s="1">
        <v>-1.6600000000000001</v>
      </c>
      <c r="F117" t="s">
        <v>11</v>
      </c>
      <c r="G117" t="str">
        <f>_xlfn.XLOOKUP(transakcje[[#This Row],[podkategoria]],parametr[podkategoria],parametr[kategoria])</f>
        <v>wydatki inne</v>
      </c>
      <c r="H117" t="str">
        <f>_xlfn.XLOOKUP(transakcje[[#This Row],[kategoria]],parametr[kategoria],parametr[typ])</f>
        <v>wydatki</v>
      </c>
      <c r="I117" s="1">
        <f>ABS(transakcje[[#This Row],[kwota]])</f>
        <v>1.6600000000000001</v>
      </c>
    </row>
    <row r="118" spans="1:9" x14ac:dyDescent="0.3">
      <c r="A118">
        <v>117</v>
      </c>
      <c r="B118">
        <v>2010</v>
      </c>
      <c r="C118">
        <v>8</v>
      </c>
      <c r="D118">
        <v>11</v>
      </c>
      <c r="E118" s="1">
        <v>-11.224</v>
      </c>
      <c r="F118" t="s">
        <v>23</v>
      </c>
      <c r="G118" t="str">
        <f>_xlfn.XLOOKUP(transakcje[[#This Row],[podkategoria]],parametr[podkategoria],parametr[kategoria])</f>
        <v>opłaty stałe</v>
      </c>
      <c r="H118" t="str">
        <f>_xlfn.XLOOKUP(transakcje[[#This Row],[kategoria]],parametr[kategoria],parametr[typ])</f>
        <v>wydatki</v>
      </c>
      <c r="I118" s="1">
        <f>ABS(transakcje[[#This Row],[kwota]])</f>
        <v>11.224</v>
      </c>
    </row>
    <row r="119" spans="1:9" x14ac:dyDescent="0.3">
      <c r="A119">
        <v>118</v>
      </c>
      <c r="B119">
        <v>2010</v>
      </c>
      <c r="C119">
        <v>8</v>
      </c>
      <c r="D119">
        <v>13</v>
      </c>
      <c r="E119" s="1">
        <v>-6.83</v>
      </c>
      <c r="F119" t="s">
        <v>26</v>
      </c>
      <c r="G119" t="str">
        <f>_xlfn.XLOOKUP(transakcje[[#This Row],[podkategoria]],parametr[podkategoria],parametr[kategoria])</f>
        <v>życie</v>
      </c>
      <c r="H119" t="str">
        <f>_xlfn.XLOOKUP(transakcje[[#This Row],[kategoria]],parametr[kategoria],parametr[typ])</f>
        <v>wydatki</v>
      </c>
      <c r="I119" s="1">
        <f>ABS(transakcje[[#This Row],[kwota]])</f>
        <v>6.83</v>
      </c>
    </row>
    <row r="120" spans="1:9" x14ac:dyDescent="0.3">
      <c r="A120">
        <v>119</v>
      </c>
      <c r="B120">
        <v>2010</v>
      </c>
      <c r="C120">
        <v>8</v>
      </c>
      <c r="D120">
        <v>15</v>
      </c>
      <c r="E120" s="1">
        <v>-1.1960000000000002</v>
      </c>
      <c r="F120" t="s">
        <v>14</v>
      </c>
      <c r="G120" t="str">
        <f>_xlfn.XLOOKUP(transakcje[[#This Row],[podkategoria]],parametr[podkategoria],parametr[kategoria])</f>
        <v>opłaty stałe</v>
      </c>
      <c r="H120" t="str">
        <f>_xlfn.XLOOKUP(transakcje[[#This Row],[kategoria]],parametr[kategoria],parametr[typ])</f>
        <v>wydatki</v>
      </c>
      <c r="I120" s="1">
        <f>ABS(transakcje[[#This Row],[kwota]])</f>
        <v>1.1960000000000002</v>
      </c>
    </row>
    <row r="121" spans="1:9" x14ac:dyDescent="0.3">
      <c r="A121">
        <v>120</v>
      </c>
      <c r="B121">
        <v>2010</v>
      </c>
      <c r="C121">
        <v>8</v>
      </c>
      <c r="D121">
        <v>19</v>
      </c>
      <c r="E121" s="1">
        <v>-10</v>
      </c>
      <c r="F121" t="s">
        <v>11</v>
      </c>
      <c r="G121" t="str">
        <f>_xlfn.XLOOKUP(transakcje[[#This Row],[podkategoria]],parametr[podkategoria],parametr[kategoria])</f>
        <v>wydatki inne</v>
      </c>
      <c r="H121" t="str">
        <f>_xlfn.XLOOKUP(transakcje[[#This Row],[kategoria]],parametr[kategoria],parametr[typ])</f>
        <v>wydatki</v>
      </c>
      <c r="I121" s="1">
        <f>ABS(transakcje[[#This Row],[kwota]])</f>
        <v>10</v>
      </c>
    </row>
    <row r="122" spans="1:9" x14ac:dyDescent="0.3">
      <c r="A122">
        <v>121</v>
      </c>
      <c r="B122">
        <v>2010</v>
      </c>
      <c r="C122">
        <v>8</v>
      </c>
      <c r="D122">
        <v>19</v>
      </c>
      <c r="E122" s="1">
        <v>153.352</v>
      </c>
      <c r="F122" t="s">
        <v>19</v>
      </c>
      <c r="G122" t="str">
        <f>_xlfn.XLOOKUP(transakcje[[#This Row],[podkategoria]],parametr[podkategoria],parametr[kategoria])</f>
        <v>dochody z pracy</v>
      </c>
      <c r="H122" t="str">
        <f>_xlfn.XLOOKUP(transakcje[[#This Row],[kategoria]],parametr[kategoria],parametr[typ])</f>
        <v>dochody</v>
      </c>
      <c r="I122" s="1">
        <f>ABS(transakcje[[#This Row],[kwota]])</f>
        <v>153.352</v>
      </c>
    </row>
    <row r="123" spans="1:9" x14ac:dyDescent="0.3">
      <c r="A123">
        <v>122</v>
      </c>
      <c r="B123">
        <v>2010</v>
      </c>
      <c r="C123">
        <v>8</v>
      </c>
      <c r="D123">
        <v>19</v>
      </c>
      <c r="E123" s="1">
        <v>-0.39800000000000002</v>
      </c>
      <c r="F123" t="s">
        <v>14</v>
      </c>
      <c r="G123" t="str">
        <f>_xlfn.XLOOKUP(transakcje[[#This Row],[podkategoria]],parametr[podkategoria],parametr[kategoria])</f>
        <v>opłaty stałe</v>
      </c>
      <c r="H123" t="str">
        <f>_xlfn.XLOOKUP(transakcje[[#This Row],[kategoria]],parametr[kategoria],parametr[typ])</f>
        <v>wydatki</v>
      </c>
      <c r="I123" s="1">
        <f>ABS(transakcje[[#This Row],[kwota]])</f>
        <v>0.39800000000000002</v>
      </c>
    </row>
    <row r="124" spans="1:9" x14ac:dyDescent="0.3">
      <c r="A124">
        <v>123</v>
      </c>
      <c r="B124">
        <v>2010</v>
      </c>
      <c r="C124">
        <v>8</v>
      </c>
      <c r="D124">
        <v>19</v>
      </c>
      <c r="E124" s="1">
        <v>-17.112000000000002</v>
      </c>
      <c r="F124" t="s">
        <v>26</v>
      </c>
      <c r="G124" t="str">
        <f>_xlfn.XLOOKUP(transakcje[[#This Row],[podkategoria]],parametr[podkategoria],parametr[kategoria])</f>
        <v>życie</v>
      </c>
      <c r="H124" t="str">
        <f>_xlfn.XLOOKUP(transakcje[[#This Row],[kategoria]],parametr[kategoria],parametr[typ])</f>
        <v>wydatki</v>
      </c>
      <c r="I124" s="1">
        <f>ABS(transakcje[[#This Row],[kwota]])</f>
        <v>17.112000000000002</v>
      </c>
    </row>
    <row r="125" spans="1:9" x14ac:dyDescent="0.3">
      <c r="A125">
        <v>124</v>
      </c>
      <c r="B125">
        <v>2010</v>
      </c>
      <c r="C125">
        <v>8</v>
      </c>
      <c r="D125">
        <v>25</v>
      </c>
      <c r="E125" s="1">
        <v>-21.794</v>
      </c>
      <c r="F125" t="s">
        <v>11</v>
      </c>
      <c r="G125" t="str">
        <f>_xlfn.XLOOKUP(transakcje[[#This Row],[podkategoria]],parametr[podkategoria],parametr[kategoria])</f>
        <v>wydatki inne</v>
      </c>
      <c r="H125" t="str">
        <f>_xlfn.XLOOKUP(transakcje[[#This Row],[kategoria]],parametr[kategoria],parametr[typ])</f>
        <v>wydatki</v>
      </c>
      <c r="I125" s="1">
        <f>ABS(transakcje[[#This Row],[kwota]])</f>
        <v>21.794</v>
      </c>
    </row>
    <row r="126" spans="1:9" x14ac:dyDescent="0.3">
      <c r="A126">
        <v>125</v>
      </c>
      <c r="B126">
        <v>2010</v>
      </c>
      <c r="C126">
        <v>8</v>
      </c>
      <c r="D126">
        <v>25</v>
      </c>
      <c r="E126" s="1">
        <v>410.25</v>
      </c>
      <c r="F126" t="s">
        <v>8</v>
      </c>
      <c r="G126" t="str">
        <f>_xlfn.XLOOKUP(transakcje[[#This Row],[podkategoria]],parametr[podkategoria],parametr[kategoria])</f>
        <v>dochody z pracy</v>
      </c>
      <c r="H126" t="str">
        <f>_xlfn.XLOOKUP(transakcje[[#This Row],[kategoria]],parametr[kategoria],parametr[typ])</f>
        <v>dochody</v>
      </c>
      <c r="I126" s="1">
        <f>ABS(transakcje[[#This Row],[kwota]])</f>
        <v>410.25</v>
      </c>
    </row>
    <row r="127" spans="1:9" x14ac:dyDescent="0.3">
      <c r="A127">
        <v>126</v>
      </c>
      <c r="B127">
        <v>2010</v>
      </c>
      <c r="C127">
        <v>8</v>
      </c>
      <c r="D127">
        <v>26</v>
      </c>
      <c r="E127" s="1">
        <v>-13.206</v>
      </c>
      <c r="F127" t="s">
        <v>26</v>
      </c>
      <c r="G127" t="str">
        <f>_xlfn.XLOOKUP(transakcje[[#This Row],[podkategoria]],parametr[podkategoria],parametr[kategoria])</f>
        <v>życie</v>
      </c>
      <c r="H127" t="str">
        <f>_xlfn.XLOOKUP(transakcje[[#This Row],[kategoria]],parametr[kategoria],parametr[typ])</f>
        <v>wydatki</v>
      </c>
      <c r="I127" s="1">
        <f>ABS(transakcje[[#This Row],[kwota]])</f>
        <v>13.206</v>
      </c>
    </row>
    <row r="128" spans="1:9" x14ac:dyDescent="0.3">
      <c r="A128">
        <v>127</v>
      </c>
      <c r="B128">
        <v>2010</v>
      </c>
      <c r="C128">
        <v>8</v>
      </c>
      <c r="D128">
        <v>27</v>
      </c>
      <c r="E128" s="1">
        <v>-4.6680000000000001</v>
      </c>
      <c r="F128" t="s">
        <v>26</v>
      </c>
      <c r="G128" t="str">
        <f>_xlfn.XLOOKUP(transakcje[[#This Row],[podkategoria]],parametr[podkategoria],parametr[kategoria])</f>
        <v>życie</v>
      </c>
      <c r="H128" t="str">
        <f>_xlfn.XLOOKUP(transakcje[[#This Row],[kategoria]],parametr[kategoria],parametr[typ])</f>
        <v>wydatki</v>
      </c>
      <c r="I128" s="1">
        <f>ABS(transakcje[[#This Row],[kwota]])</f>
        <v>4.6680000000000001</v>
      </c>
    </row>
    <row r="129" spans="1:9" x14ac:dyDescent="0.3">
      <c r="A129">
        <v>128</v>
      </c>
      <c r="B129">
        <v>2010</v>
      </c>
      <c r="C129">
        <v>8</v>
      </c>
      <c r="D129">
        <v>30</v>
      </c>
      <c r="E129" s="1">
        <v>-16.399999999999999</v>
      </c>
      <c r="F129" t="s">
        <v>32</v>
      </c>
      <c r="G129" t="str">
        <f>_xlfn.XLOOKUP(transakcje[[#This Row],[podkategoria]],parametr[podkategoria],parametr[kategoria])</f>
        <v>opłaty stałe</v>
      </c>
      <c r="H129" t="str">
        <f>_xlfn.XLOOKUP(transakcje[[#This Row],[kategoria]],parametr[kategoria],parametr[typ])</f>
        <v>wydatki</v>
      </c>
      <c r="I129" s="1">
        <f>ABS(transakcje[[#This Row],[kwota]])</f>
        <v>16.399999999999999</v>
      </c>
    </row>
    <row r="130" spans="1:9" x14ac:dyDescent="0.3">
      <c r="A130">
        <v>129</v>
      </c>
      <c r="B130">
        <v>2010</v>
      </c>
      <c r="C130">
        <v>8</v>
      </c>
      <c r="D130">
        <v>31</v>
      </c>
      <c r="E130" s="1">
        <v>-33.660000000000004</v>
      </c>
      <c r="F130" t="s">
        <v>33</v>
      </c>
      <c r="G130" t="str">
        <f>_xlfn.XLOOKUP(transakcje[[#This Row],[podkategoria]],parametr[podkategoria],parametr[kategoria])</f>
        <v>trwałe</v>
      </c>
      <c r="H130" t="str">
        <f>_xlfn.XLOOKUP(transakcje[[#This Row],[kategoria]],parametr[kategoria],parametr[typ])</f>
        <v>wydatki</v>
      </c>
      <c r="I130" s="1">
        <f>ABS(transakcje[[#This Row],[kwota]])</f>
        <v>33.660000000000004</v>
      </c>
    </row>
    <row r="131" spans="1:9" x14ac:dyDescent="0.3">
      <c r="A131">
        <v>130</v>
      </c>
      <c r="B131">
        <v>2010</v>
      </c>
      <c r="C131">
        <v>8</v>
      </c>
      <c r="D131">
        <v>31</v>
      </c>
      <c r="E131" s="1">
        <v>4.0000000000000001E-3</v>
      </c>
      <c r="F131" t="s">
        <v>17</v>
      </c>
      <c r="G131" t="str">
        <f>_xlfn.XLOOKUP(transakcje[[#This Row],[podkategoria]],parametr[podkategoria],parametr[kategoria])</f>
        <v>dochody pozostałe</v>
      </c>
      <c r="H131" t="str">
        <f>_xlfn.XLOOKUP(transakcje[[#This Row],[kategoria]],parametr[kategoria],parametr[typ])</f>
        <v>dochody</v>
      </c>
      <c r="I131" s="1">
        <f>ABS(transakcje[[#This Row],[kwota]])</f>
        <v>4.0000000000000001E-3</v>
      </c>
    </row>
    <row r="132" spans="1:9" x14ac:dyDescent="0.3">
      <c r="A132">
        <v>131</v>
      </c>
      <c r="B132">
        <v>2010</v>
      </c>
      <c r="C132">
        <v>8</v>
      </c>
      <c r="D132">
        <v>31</v>
      </c>
      <c r="E132" s="1">
        <v>-1.198</v>
      </c>
      <c r="F132" t="s">
        <v>14</v>
      </c>
      <c r="G132" t="str">
        <f>_xlfn.XLOOKUP(transakcje[[#This Row],[podkategoria]],parametr[podkategoria],parametr[kategoria])</f>
        <v>opłaty stałe</v>
      </c>
      <c r="H132" t="str">
        <f>_xlfn.XLOOKUP(transakcje[[#This Row],[kategoria]],parametr[kategoria],parametr[typ])</f>
        <v>wydatki</v>
      </c>
      <c r="I132" s="1">
        <f>ABS(transakcje[[#This Row],[kwota]])</f>
        <v>1.198</v>
      </c>
    </row>
    <row r="133" spans="1:9" x14ac:dyDescent="0.3">
      <c r="A133">
        <v>132</v>
      </c>
      <c r="B133">
        <v>2010</v>
      </c>
      <c r="C133">
        <v>8</v>
      </c>
      <c r="D133">
        <v>31</v>
      </c>
      <c r="E133" s="1">
        <v>-1.1000000000000001</v>
      </c>
      <c r="F133" t="s">
        <v>14</v>
      </c>
      <c r="G133" t="str">
        <f>_xlfn.XLOOKUP(transakcje[[#This Row],[podkategoria]],parametr[podkategoria],parametr[kategoria])</f>
        <v>opłaty stałe</v>
      </c>
      <c r="H133" t="str">
        <f>_xlfn.XLOOKUP(transakcje[[#This Row],[kategoria]],parametr[kategoria],parametr[typ])</f>
        <v>wydatki</v>
      </c>
      <c r="I133" s="1">
        <f>ABS(transakcje[[#This Row],[kwota]])</f>
        <v>1.1000000000000001</v>
      </c>
    </row>
    <row r="134" spans="1:9" x14ac:dyDescent="0.3">
      <c r="A134">
        <v>133</v>
      </c>
      <c r="B134">
        <v>2010</v>
      </c>
      <c r="C134">
        <v>9</v>
      </c>
      <c r="D134">
        <v>1</v>
      </c>
      <c r="E134" s="1">
        <v>-12.978</v>
      </c>
      <c r="F134" t="s">
        <v>25</v>
      </c>
      <c r="G134" t="str">
        <f>_xlfn.XLOOKUP(transakcje[[#This Row],[podkategoria]],parametr[podkategoria],parametr[kategoria])</f>
        <v>opłaty stałe</v>
      </c>
      <c r="H134" t="str">
        <f>_xlfn.XLOOKUP(transakcje[[#This Row],[kategoria]],parametr[kategoria],parametr[typ])</f>
        <v>wydatki</v>
      </c>
      <c r="I134" s="1">
        <f>ABS(transakcje[[#This Row],[kwota]])</f>
        <v>12.978</v>
      </c>
    </row>
    <row r="135" spans="1:9" x14ac:dyDescent="0.3">
      <c r="A135">
        <v>134</v>
      </c>
      <c r="B135">
        <v>2010</v>
      </c>
      <c r="C135">
        <v>9</v>
      </c>
      <c r="D135">
        <v>1</v>
      </c>
      <c r="E135" s="1">
        <v>-54.784000000000006</v>
      </c>
      <c r="F135" t="s">
        <v>31</v>
      </c>
      <c r="G135" t="str">
        <f>_xlfn.XLOOKUP(transakcje[[#This Row],[podkategoria]],parametr[podkategoria],parametr[kategoria])</f>
        <v>opłaty stałe</v>
      </c>
      <c r="H135" t="str">
        <f>_xlfn.XLOOKUP(transakcje[[#This Row],[kategoria]],parametr[kategoria],parametr[typ])</f>
        <v>wydatki</v>
      </c>
      <c r="I135" s="1">
        <f>ABS(transakcje[[#This Row],[kwota]])</f>
        <v>54.784000000000006</v>
      </c>
    </row>
    <row r="136" spans="1:9" x14ac:dyDescent="0.3">
      <c r="A136">
        <v>135</v>
      </c>
      <c r="B136">
        <v>2010</v>
      </c>
      <c r="C136">
        <v>9</v>
      </c>
      <c r="D136">
        <v>1</v>
      </c>
      <c r="E136" s="1">
        <v>-15.254</v>
      </c>
      <c r="F136" t="s">
        <v>34</v>
      </c>
      <c r="G136" t="str">
        <f>_xlfn.XLOOKUP(transakcje[[#This Row],[podkategoria]],parametr[podkategoria],parametr[kategoria])</f>
        <v>opłaty stałe</v>
      </c>
      <c r="H136" t="str">
        <f>_xlfn.XLOOKUP(transakcje[[#This Row],[kategoria]],parametr[kategoria],parametr[typ])</f>
        <v>wydatki</v>
      </c>
      <c r="I136" s="1">
        <f>ABS(transakcje[[#This Row],[kwota]])</f>
        <v>15.254</v>
      </c>
    </row>
    <row r="137" spans="1:9" x14ac:dyDescent="0.3">
      <c r="A137">
        <v>136</v>
      </c>
      <c r="B137">
        <v>2010</v>
      </c>
      <c r="C137">
        <v>9</v>
      </c>
      <c r="D137">
        <v>2</v>
      </c>
      <c r="E137" s="1">
        <v>-9.6239999999999988</v>
      </c>
      <c r="F137" t="s">
        <v>26</v>
      </c>
      <c r="G137" t="str">
        <f>_xlfn.XLOOKUP(transakcje[[#This Row],[podkategoria]],parametr[podkategoria],parametr[kategoria])</f>
        <v>życie</v>
      </c>
      <c r="H137" t="str">
        <f>_xlfn.XLOOKUP(transakcje[[#This Row],[kategoria]],parametr[kategoria],parametr[typ])</f>
        <v>wydatki</v>
      </c>
      <c r="I137" s="1">
        <f>ABS(transakcje[[#This Row],[kwota]])</f>
        <v>9.6239999999999988</v>
      </c>
    </row>
    <row r="138" spans="1:9" x14ac:dyDescent="0.3">
      <c r="A138">
        <v>137</v>
      </c>
      <c r="B138">
        <v>2010</v>
      </c>
      <c r="C138">
        <v>9</v>
      </c>
      <c r="D138">
        <v>4</v>
      </c>
      <c r="E138" s="1">
        <v>2.58</v>
      </c>
      <c r="F138" t="s">
        <v>17</v>
      </c>
      <c r="G138" t="str">
        <f>_xlfn.XLOOKUP(transakcje[[#This Row],[podkategoria]],parametr[podkategoria],parametr[kategoria])</f>
        <v>dochody pozostałe</v>
      </c>
      <c r="H138" t="str">
        <f>_xlfn.XLOOKUP(transakcje[[#This Row],[kategoria]],parametr[kategoria],parametr[typ])</f>
        <v>dochody</v>
      </c>
      <c r="I138" s="1">
        <f>ABS(transakcje[[#This Row],[kwota]])</f>
        <v>2.58</v>
      </c>
    </row>
    <row r="139" spans="1:9" x14ac:dyDescent="0.3">
      <c r="A139">
        <v>138</v>
      </c>
      <c r="B139">
        <v>2010</v>
      </c>
      <c r="C139">
        <v>9</v>
      </c>
      <c r="D139">
        <v>8</v>
      </c>
      <c r="E139" s="1">
        <v>-3.06</v>
      </c>
      <c r="F139" t="s">
        <v>26</v>
      </c>
      <c r="G139" t="str">
        <f>_xlfn.XLOOKUP(transakcje[[#This Row],[podkategoria]],parametr[podkategoria],parametr[kategoria])</f>
        <v>życie</v>
      </c>
      <c r="H139" t="str">
        <f>_xlfn.XLOOKUP(transakcje[[#This Row],[kategoria]],parametr[kategoria],parametr[typ])</f>
        <v>wydatki</v>
      </c>
      <c r="I139" s="1">
        <f>ABS(transakcje[[#This Row],[kwota]])</f>
        <v>3.06</v>
      </c>
    </row>
    <row r="140" spans="1:9" x14ac:dyDescent="0.3">
      <c r="A140">
        <v>139</v>
      </c>
      <c r="B140">
        <v>2010</v>
      </c>
      <c r="C140">
        <v>9</v>
      </c>
      <c r="D140">
        <v>11</v>
      </c>
      <c r="E140" s="1">
        <v>-29.8</v>
      </c>
      <c r="F140" t="s">
        <v>24</v>
      </c>
      <c r="G140" t="str">
        <f>_xlfn.XLOOKUP(transakcje[[#This Row],[podkategoria]],parametr[podkategoria],parametr[kategoria])</f>
        <v>trwałe</v>
      </c>
      <c r="H140" t="str">
        <f>_xlfn.XLOOKUP(transakcje[[#This Row],[kategoria]],parametr[kategoria],parametr[typ])</f>
        <v>wydatki</v>
      </c>
      <c r="I140" s="1">
        <f>ABS(transakcje[[#This Row],[kwota]])</f>
        <v>29.8</v>
      </c>
    </row>
    <row r="141" spans="1:9" x14ac:dyDescent="0.3">
      <c r="A141">
        <v>140</v>
      </c>
      <c r="B141">
        <v>2010</v>
      </c>
      <c r="C141">
        <v>9</v>
      </c>
      <c r="D141">
        <v>11</v>
      </c>
      <c r="E141" s="1">
        <v>-10.98</v>
      </c>
      <c r="F141" t="s">
        <v>23</v>
      </c>
      <c r="G141" t="str">
        <f>_xlfn.XLOOKUP(transakcje[[#This Row],[podkategoria]],parametr[podkategoria],parametr[kategoria])</f>
        <v>opłaty stałe</v>
      </c>
      <c r="H141" t="str">
        <f>_xlfn.XLOOKUP(transakcje[[#This Row],[kategoria]],parametr[kategoria],parametr[typ])</f>
        <v>wydatki</v>
      </c>
      <c r="I141" s="1">
        <f>ABS(transakcje[[#This Row],[kwota]])</f>
        <v>10.98</v>
      </c>
    </row>
    <row r="142" spans="1:9" x14ac:dyDescent="0.3">
      <c r="A142">
        <v>141</v>
      </c>
      <c r="B142">
        <v>2010</v>
      </c>
      <c r="C142">
        <v>9</v>
      </c>
      <c r="D142">
        <v>11</v>
      </c>
      <c r="E142" s="1">
        <v>-0.39800000000000002</v>
      </c>
      <c r="F142" t="s">
        <v>14</v>
      </c>
      <c r="G142" t="str">
        <f>_xlfn.XLOOKUP(transakcje[[#This Row],[podkategoria]],parametr[podkategoria],parametr[kategoria])</f>
        <v>opłaty stałe</v>
      </c>
      <c r="H142" t="str">
        <f>_xlfn.XLOOKUP(transakcje[[#This Row],[kategoria]],parametr[kategoria],parametr[typ])</f>
        <v>wydatki</v>
      </c>
      <c r="I142" s="1">
        <f>ABS(transakcje[[#This Row],[kwota]])</f>
        <v>0.39800000000000002</v>
      </c>
    </row>
    <row r="143" spans="1:9" x14ac:dyDescent="0.3">
      <c r="A143">
        <v>142</v>
      </c>
      <c r="B143">
        <v>2010</v>
      </c>
      <c r="C143">
        <v>9</v>
      </c>
      <c r="D143">
        <v>11</v>
      </c>
      <c r="E143" s="1">
        <v>-13.038</v>
      </c>
      <c r="F143" t="s">
        <v>26</v>
      </c>
      <c r="G143" t="str">
        <f>_xlfn.XLOOKUP(transakcje[[#This Row],[podkategoria]],parametr[podkategoria],parametr[kategoria])</f>
        <v>życie</v>
      </c>
      <c r="H143" t="str">
        <f>_xlfn.XLOOKUP(transakcje[[#This Row],[kategoria]],parametr[kategoria],parametr[typ])</f>
        <v>wydatki</v>
      </c>
      <c r="I143" s="1">
        <f>ABS(transakcje[[#This Row],[kwota]])</f>
        <v>13.038</v>
      </c>
    </row>
    <row r="144" spans="1:9" x14ac:dyDescent="0.3">
      <c r="A144">
        <v>143</v>
      </c>
      <c r="B144">
        <v>2010</v>
      </c>
      <c r="C144">
        <v>9</v>
      </c>
      <c r="D144">
        <v>11</v>
      </c>
      <c r="E144" s="1">
        <v>-23.19</v>
      </c>
      <c r="F144" t="s">
        <v>26</v>
      </c>
      <c r="G144" t="str">
        <f>_xlfn.XLOOKUP(transakcje[[#This Row],[podkategoria]],parametr[podkategoria],parametr[kategoria])</f>
        <v>życie</v>
      </c>
      <c r="H144" t="str">
        <f>_xlfn.XLOOKUP(transakcje[[#This Row],[kategoria]],parametr[kategoria],parametr[typ])</f>
        <v>wydatki</v>
      </c>
      <c r="I144" s="1">
        <f>ABS(transakcje[[#This Row],[kwota]])</f>
        <v>23.19</v>
      </c>
    </row>
    <row r="145" spans="1:9" x14ac:dyDescent="0.3">
      <c r="A145">
        <v>144</v>
      </c>
      <c r="B145">
        <v>2010</v>
      </c>
      <c r="C145">
        <v>9</v>
      </c>
      <c r="D145">
        <v>11</v>
      </c>
      <c r="E145" s="1">
        <v>-2.698</v>
      </c>
      <c r="F145" t="s">
        <v>26</v>
      </c>
      <c r="G145" t="str">
        <f>_xlfn.XLOOKUP(transakcje[[#This Row],[podkategoria]],parametr[podkategoria],parametr[kategoria])</f>
        <v>życie</v>
      </c>
      <c r="H145" t="str">
        <f>_xlfn.XLOOKUP(transakcje[[#This Row],[kategoria]],parametr[kategoria],parametr[typ])</f>
        <v>wydatki</v>
      </c>
      <c r="I145" s="1">
        <f>ABS(transakcje[[#This Row],[kwota]])</f>
        <v>2.698</v>
      </c>
    </row>
    <row r="146" spans="1:9" x14ac:dyDescent="0.3">
      <c r="A146">
        <v>145</v>
      </c>
      <c r="B146">
        <v>2010</v>
      </c>
      <c r="C146">
        <v>9</v>
      </c>
      <c r="D146">
        <v>13</v>
      </c>
      <c r="E146" s="1">
        <v>-13.6</v>
      </c>
      <c r="F146" t="s">
        <v>11</v>
      </c>
      <c r="G146" t="str">
        <f>_xlfn.XLOOKUP(transakcje[[#This Row],[podkategoria]],parametr[podkategoria],parametr[kategoria])</f>
        <v>wydatki inne</v>
      </c>
      <c r="H146" t="str">
        <f>_xlfn.XLOOKUP(transakcje[[#This Row],[kategoria]],parametr[kategoria],parametr[typ])</f>
        <v>wydatki</v>
      </c>
      <c r="I146" s="1">
        <f>ABS(transakcje[[#This Row],[kwota]])</f>
        <v>13.6</v>
      </c>
    </row>
    <row r="147" spans="1:9" x14ac:dyDescent="0.3">
      <c r="A147">
        <v>146</v>
      </c>
      <c r="B147">
        <v>2010</v>
      </c>
      <c r="C147">
        <v>9</v>
      </c>
      <c r="D147">
        <v>13</v>
      </c>
      <c r="E147" s="1">
        <v>-26.26</v>
      </c>
      <c r="F147" t="s">
        <v>26</v>
      </c>
      <c r="G147" t="str">
        <f>_xlfn.XLOOKUP(transakcje[[#This Row],[podkategoria]],parametr[podkategoria],parametr[kategoria])</f>
        <v>życie</v>
      </c>
      <c r="H147" t="str">
        <f>_xlfn.XLOOKUP(transakcje[[#This Row],[kategoria]],parametr[kategoria],parametr[typ])</f>
        <v>wydatki</v>
      </c>
      <c r="I147" s="1">
        <f>ABS(transakcje[[#This Row],[kwota]])</f>
        <v>26.26</v>
      </c>
    </row>
    <row r="148" spans="1:9" x14ac:dyDescent="0.3">
      <c r="A148">
        <v>147</v>
      </c>
      <c r="B148">
        <v>2010</v>
      </c>
      <c r="C148">
        <v>9</v>
      </c>
      <c r="D148">
        <v>15</v>
      </c>
      <c r="E148" s="1">
        <v>2E-3</v>
      </c>
      <c r="F148" t="s">
        <v>17</v>
      </c>
      <c r="G148" t="str">
        <f>_xlfn.XLOOKUP(transakcje[[#This Row],[podkategoria]],parametr[podkategoria],parametr[kategoria])</f>
        <v>dochody pozostałe</v>
      </c>
      <c r="H148" t="str">
        <f>_xlfn.XLOOKUP(transakcje[[#This Row],[kategoria]],parametr[kategoria],parametr[typ])</f>
        <v>dochody</v>
      </c>
      <c r="I148" s="1">
        <f>ABS(transakcje[[#This Row],[kwota]])</f>
        <v>2E-3</v>
      </c>
    </row>
    <row r="149" spans="1:9" x14ac:dyDescent="0.3">
      <c r="A149">
        <v>148</v>
      </c>
      <c r="B149">
        <v>2010</v>
      </c>
      <c r="C149">
        <v>9</v>
      </c>
      <c r="D149">
        <v>15</v>
      </c>
      <c r="E149" s="1">
        <v>-1.1960000000000002</v>
      </c>
      <c r="F149" t="s">
        <v>14</v>
      </c>
      <c r="G149" t="str">
        <f>_xlfn.XLOOKUP(transakcje[[#This Row],[podkategoria]],parametr[podkategoria],parametr[kategoria])</f>
        <v>opłaty stałe</v>
      </c>
      <c r="H149" t="str">
        <f>_xlfn.XLOOKUP(transakcje[[#This Row],[kategoria]],parametr[kategoria],parametr[typ])</f>
        <v>wydatki</v>
      </c>
      <c r="I149" s="1">
        <f>ABS(transakcje[[#This Row],[kwota]])</f>
        <v>1.1960000000000002</v>
      </c>
    </row>
    <row r="150" spans="1:9" x14ac:dyDescent="0.3">
      <c r="A150">
        <v>149</v>
      </c>
      <c r="B150">
        <v>2010</v>
      </c>
      <c r="C150">
        <v>9</v>
      </c>
      <c r="D150">
        <v>15</v>
      </c>
      <c r="E150" s="1">
        <v>-16.2</v>
      </c>
      <c r="F150" t="s">
        <v>32</v>
      </c>
      <c r="G150" t="str">
        <f>_xlfn.XLOOKUP(transakcje[[#This Row],[podkategoria]],parametr[podkategoria],parametr[kategoria])</f>
        <v>opłaty stałe</v>
      </c>
      <c r="H150" t="str">
        <f>_xlfn.XLOOKUP(transakcje[[#This Row],[kategoria]],parametr[kategoria],parametr[typ])</f>
        <v>wydatki</v>
      </c>
      <c r="I150" s="1">
        <f>ABS(transakcje[[#This Row],[kwota]])</f>
        <v>16.2</v>
      </c>
    </row>
    <row r="151" spans="1:9" x14ac:dyDescent="0.3">
      <c r="A151">
        <v>150</v>
      </c>
      <c r="B151">
        <v>2010</v>
      </c>
      <c r="C151">
        <v>9</v>
      </c>
      <c r="D151">
        <v>20</v>
      </c>
      <c r="E151" s="1">
        <v>-3.9560000000000004</v>
      </c>
      <c r="F151" t="s">
        <v>11</v>
      </c>
      <c r="G151" t="str">
        <f>_xlfn.XLOOKUP(transakcje[[#This Row],[podkategoria]],parametr[podkategoria],parametr[kategoria])</f>
        <v>wydatki inne</v>
      </c>
      <c r="H151" t="str">
        <f>_xlfn.XLOOKUP(transakcje[[#This Row],[kategoria]],parametr[kategoria],parametr[typ])</f>
        <v>wydatki</v>
      </c>
      <c r="I151" s="1">
        <f>ABS(transakcje[[#This Row],[kwota]])</f>
        <v>3.9560000000000004</v>
      </c>
    </row>
    <row r="152" spans="1:9" x14ac:dyDescent="0.3">
      <c r="A152">
        <v>151</v>
      </c>
      <c r="B152">
        <v>2010</v>
      </c>
      <c r="C152">
        <v>9</v>
      </c>
      <c r="D152">
        <v>20</v>
      </c>
      <c r="E152" s="1">
        <v>-24.94</v>
      </c>
      <c r="F152" t="s">
        <v>26</v>
      </c>
      <c r="G152" t="str">
        <f>_xlfn.XLOOKUP(transakcje[[#This Row],[podkategoria]],parametr[podkategoria],parametr[kategoria])</f>
        <v>życie</v>
      </c>
      <c r="H152" t="str">
        <f>_xlfn.XLOOKUP(transakcje[[#This Row],[kategoria]],parametr[kategoria],parametr[typ])</f>
        <v>wydatki</v>
      </c>
      <c r="I152" s="1">
        <f>ABS(transakcje[[#This Row],[kwota]])</f>
        <v>24.94</v>
      </c>
    </row>
    <row r="153" spans="1:9" x14ac:dyDescent="0.3">
      <c r="A153">
        <v>152</v>
      </c>
      <c r="B153">
        <v>2010</v>
      </c>
      <c r="C153">
        <v>9</v>
      </c>
      <c r="D153">
        <v>20</v>
      </c>
      <c r="E153" s="1">
        <v>-4.718</v>
      </c>
      <c r="F153" t="s">
        <v>26</v>
      </c>
      <c r="G153" t="str">
        <f>_xlfn.XLOOKUP(transakcje[[#This Row],[podkategoria]],parametr[podkategoria],parametr[kategoria])</f>
        <v>życie</v>
      </c>
      <c r="H153" t="str">
        <f>_xlfn.XLOOKUP(transakcje[[#This Row],[kategoria]],parametr[kategoria],parametr[typ])</f>
        <v>wydatki</v>
      </c>
      <c r="I153" s="1">
        <f>ABS(transakcje[[#This Row],[kwota]])</f>
        <v>4.718</v>
      </c>
    </row>
    <row r="154" spans="1:9" x14ac:dyDescent="0.3">
      <c r="A154">
        <v>153</v>
      </c>
      <c r="B154">
        <v>2010</v>
      </c>
      <c r="C154">
        <v>9</v>
      </c>
      <c r="D154">
        <v>24</v>
      </c>
      <c r="E154" s="1">
        <v>-3.8</v>
      </c>
      <c r="F154" t="s">
        <v>11</v>
      </c>
      <c r="G154" t="str">
        <f>_xlfn.XLOOKUP(transakcje[[#This Row],[podkategoria]],parametr[podkategoria],parametr[kategoria])</f>
        <v>wydatki inne</v>
      </c>
      <c r="H154" t="str">
        <f>_xlfn.XLOOKUP(transakcje[[#This Row],[kategoria]],parametr[kategoria],parametr[typ])</f>
        <v>wydatki</v>
      </c>
      <c r="I154" s="1">
        <f>ABS(transakcje[[#This Row],[kwota]])</f>
        <v>3.8</v>
      </c>
    </row>
    <row r="155" spans="1:9" x14ac:dyDescent="0.3">
      <c r="A155">
        <v>154</v>
      </c>
      <c r="B155">
        <v>2010</v>
      </c>
      <c r="C155">
        <v>9</v>
      </c>
      <c r="D155">
        <v>27</v>
      </c>
      <c r="E155" s="1">
        <v>410.24799999999993</v>
      </c>
      <c r="F155" t="s">
        <v>8</v>
      </c>
      <c r="G155" t="str">
        <f>_xlfn.XLOOKUP(transakcje[[#This Row],[podkategoria]],parametr[podkategoria],parametr[kategoria])</f>
        <v>dochody z pracy</v>
      </c>
      <c r="H155" t="str">
        <f>_xlfn.XLOOKUP(transakcje[[#This Row],[kategoria]],parametr[kategoria],parametr[typ])</f>
        <v>dochody</v>
      </c>
      <c r="I155" s="1">
        <f>ABS(transakcje[[#This Row],[kwota]])</f>
        <v>410.24799999999993</v>
      </c>
    </row>
    <row r="156" spans="1:9" x14ac:dyDescent="0.3">
      <c r="A156">
        <v>155</v>
      </c>
      <c r="B156">
        <v>2010</v>
      </c>
      <c r="C156">
        <v>9</v>
      </c>
      <c r="D156">
        <v>28</v>
      </c>
      <c r="E156" s="1">
        <v>-4.0439999999999996</v>
      </c>
      <c r="F156" t="s">
        <v>26</v>
      </c>
      <c r="G156" t="str">
        <f>_xlfn.XLOOKUP(transakcje[[#This Row],[podkategoria]],parametr[podkategoria],parametr[kategoria])</f>
        <v>życie</v>
      </c>
      <c r="H156" t="str">
        <f>_xlfn.XLOOKUP(transakcje[[#This Row],[kategoria]],parametr[kategoria],parametr[typ])</f>
        <v>wydatki</v>
      </c>
      <c r="I156" s="1">
        <f>ABS(transakcje[[#This Row],[kwota]])</f>
        <v>4.0439999999999996</v>
      </c>
    </row>
    <row r="157" spans="1:9" x14ac:dyDescent="0.3">
      <c r="A157">
        <v>156</v>
      </c>
      <c r="B157">
        <v>2010</v>
      </c>
      <c r="C157">
        <v>9</v>
      </c>
      <c r="D157">
        <v>30</v>
      </c>
      <c r="E157" s="1">
        <v>-1.6600000000000001</v>
      </c>
      <c r="F157" t="s">
        <v>11</v>
      </c>
      <c r="G157" t="str">
        <f>_xlfn.XLOOKUP(transakcje[[#This Row],[podkategoria]],parametr[podkategoria],parametr[kategoria])</f>
        <v>wydatki inne</v>
      </c>
      <c r="H157" t="str">
        <f>_xlfn.XLOOKUP(transakcje[[#This Row],[kategoria]],parametr[kategoria],parametr[typ])</f>
        <v>wydatki</v>
      </c>
      <c r="I157" s="1">
        <f>ABS(transakcje[[#This Row],[kwota]])</f>
        <v>1.6600000000000001</v>
      </c>
    </row>
    <row r="158" spans="1:9" x14ac:dyDescent="0.3">
      <c r="A158">
        <v>157</v>
      </c>
      <c r="B158">
        <v>2010</v>
      </c>
      <c r="C158">
        <v>9</v>
      </c>
      <c r="D158">
        <v>30</v>
      </c>
      <c r="E158" s="1">
        <v>1.4000000000000002E-2</v>
      </c>
      <c r="F158" t="s">
        <v>17</v>
      </c>
      <c r="G158" t="str">
        <f>_xlfn.XLOOKUP(transakcje[[#This Row],[podkategoria]],parametr[podkategoria],parametr[kategoria])</f>
        <v>dochody pozostałe</v>
      </c>
      <c r="H158" t="str">
        <f>_xlfn.XLOOKUP(transakcje[[#This Row],[kategoria]],parametr[kategoria],parametr[typ])</f>
        <v>dochody</v>
      </c>
      <c r="I158" s="1">
        <f>ABS(transakcje[[#This Row],[kwota]])</f>
        <v>1.4000000000000002E-2</v>
      </c>
    </row>
    <row r="159" spans="1:9" x14ac:dyDescent="0.3">
      <c r="A159">
        <v>158</v>
      </c>
      <c r="B159">
        <v>2010</v>
      </c>
      <c r="C159">
        <v>9</v>
      </c>
      <c r="D159">
        <v>30</v>
      </c>
      <c r="E159" s="1">
        <v>-1.198</v>
      </c>
      <c r="F159" t="s">
        <v>14</v>
      </c>
      <c r="G159" t="str">
        <f>_xlfn.XLOOKUP(transakcje[[#This Row],[podkategoria]],parametr[podkategoria],parametr[kategoria])</f>
        <v>opłaty stałe</v>
      </c>
      <c r="H159" t="str">
        <f>_xlfn.XLOOKUP(transakcje[[#This Row],[kategoria]],parametr[kategoria],parametr[typ])</f>
        <v>wydatki</v>
      </c>
      <c r="I159" s="1">
        <f>ABS(transakcje[[#This Row],[kwota]])</f>
        <v>1.198</v>
      </c>
    </row>
    <row r="160" spans="1:9" x14ac:dyDescent="0.3">
      <c r="A160">
        <v>159</v>
      </c>
      <c r="B160">
        <v>2010</v>
      </c>
      <c r="C160">
        <v>9</v>
      </c>
      <c r="D160">
        <v>30</v>
      </c>
      <c r="E160" s="1">
        <v>-0.2</v>
      </c>
      <c r="F160" t="s">
        <v>14</v>
      </c>
      <c r="G160" t="str">
        <f>_xlfn.XLOOKUP(transakcje[[#This Row],[podkategoria]],parametr[podkategoria],parametr[kategoria])</f>
        <v>opłaty stałe</v>
      </c>
      <c r="H160" t="str">
        <f>_xlfn.XLOOKUP(transakcje[[#This Row],[kategoria]],parametr[kategoria],parametr[typ])</f>
        <v>wydatki</v>
      </c>
      <c r="I160" s="1">
        <f>ABS(transakcje[[#This Row],[kwota]])</f>
        <v>0.2</v>
      </c>
    </row>
    <row r="161" spans="1:9" x14ac:dyDescent="0.3">
      <c r="A161">
        <v>160</v>
      </c>
      <c r="B161">
        <v>2010</v>
      </c>
      <c r="C161">
        <v>10</v>
      </c>
      <c r="D161">
        <v>1</v>
      </c>
      <c r="E161" s="1">
        <v>-5.7359999999999998</v>
      </c>
      <c r="F161" t="s">
        <v>26</v>
      </c>
      <c r="G161" t="str">
        <f>_xlfn.XLOOKUP(transakcje[[#This Row],[podkategoria]],parametr[podkategoria],parametr[kategoria])</f>
        <v>życie</v>
      </c>
      <c r="H161" t="str">
        <f>_xlfn.XLOOKUP(transakcje[[#This Row],[kategoria]],parametr[kategoria],parametr[typ])</f>
        <v>wydatki</v>
      </c>
      <c r="I161" s="1">
        <f>ABS(transakcje[[#This Row],[kwota]])</f>
        <v>5.7359999999999998</v>
      </c>
    </row>
    <row r="162" spans="1:9" x14ac:dyDescent="0.3">
      <c r="A162">
        <v>161</v>
      </c>
      <c r="B162">
        <v>2010</v>
      </c>
      <c r="C162">
        <v>10</v>
      </c>
      <c r="D162">
        <v>2</v>
      </c>
      <c r="E162" s="1">
        <v>-33.660000000000004</v>
      </c>
      <c r="F162" t="s">
        <v>33</v>
      </c>
      <c r="G162" t="str">
        <f>_xlfn.XLOOKUP(transakcje[[#This Row],[podkategoria]],parametr[podkategoria],parametr[kategoria])</f>
        <v>trwałe</v>
      </c>
      <c r="H162" t="str">
        <f>_xlfn.XLOOKUP(transakcje[[#This Row],[kategoria]],parametr[kategoria],parametr[typ])</f>
        <v>wydatki</v>
      </c>
      <c r="I162" s="1">
        <f>ABS(transakcje[[#This Row],[kwota]])</f>
        <v>33.660000000000004</v>
      </c>
    </row>
    <row r="163" spans="1:9" x14ac:dyDescent="0.3">
      <c r="A163">
        <v>162</v>
      </c>
      <c r="B163">
        <v>2010</v>
      </c>
      <c r="C163">
        <v>10</v>
      </c>
      <c r="D163">
        <v>2</v>
      </c>
      <c r="E163" s="1">
        <v>-54.784000000000006</v>
      </c>
      <c r="F163" t="s">
        <v>31</v>
      </c>
      <c r="G163" t="str">
        <f>_xlfn.XLOOKUP(transakcje[[#This Row],[podkategoria]],parametr[podkategoria],parametr[kategoria])</f>
        <v>opłaty stałe</v>
      </c>
      <c r="H163" t="str">
        <f>_xlfn.XLOOKUP(transakcje[[#This Row],[kategoria]],parametr[kategoria],parametr[typ])</f>
        <v>wydatki</v>
      </c>
      <c r="I163" s="1">
        <f>ABS(transakcje[[#This Row],[kwota]])</f>
        <v>54.784000000000006</v>
      </c>
    </row>
    <row r="164" spans="1:9" x14ac:dyDescent="0.3">
      <c r="A164">
        <v>163</v>
      </c>
      <c r="B164">
        <v>2010</v>
      </c>
      <c r="C164">
        <v>10</v>
      </c>
      <c r="D164">
        <v>2</v>
      </c>
      <c r="E164" s="1">
        <v>-8.7319999999999993</v>
      </c>
      <c r="F164" t="s">
        <v>25</v>
      </c>
      <c r="G164" t="str">
        <f>_xlfn.XLOOKUP(transakcje[[#This Row],[podkategoria]],parametr[podkategoria],parametr[kategoria])</f>
        <v>opłaty stałe</v>
      </c>
      <c r="H164" t="str">
        <f>_xlfn.XLOOKUP(transakcje[[#This Row],[kategoria]],parametr[kategoria],parametr[typ])</f>
        <v>wydatki</v>
      </c>
      <c r="I164" s="1">
        <f>ABS(transakcje[[#This Row],[kwota]])</f>
        <v>8.7319999999999993</v>
      </c>
    </row>
    <row r="165" spans="1:9" x14ac:dyDescent="0.3">
      <c r="A165">
        <v>164</v>
      </c>
      <c r="B165">
        <v>2010</v>
      </c>
      <c r="C165">
        <v>10</v>
      </c>
      <c r="D165">
        <v>7</v>
      </c>
      <c r="E165" s="1">
        <v>-15.827999999999999</v>
      </c>
      <c r="F165" t="s">
        <v>26</v>
      </c>
      <c r="G165" t="str">
        <f>_xlfn.XLOOKUP(transakcje[[#This Row],[podkategoria]],parametr[podkategoria],parametr[kategoria])</f>
        <v>życie</v>
      </c>
      <c r="H165" t="str">
        <f>_xlfn.XLOOKUP(transakcje[[#This Row],[kategoria]],parametr[kategoria],parametr[typ])</f>
        <v>wydatki</v>
      </c>
      <c r="I165" s="1">
        <f>ABS(transakcje[[#This Row],[kwota]])</f>
        <v>15.827999999999999</v>
      </c>
    </row>
    <row r="166" spans="1:9" x14ac:dyDescent="0.3">
      <c r="A166">
        <v>165</v>
      </c>
      <c r="B166">
        <v>2010</v>
      </c>
      <c r="C166">
        <v>10</v>
      </c>
      <c r="D166">
        <v>8</v>
      </c>
      <c r="E166" s="1">
        <v>-4.2939999999999996</v>
      </c>
      <c r="F166" t="s">
        <v>26</v>
      </c>
      <c r="G166" t="str">
        <f>_xlfn.XLOOKUP(transakcje[[#This Row],[podkategoria]],parametr[podkategoria],parametr[kategoria])</f>
        <v>życie</v>
      </c>
      <c r="H166" t="str">
        <f>_xlfn.XLOOKUP(transakcje[[#This Row],[kategoria]],parametr[kategoria],parametr[typ])</f>
        <v>wydatki</v>
      </c>
      <c r="I166" s="1">
        <f>ABS(transakcje[[#This Row],[kwota]])</f>
        <v>4.2939999999999996</v>
      </c>
    </row>
    <row r="167" spans="1:9" x14ac:dyDescent="0.3">
      <c r="A167">
        <v>166</v>
      </c>
      <c r="B167">
        <v>2010</v>
      </c>
      <c r="C167">
        <v>10</v>
      </c>
      <c r="D167">
        <v>9</v>
      </c>
      <c r="E167" s="1">
        <v>-0.39800000000000002</v>
      </c>
      <c r="F167" t="s">
        <v>14</v>
      </c>
      <c r="G167" t="str">
        <f>_xlfn.XLOOKUP(transakcje[[#This Row],[podkategoria]],parametr[podkategoria],parametr[kategoria])</f>
        <v>opłaty stałe</v>
      </c>
      <c r="H167" t="str">
        <f>_xlfn.XLOOKUP(transakcje[[#This Row],[kategoria]],parametr[kategoria],parametr[typ])</f>
        <v>wydatki</v>
      </c>
      <c r="I167" s="1">
        <f>ABS(transakcje[[#This Row],[kwota]])</f>
        <v>0.39800000000000002</v>
      </c>
    </row>
    <row r="168" spans="1:9" x14ac:dyDescent="0.3">
      <c r="A168">
        <v>167</v>
      </c>
      <c r="B168">
        <v>2010</v>
      </c>
      <c r="C168">
        <v>10</v>
      </c>
      <c r="D168">
        <v>11</v>
      </c>
      <c r="E168" s="1">
        <v>-9.76</v>
      </c>
      <c r="F168" t="s">
        <v>23</v>
      </c>
      <c r="G168" t="str">
        <f>_xlfn.XLOOKUP(transakcje[[#This Row],[podkategoria]],parametr[podkategoria],parametr[kategoria])</f>
        <v>opłaty stałe</v>
      </c>
      <c r="H168" t="str">
        <f>_xlfn.XLOOKUP(transakcje[[#This Row],[kategoria]],parametr[kategoria],parametr[typ])</f>
        <v>wydatki</v>
      </c>
      <c r="I168" s="1">
        <f>ABS(transakcje[[#This Row],[kwota]])</f>
        <v>9.76</v>
      </c>
    </row>
    <row r="169" spans="1:9" x14ac:dyDescent="0.3">
      <c r="A169">
        <v>168</v>
      </c>
      <c r="B169">
        <v>2010</v>
      </c>
      <c r="C169">
        <v>10</v>
      </c>
      <c r="D169">
        <v>14</v>
      </c>
      <c r="E169" s="1">
        <v>-11.926</v>
      </c>
      <c r="F169" t="s">
        <v>26</v>
      </c>
      <c r="G169" t="str">
        <f>_xlfn.XLOOKUP(transakcje[[#This Row],[podkategoria]],parametr[podkategoria],parametr[kategoria])</f>
        <v>życie</v>
      </c>
      <c r="H169" t="str">
        <f>_xlfn.XLOOKUP(transakcje[[#This Row],[kategoria]],parametr[kategoria],parametr[typ])</f>
        <v>wydatki</v>
      </c>
      <c r="I169" s="1">
        <f>ABS(transakcje[[#This Row],[kwota]])</f>
        <v>11.926</v>
      </c>
    </row>
    <row r="170" spans="1:9" x14ac:dyDescent="0.3">
      <c r="A170">
        <v>169</v>
      </c>
      <c r="B170">
        <v>2010</v>
      </c>
      <c r="C170">
        <v>10</v>
      </c>
      <c r="D170">
        <v>15</v>
      </c>
      <c r="E170" s="1">
        <v>-1.1960000000000002</v>
      </c>
      <c r="F170" t="s">
        <v>14</v>
      </c>
      <c r="G170" t="str">
        <f>_xlfn.XLOOKUP(transakcje[[#This Row],[podkategoria]],parametr[podkategoria],parametr[kategoria])</f>
        <v>opłaty stałe</v>
      </c>
      <c r="H170" t="str">
        <f>_xlfn.XLOOKUP(transakcje[[#This Row],[kategoria]],parametr[kategoria],parametr[typ])</f>
        <v>wydatki</v>
      </c>
      <c r="I170" s="1">
        <f>ABS(transakcje[[#This Row],[kwota]])</f>
        <v>1.1960000000000002</v>
      </c>
    </row>
    <row r="171" spans="1:9" x14ac:dyDescent="0.3">
      <c r="A171">
        <v>170</v>
      </c>
      <c r="B171">
        <v>2010</v>
      </c>
      <c r="C171">
        <v>10</v>
      </c>
      <c r="D171">
        <v>22</v>
      </c>
      <c r="E171" s="1">
        <v>-37.405999999999999</v>
      </c>
      <c r="F171" t="s">
        <v>26</v>
      </c>
      <c r="G171" t="str">
        <f>_xlfn.XLOOKUP(transakcje[[#This Row],[podkategoria]],parametr[podkategoria],parametr[kategoria])</f>
        <v>życie</v>
      </c>
      <c r="H171" t="str">
        <f>_xlfn.XLOOKUP(transakcje[[#This Row],[kategoria]],parametr[kategoria],parametr[typ])</f>
        <v>wydatki</v>
      </c>
      <c r="I171" s="1">
        <f>ABS(transakcje[[#This Row],[kwota]])</f>
        <v>37.405999999999999</v>
      </c>
    </row>
    <row r="172" spans="1:9" x14ac:dyDescent="0.3">
      <c r="A172">
        <v>171</v>
      </c>
      <c r="B172">
        <v>2010</v>
      </c>
      <c r="C172">
        <v>10</v>
      </c>
      <c r="D172">
        <v>25</v>
      </c>
      <c r="E172" s="1">
        <v>-16.399999999999999</v>
      </c>
      <c r="F172" t="s">
        <v>32</v>
      </c>
      <c r="G172" t="str">
        <f>_xlfn.XLOOKUP(transakcje[[#This Row],[podkategoria]],parametr[podkategoria],parametr[kategoria])</f>
        <v>opłaty stałe</v>
      </c>
      <c r="H172" t="str">
        <f>_xlfn.XLOOKUP(transakcje[[#This Row],[kategoria]],parametr[kategoria],parametr[typ])</f>
        <v>wydatki</v>
      </c>
      <c r="I172" s="1">
        <f>ABS(transakcje[[#This Row],[kwota]])</f>
        <v>16.399999999999999</v>
      </c>
    </row>
    <row r="173" spans="1:9" x14ac:dyDescent="0.3">
      <c r="A173">
        <v>172</v>
      </c>
      <c r="B173">
        <v>2010</v>
      </c>
      <c r="C173">
        <v>10</v>
      </c>
      <c r="D173">
        <v>27</v>
      </c>
      <c r="E173" s="1">
        <v>410.24799999999993</v>
      </c>
      <c r="F173" t="s">
        <v>8</v>
      </c>
      <c r="G173" t="str">
        <f>_xlfn.XLOOKUP(transakcje[[#This Row],[podkategoria]],parametr[podkategoria],parametr[kategoria])</f>
        <v>dochody z pracy</v>
      </c>
      <c r="H173" t="str">
        <f>_xlfn.XLOOKUP(transakcje[[#This Row],[kategoria]],parametr[kategoria],parametr[typ])</f>
        <v>dochody</v>
      </c>
      <c r="I173" s="1">
        <f>ABS(transakcje[[#This Row],[kwota]])</f>
        <v>410.24799999999993</v>
      </c>
    </row>
    <row r="174" spans="1:9" x14ac:dyDescent="0.3">
      <c r="A174">
        <v>173</v>
      </c>
      <c r="B174">
        <v>2010</v>
      </c>
      <c r="C174">
        <v>10</v>
      </c>
      <c r="D174">
        <v>28</v>
      </c>
      <c r="E174" s="1">
        <v>2.58</v>
      </c>
      <c r="F174" t="s">
        <v>17</v>
      </c>
      <c r="G174" t="str">
        <f>_xlfn.XLOOKUP(transakcje[[#This Row],[podkategoria]],parametr[podkategoria],parametr[kategoria])</f>
        <v>dochody pozostałe</v>
      </c>
      <c r="H174" t="str">
        <f>_xlfn.XLOOKUP(transakcje[[#This Row],[kategoria]],parametr[kategoria],parametr[typ])</f>
        <v>dochody</v>
      </c>
      <c r="I174" s="1">
        <f>ABS(transakcje[[#This Row],[kwota]])</f>
        <v>2.58</v>
      </c>
    </row>
    <row r="175" spans="1:9" x14ac:dyDescent="0.3">
      <c r="A175">
        <v>174</v>
      </c>
      <c r="B175">
        <v>2010</v>
      </c>
      <c r="C175">
        <v>10</v>
      </c>
      <c r="D175">
        <v>30</v>
      </c>
      <c r="E175" s="1">
        <v>-33.660000000000004</v>
      </c>
      <c r="F175" t="s">
        <v>33</v>
      </c>
      <c r="G175" t="str">
        <f>_xlfn.XLOOKUP(transakcje[[#This Row],[podkategoria]],parametr[podkategoria],parametr[kategoria])</f>
        <v>trwałe</v>
      </c>
      <c r="H175" t="str">
        <f>_xlfn.XLOOKUP(transakcje[[#This Row],[kategoria]],parametr[kategoria],parametr[typ])</f>
        <v>wydatki</v>
      </c>
      <c r="I175" s="1">
        <f>ABS(transakcje[[#This Row],[kwota]])</f>
        <v>33.660000000000004</v>
      </c>
    </row>
    <row r="176" spans="1:9" x14ac:dyDescent="0.3">
      <c r="A176">
        <v>175</v>
      </c>
      <c r="B176">
        <v>2010</v>
      </c>
      <c r="C176">
        <v>10</v>
      </c>
      <c r="D176">
        <v>30</v>
      </c>
      <c r="E176" s="1">
        <v>-46.4</v>
      </c>
      <c r="F176" t="s">
        <v>30</v>
      </c>
      <c r="G176" t="str">
        <f>_xlfn.XLOOKUP(transakcje[[#This Row],[podkategoria]],parametr[podkategoria],parametr[kategoria])</f>
        <v>opłaty stałe</v>
      </c>
      <c r="H176" t="str">
        <f>_xlfn.XLOOKUP(transakcje[[#This Row],[kategoria]],parametr[kategoria],parametr[typ])</f>
        <v>wydatki</v>
      </c>
      <c r="I176" s="1">
        <f>ABS(transakcje[[#This Row],[kwota]])</f>
        <v>46.4</v>
      </c>
    </row>
    <row r="177" spans="1:9" x14ac:dyDescent="0.3">
      <c r="A177">
        <v>176</v>
      </c>
      <c r="B177">
        <v>2010</v>
      </c>
      <c r="C177">
        <v>10</v>
      </c>
      <c r="D177">
        <v>31</v>
      </c>
      <c r="E177" s="1">
        <v>4.0000000000000001E-3</v>
      </c>
      <c r="F177" t="s">
        <v>17</v>
      </c>
      <c r="G177" t="str">
        <f>_xlfn.XLOOKUP(transakcje[[#This Row],[podkategoria]],parametr[podkategoria],parametr[kategoria])</f>
        <v>dochody pozostałe</v>
      </c>
      <c r="H177" t="str">
        <f>_xlfn.XLOOKUP(transakcje[[#This Row],[kategoria]],parametr[kategoria],parametr[typ])</f>
        <v>dochody</v>
      </c>
      <c r="I177" s="1">
        <f>ABS(transakcje[[#This Row],[kwota]])</f>
        <v>4.0000000000000001E-3</v>
      </c>
    </row>
    <row r="178" spans="1:9" x14ac:dyDescent="0.3">
      <c r="A178">
        <v>177</v>
      </c>
      <c r="B178">
        <v>2010</v>
      </c>
      <c r="C178">
        <v>10</v>
      </c>
      <c r="D178">
        <v>31</v>
      </c>
      <c r="E178" s="1">
        <v>-1.198</v>
      </c>
      <c r="F178" t="s">
        <v>14</v>
      </c>
      <c r="G178" t="str">
        <f>_xlfn.XLOOKUP(transakcje[[#This Row],[podkategoria]],parametr[podkategoria],parametr[kategoria])</f>
        <v>opłaty stałe</v>
      </c>
      <c r="H178" t="str">
        <f>_xlfn.XLOOKUP(transakcje[[#This Row],[kategoria]],parametr[kategoria],parametr[typ])</f>
        <v>wydatki</v>
      </c>
      <c r="I178" s="1">
        <f>ABS(transakcje[[#This Row],[kwota]])</f>
        <v>1.198</v>
      </c>
    </row>
    <row r="179" spans="1:9" x14ac:dyDescent="0.3">
      <c r="A179">
        <v>178</v>
      </c>
      <c r="B179">
        <v>2010</v>
      </c>
      <c r="C179">
        <v>10</v>
      </c>
      <c r="D179">
        <v>31</v>
      </c>
      <c r="E179" s="1">
        <v>-0.9</v>
      </c>
      <c r="F179" t="s">
        <v>14</v>
      </c>
      <c r="G179" t="str">
        <f>_xlfn.XLOOKUP(transakcje[[#This Row],[podkategoria]],parametr[podkategoria],parametr[kategoria])</f>
        <v>opłaty stałe</v>
      </c>
      <c r="H179" t="str">
        <f>_xlfn.XLOOKUP(transakcje[[#This Row],[kategoria]],parametr[kategoria],parametr[typ])</f>
        <v>wydatki</v>
      </c>
      <c r="I179" s="1">
        <f>ABS(transakcje[[#This Row],[kwota]])</f>
        <v>0.9</v>
      </c>
    </row>
    <row r="180" spans="1:9" x14ac:dyDescent="0.3">
      <c r="A180">
        <v>179</v>
      </c>
      <c r="B180">
        <v>2010</v>
      </c>
      <c r="C180">
        <v>11</v>
      </c>
      <c r="D180">
        <v>1</v>
      </c>
      <c r="E180" s="1">
        <v>-8</v>
      </c>
      <c r="F180" t="s">
        <v>25</v>
      </c>
      <c r="G180" t="str">
        <f>_xlfn.XLOOKUP(transakcje[[#This Row],[podkategoria]],parametr[podkategoria],parametr[kategoria])</f>
        <v>opłaty stałe</v>
      </c>
      <c r="H180" t="str">
        <f>_xlfn.XLOOKUP(transakcje[[#This Row],[kategoria]],parametr[kategoria],parametr[typ])</f>
        <v>wydatki</v>
      </c>
      <c r="I180" s="1">
        <f>ABS(transakcje[[#This Row],[kwota]])</f>
        <v>8</v>
      </c>
    </row>
    <row r="181" spans="1:9" x14ac:dyDescent="0.3">
      <c r="A181">
        <v>180</v>
      </c>
      <c r="B181">
        <v>2010</v>
      </c>
      <c r="C181">
        <v>11</v>
      </c>
      <c r="D181">
        <v>1</v>
      </c>
      <c r="E181" s="1">
        <v>-54.784000000000006</v>
      </c>
      <c r="F181" t="s">
        <v>31</v>
      </c>
      <c r="G181" t="str">
        <f>_xlfn.XLOOKUP(transakcje[[#This Row],[podkategoria]],parametr[podkategoria],parametr[kategoria])</f>
        <v>opłaty stałe</v>
      </c>
      <c r="H181" t="str">
        <f>_xlfn.XLOOKUP(transakcje[[#This Row],[kategoria]],parametr[kategoria],parametr[typ])</f>
        <v>wydatki</v>
      </c>
      <c r="I181" s="1">
        <f>ABS(transakcje[[#This Row],[kwota]])</f>
        <v>54.784000000000006</v>
      </c>
    </row>
    <row r="182" spans="1:9" x14ac:dyDescent="0.3">
      <c r="A182">
        <v>181</v>
      </c>
      <c r="B182">
        <v>2010</v>
      </c>
      <c r="C182">
        <v>11</v>
      </c>
      <c r="D182">
        <v>1</v>
      </c>
      <c r="E182" s="1">
        <v>-15.254</v>
      </c>
      <c r="F182" t="s">
        <v>34</v>
      </c>
      <c r="G182" t="str">
        <f>_xlfn.XLOOKUP(transakcje[[#This Row],[podkategoria]],parametr[podkategoria],parametr[kategoria])</f>
        <v>opłaty stałe</v>
      </c>
      <c r="H182" t="str">
        <f>_xlfn.XLOOKUP(transakcje[[#This Row],[kategoria]],parametr[kategoria],parametr[typ])</f>
        <v>wydatki</v>
      </c>
      <c r="I182" s="1">
        <f>ABS(transakcje[[#This Row],[kwota]])</f>
        <v>15.254</v>
      </c>
    </row>
    <row r="183" spans="1:9" x14ac:dyDescent="0.3">
      <c r="A183">
        <v>182</v>
      </c>
      <c r="B183">
        <v>2010</v>
      </c>
      <c r="C183">
        <v>11</v>
      </c>
      <c r="D183">
        <v>2</v>
      </c>
      <c r="E183" s="1">
        <v>-129.31800000000001</v>
      </c>
      <c r="F183" t="s">
        <v>11</v>
      </c>
      <c r="G183" t="str">
        <f>_xlfn.XLOOKUP(transakcje[[#This Row],[podkategoria]],parametr[podkategoria],parametr[kategoria])</f>
        <v>wydatki inne</v>
      </c>
      <c r="H183" t="str">
        <f>_xlfn.XLOOKUP(transakcje[[#This Row],[kategoria]],parametr[kategoria],parametr[typ])</f>
        <v>wydatki</v>
      </c>
      <c r="I183" s="1">
        <f>ABS(transakcje[[#This Row],[kwota]])</f>
        <v>129.31800000000001</v>
      </c>
    </row>
    <row r="184" spans="1:9" x14ac:dyDescent="0.3">
      <c r="A184">
        <v>183</v>
      </c>
      <c r="B184">
        <v>2010</v>
      </c>
      <c r="C184">
        <v>11</v>
      </c>
      <c r="D184">
        <v>4</v>
      </c>
      <c r="E184" s="1">
        <v>-6.0220000000000002</v>
      </c>
      <c r="F184" t="s">
        <v>26</v>
      </c>
      <c r="G184" t="str">
        <f>_xlfn.XLOOKUP(transakcje[[#This Row],[podkategoria]],parametr[podkategoria],parametr[kategoria])</f>
        <v>życie</v>
      </c>
      <c r="H184" t="str">
        <f>_xlfn.XLOOKUP(transakcje[[#This Row],[kategoria]],parametr[kategoria],parametr[typ])</f>
        <v>wydatki</v>
      </c>
      <c r="I184" s="1">
        <f>ABS(transakcje[[#This Row],[kwota]])</f>
        <v>6.0220000000000002</v>
      </c>
    </row>
    <row r="185" spans="1:9" x14ac:dyDescent="0.3">
      <c r="A185">
        <v>184</v>
      </c>
      <c r="B185">
        <v>2010</v>
      </c>
      <c r="C185">
        <v>11</v>
      </c>
      <c r="D185">
        <v>6</v>
      </c>
      <c r="E185" s="1">
        <v>-8.4640000000000004</v>
      </c>
      <c r="F185" t="s">
        <v>35</v>
      </c>
      <c r="G185" t="str">
        <f>_xlfn.XLOOKUP(transakcje[[#This Row],[podkategoria]],parametr[podkategoria],parametr[kategoria])</f>
        <v>opłaty stałe</v>
      </c>
      <c r="H185" t="str">
        <f>_xlfn.XLOOKUP(transakcje[[#This Row],[kategoria]],parametr[kategoria],parametr[typ])</f>
        <v>wydatki</v>
      </c>
      <c r="I185" s="1">
        <f>ABS(transakcje[[#This Row],[kwota]])</f>
        <v>8.4640000000000004</v>
      </c>
    </row>
    <row r="186" spans="1:9" x14ac:dyDescent="0.3">
      <c r="A186">
        <v>185</v>
      </c>
      <c r="B186">
        <v>2010</v>
      </c>
      <c r="C186">
        <v>11</v>
      </c>
      <c r="D186">
        <v>6</v>
      </c>
      <c r="E186" s="1">
        <v>-10.120000000000001</v>
      </c>
      <c r="F186" t="s">
        <v>35</v>
      </c>
      <c r="G186" t="str">
        <f>_xlfn.XLOOKUP(transakcje[[#This Row],[podkategoria]],parametr[podkategoria],parametr[kategoria])</f>
        <v>opłaty stałe</v>
      </c>
      <c r="H186" t="str">
        <f>_xlfn.XLOOKUP(transakcje[[#This Row],[kategoria]],parametr[kategoria],parametr[typ])</f>
        <v>wydatki</v>
      </c>
      <c r="I186" s="1">
        <f>ABS(transakcje[[#This Row],[kwota]])</f>
        <v>10.120000000000001</v>
      </c>
    </row>
    <row r="187" spans="1:9" x14ac:dyDescent="0.3">
      <c r="A187">
        <v>186</v>
      </c>
      <c r="B187">
        <v>2010</v>
      </c>
      <c r="C187">
        <v>11</v>
      </c>
      <c r="D187">
        <v>6</v>
      </c>
      <c r="E187" s="1">
        <v>-1.6600000000000001</v>
      </c>
      <c r="F187" t="s">
        <v>11</v>
      </c>
      <c r="G187" t="str">
        <f>_xlfn.XLOOKUP(transakcje[[#This Row],[podkategoria]],parametr[podkategoria],parametr[kategoria])</f>
        <v>wydatki inne</v>
      </c>
      <c r="H187" t="str">
        <f>_xlfn.XLOOKUP(transakcje[[#This Row],[kategoria]],parametr[kategoria],parametr[typ])</f>
        <v>wydatki</v>
      </c>
      <c r="I187" s="1">
        <f>ABS(transakcje[[#This Row],[kwota]])</f>
        <v>1.6600000000000001</v>
      </c>
    </row>
    <row r="188" spans="1:9" x14ac:dyDescent="0.3">
      <c r="A188">
        <v>187</v>
      </c>
      <c r="B188">
        <v>2010</v>
      </c>
      <c r="C188">
        <v>11</v>
      </c>
      <c r="D188">
        <v>8</v>
      </c>
      <c r="E188" s="1">
        <v>-18.538</v>
      </c>
      <c r="F188" t="s">
        <v>26</v>
      </c>
      <c r="G188" t="str">
        <f>_xlfn.XLOOKUP(transakcje[[#This Row],[podkategoria]],parametr[podkategoria],parametr[kategoria])</f>
        <v>życie</v>
      </c>
      <c r="H188" t="str">
        <f>_xlfn.XLOOKUP(transakcje[[#This Row],[kategoria]],parametr[kategoria],parametr[typ])</f>
        <v>wydatki</v>
      </c>
      <c r="I188" s="1">
        <f>ABS(transakcje[[#This Row],[kwota]])</f>
        <v>18.538</v>
      </c>
    </row>
    <row r="189" spans="1:9" x14ac:dyDescent="0.3">
      <c r="A189">
        <v>188</v>
      </c>
      <c r="B189">
        <v>2010</v>
      </c>
      <c r="C189">
        <v>11</v>
      </c>
      <c r="D189">
        <v>9</v>
      </c>
      <c r="E189" s="1">
        <v>102.114</v>
      </c>
      <c r="F189" t="s">
        <v>19</v>
      </c>
      <c r="G189" t="str">
        <f>_xlfn.XLOOKUP(transakcje[[#This Row],[podkategoria]],parametr[podkategoria],parametr[kategoria])</f>
        <v>dochody z pracy</v>
      </c>
      <c r="H189" t="str">
        <f>_xlfn.XLOOKUP(transakcje[[#This Row],[kategoria]],parametr[kategoria],parametr[typ])</f>
        <v>dochody</v>
      </c>
      <c r="I189" s="1">
        <f>ABS(transakcje[[#This Row],[kwota]])</f>
        <v>102.114</v>
      </c>
    </row>
    <row r="190" spans="1:9" x14ac:dyDescent="0.3">
      <c r="A190">
        <v>189</v>
      </c>
      <c r="B190">
        <v>2010</v>
      </c>
      <c r="C190">
        <v>11</v>
      </c>
      <c r="D190">
        <v>9</v>
      </c>
      <c r="E190" s="1">
        <v>-8.3260000000000005</v>
      </c>
      <c r="F190" t="s">
        <v>26</v>
      </c>
      <c r="G190" t="str">
        <f>_xlfn.XLOOKUP(transakcje[[#This Row],[podkategoria]],parametr[podkategoria],parametr[kategoria])</f>
        <v>życie</v>
      </c>
      <c r="H190" t="str">
        <f>_xlfn.XLOOKUP(transakcje[[#This Row],[kategoria]],parametr[kategoria],parametr[typ])</f>
        <v>wydatki</v>
      </c>
      <c r="I190" s="1">
        <f>ABS(transakcje[[#This Row],[kwota]])</f>
        <v>8.3260000000000005</v>
      </c>
    </row>
    <row r="191" spans="1:9" x14ac:dyDescent="0.3">
      <c r="A191">
        <v>190</v>
      </c>
      <c r="B191">
        <v>2010</v>
      </c>
      <c r="C191">
        <v>11</v>
      </c>
      <c r="D191">
        <v>12</v>
      </c>
      <c r="E191" s="1">
        <v>-9.76</v>
      </c>
      <c r="F191" t="s">
        <v>23</v>
      </c>
      <c r="G191" t="str">
        <f>_xlfn.XLOOKUP(transakcje[[#This Row],[podkategoria]],parametr[podkategoria],parametr[kategoria])</f>
        <v>opłaty stałe</v>
      </c>
      <c r="H191" t="str">
        <f>_xlfn.XLOOKUP(transakcje[[#This Row],[kategoria]],parametr[kategoria],parametr[typ])</f>
        <v>wydatki</v>
      </c>
      <c r="I191" s="1">
        <f>ABS(transakcje[[#This Row],[kwota]])</f>
        <v>9.76</v>
      </c>
    </row>
    <row r="192" spans="1:9" x14ac:dyDescent="0.3">
      <c r="A192">
        <v>191</v>
      </c>
      <c r="B192">
        <v>2010</v>
      </c>
      <c r="C192">
        <v>11</v>
      </c>
      <c r="D192">
        <v>15</v>
      </c>
      <c r="E192" s="1">
        <v>-16.2</v>
      </c>
      <c r="F192" t="s">
        <v>32</v>
      </c>
      <c r="G192" t="str">
        <f>_xlfn.XLOOKUP(transakcje[[#This Row],[podkategoria]],parametr[podkategoria],parametr[kategoria])</f>
        <v>opłaty stałe</v>
      </c>
      <c r="H192" t="str">
        <f>_xlfn.XLOOKUP(transakcje[[#This Row],[kategoria]],parametr[kategoria],parametr[typ])</f>
        <v>wydatki</v>
      </c>
      <c r="I192" s="1">
        <f>ABS(transakcje[[#This Row],[kwota]])</f>
        <v>16.2</v>
      </c>
    </row>
    <row r="193" spans="1:9" x14ac:dyDescent="0.3">
      <c r="A193">
        <v>192</v>
      </c>
      <c r="B193">
        <v>2010</v>
      </c>
      <c r="C193">
        <v>11</v>
      </c>
      <c r="D193">
        <v>15</v>
      </c>
      <c r="E193" s="1">
        <v>2E-3</v>
      </c>
      <c r="F193" t="s">
        <v>17</v>
      </c>
      <c r="G193" t="str">
        <f>_xlfn.XLOOKUP(transakcje[[#This Row],[podkategoria]],parametr[podkategoria],parametr[kategoria])</f>
        <v>dochody pozostałe</v>
      </c>
      <c r="H193" t="str">
        <f>_xlfn.XLOOKUP(transakcje[[#This Row],[kategoria]],parametr[kategoria],parametr[typ])</f>
        <v>dochody</v>
      </c>
      <c r="I193" s="1">
        <f>ABS(transakcje[[#This Row],[kwota]])</f>
        <v>2E-3</v>
      </c>
    </row>
    <row r="194" spans="1:9" x14ac:dyDescent="0.3">
      <c r="A194">
        <v>193</v>
      </c>
      <c r="B194">
        <v>2010</v>
      </c>
      <c r="C194">
        <v>11</v>
      </c>
      <c r="D194">
        <v>15</v>
      </c>
      <c r="E194" s="1">
        <v>-1.1960000000000002</v>
      </c>
      <c r="F194" t="s">
        <v>14</v>
      </c>
      <c r="G194" t="str">
        <f>_xlfn.XLOOKUP(transakcje[[#This Row],[podkategoria]],parametr[podkategoria],parametr[kategoria])</f>
        <v>opłaty stałe</v>
      </c>
      <c r="H194" t="str">
        <f>_xlfn.XLOOKUP(transakcje[[#This Row],[kategoria]],parametr[kategoria],parametr[typ])</f>
        <v>wydatki</v>
      </c>
      <c r="I194" s="1">
        <f>ABS(transakcje[[#This Row],[kwota]])</f>
        <v>1.1960000000000002</v>
      </c>
    </row>
    <row r="195" spans="1:9" x14ac:dyDescent="0.3">
      <c r="A195">
        <v>194</v>
      </c>
      <c r="B195">
        <v>2010</v>
      </c>
      <c r="C195">
        <v>11</v>
      </c>
      <c r="D195">
        <v>18</v>
      </c>
      <c r="E195" s="1">
        <v>-0.39800000000000002</v>
      </c>
      <c r="F195" t="s">
        <v>14</v>
      </c>
      <c r="G195" t="str">
        <f>_xlfn.XLOOKUP(transakcje[[#This Row],[podkategoria]],parametr[podkategoria],parametr[kategoria])</f>
        <v>opłaty stałe</v>
      </c>
      <c r="H195" t="str">
        <f>_xlfn.XLOOKUP(transakcje[[#This Row],[kategoria]],parametr[kategoria],parametr[typ])</f>
        <v>wydatki</v>
      </c>
      <c r="I195" s="1">
        <f>ABS(transakcje[[#This Row],[kwota]])</f>
        <v>0.39800000000000002</v>
      </c>
    </row>
    <row r="196" spans="1:9" x14ac:dyDescent="0.3">
      <c r="A196">
        <v>195</v>
      </c>
      <c r="B196">
        <v>2010</v>
      </c>
      <c r="C196">
        <v>11</v>
      </c>
      <c r="D196">
        <v>19</v>
      </c>
      <c r="E196" s="1">
        <v>-7.6239999999999997</v>
      </c>
      <c r="F196" t="s">
        <v>26</v>
      </c>
      <c r="G196" t="str">
        <f>_xlfn.XLOOKUP(transakcje[[#This Row],[podkategoria]],parametr[podkategoria],parametr[kategoria])</f>
        <v>życie</v>
      </c>
      <c r="H196" t="str">
        <f>_xlfn.XLOOKUP(transakcje[[#This Row],[kategoria]],parametr[kategoria],parametr[typ])</f>
        <v>wydatki</v>
      </c>
      <c r="I196" s="1">
        <f>ABS(transakcje[[#This Row],[kwota]])</f>
        <v>7.6239999999999997</v>
      </c>
    </row>
    <row r="197" spans="1:9" x14ac:dyDescent="0.3">
      <c r="A197">
        <v>196</v>
      </c>
      <c r="B197">
        <v>2010</v>
      </c>
      <c r="C197">
        <v>11</v>
      </c>
      <c r="D197">
        <v>21</v>
      </c>
      <c r="E197" s="1">
        <v>-1.86</v>
      </c>
      <c r="F197" t="s">
        <v>11</v>
      </c>
      <c r="G197" t="str">
        <f>_xlfn.XLOOKUP(transakcje[[#This Row],[podkategoria]],parametr[podkategoria],parametr[kategoria])</f>
        <v>wydatki inne</v>
      </c>
      <c r="H197" t="str">
        <f>_xlfn.XLOOKUP(transakcje[[#This Row],[kategoria]],parametr[kategoria],parametr[typ])</f>
        <v>wydatki</v>
      </c>
      <c r="I197" s="1">
        <f>ABS(transakcje[[#This Row],[kwota]])</f>
        <v>1.86</v>
      </c>
    </row>
    <row r="198" spans="1:9" x14ac:dyDescent="0.3">
      <c r="A198">
        <v>197</v>
      </c>
      <c r="B198">
        <v>2010</v>
      </c>
      <c r="C198">
        <v>11</v>
      </c>
      <c r="D198">
        <v>25</v>
      </c>
      <c r="E198" s="1">
        <v>-24.4</v>
      </c>
      <c r="F198" t="s">
        <v>11</v>
      </c>
      <c r="G198" t="str">
        <f>_xlfn.XLOOKUP(transakcje[[#This Row],[podkategoria]],parametr[podkategoria],parametr[kategoria])</f>
        <v>wydatki inne</v>
      </c>
      <c r="H198" t="str">
        <f>_xlfn.XLOOKUP(transakcje[[#This Row],[kategoria]],parametr[kategoria],parametr[typ])</f>
        <v>wydatki</v>
      </c>
      <c r="I198" s="1">
        <f>ABS(transakcje[[#This Row],[kwota]])</f>
        <v>24.4</v>
      </c>
    </row>
    <row r="199" spans="1:9" x14ac:dyDescent="0.3">
      <c r="A199">
        <v>198</v>
      </c>
      <c r="B199">
        <v>2010</v>
      </c>
      <c r="C199">
        <v>11</v>
      </c>
      <c r="D199">
        <v>26</v>
      </c>
      <c r="E199" s="1">
        <v>414.03399999999999</v>
      </c>
      <c r="F199" t="s">
        <v>8</v>
      </c>
      <c r="G199" t="str">
        <f>_xlfn.XLOOKUP(transakcje[[#This Row],[podkategoria]],parametr[podkategoria],parametr[kategoria])</f>
        <v>dochody z pracy</v>
      </c>
      <c r="H199" t="str">
        <f>_xlfn.XLOOKUP(transakcje[[#This Row],[kategoria]],parametr[kategoria],parametr[typ])</f>
        <v>dochody</v>
      </c>
      <c r="I199" s="1">
        <f>ABS(transakcje[[#This Row],[kwota]])</f>
        <v>414.03399999999999</v>
      </c>
    </row>
    <row r="200" spans="1:9" x14ac:dyDescent="0.3">
      <c r="A200">
        <v>199</v>
      </c>
      <c r="B200">
        <v>2010</v>
      </c>
      <c r="C200">
        <v>11</v>
      </c>
      <c r="D200">
        <v>26</v>
      </c>
      <c r="E200" s="1">
        <v>-16.137999999999998</v>
      </c>
      <c r="F200" t="s">
        <v>26</v>
      </c>
      <c r="G200" t="str">
        <f>_xlfn.XLOOKUP(transakcje[[#This Row],[podkategoria]],parametr[podkategoria],parametr[kategoria])</f>
        <v>życie</v>
      </c>
      <c r="H200" t="str">
        <f>_xlfn.XLOOKUP(transakcje[[#This Row],[kategoria]],parametr[kategoria],parametr[typ])</f>
        <v>wydatki</v>
      </c>
      <c r="I200" s="1">
        <f>ABS(transakcje[[#This Row],[kwota]])</f>
        <v>16.137999999999998</v>
      </c>
    </row>
    <row r="201" spans="1:9" x14ac:dyDescent="0.3">
      <c r="A201">
        <v>200</v>
      </c>
      <c r="B201">
        <v>2010</v>
      </c>
      <c r="C201">
        <v>11</v>
      </c>
      <c r="D201">
        <v>30</v>
      </c>
      <c r="E201" s="1">
        <v>1.6E-2</v>
      </c>
      <c r="F201" t="s">
        <v>17</v>
      </c>
      <c r="G201" t="str">
        <f>_xlfn.XLOOKUP(transakcje[[#This Row],[podkategoria]],parametr[podkategoria],parametr[kategoria])</f>
        <v>dochody pozostałe</v>
      </c>
      <c r="H201" t="str">
        <f>_xlfn.XLOOKUP(transakcje[[#This Row],[kategoria]],parametr[kategoria],parametr[typ])</f>
        <v>dochody</v>
      </c>
      <c r="I201" s="1">
        <f>ABS(transakcje[[#This Row],[kwota]])</f>
        <v>1.6E-2</v>
      </c>
    </row>
    <row r="202" spans="1:9" x14ac:dyDescent="0.3">
      <c r="A202">
        <v>201</v>
      </c>
      <c r="B202">
        <v>2010</v>
      </c>
      <c r="C202">
        <v>11</v>
      </c>
      <c r="D202">
        <v>30</v>
      </c>
      <c r="E202" s="1">
        <v>-1.198</v>
      </c>
      <c r="F202" t="s">
        <v>14</v>
      </c>
      <c r="G202" t="str">
        <f>_xlfn.XLOOKUP(transakcje[[#This Row],[podkategoria]],parametr[podkategoria],parametr[kategoria])</f>
        <v>opłaty stałe</v>
      </c>
      <c r="H202" t="str">
        <f>_xlfn.XLOOKUP(transakcje[[#This Row],[kategoria]],parametr[kategoria],parametr[typ])</f>
        <v>wydatki</v>
      </c>
      <c r="I202" s="1">
        <f>ABS(transakcje[[#This Row],[kwota]])</f>
        <v>1.198</v>
      </c>
    </row>
    <row r="203" spans="1:9" x14ac:dyDescent="0.3">
      <c r="A203">
        <v>202</v>
      </c>
      <c r="B203">
        <v>2010</v>
      </c>
      <c r="C203">
        <v>11</v>
      </c>
      <c r="D203">
        <v>30</v>
      </c>
      <c r="E203" s="1">
        <v>-0.3</v>
      </c>
      <c r="F203" t="s">
        <v>14</v>
      </c>
      <c r="G203" t="str">
        <f>_xlfn.XLOOKUP(transakcje[[#This Row],[podkategoria]],parametr[podkategoria],parametr[kategoria])</f>
        <v>opłaty stałe</v>
      </c>
      <c r="H203" t="str">
        <f>_xlfn.XLOOKUP(transakcje[[#This Row],[kategoria]],parametr[kategoria],parametr[typ])</f>
        <v>wydatki</v>
      </c>
      <c r="I203" s="1">
        <f>ABS(transakcje[[#This Row],[kwota]])</f>
        <v>0.3</v>
      </c>
    </row>
    <row r="204" spans="1:9" x14ac:dyDescent="0.3">
      <c r="A204">
        <v>203</v>
      </c>
      <c r="B204">
        <v>2010</v>
      </c>
      <c r="C204">
        <v>12</v>
      </c>
      <c r="D204">
        <v>1</v>
      </c>
      <c r="E204" s="1">
        <v>-9.76</v>
      </c>
      <c r="F204" t="s">
        <v>23</v>
      </c>
      <c r="G204" t="str">
        <f>_xlfn.XLOOKUP(transakcje[[#This Row],[podkategoria]],parametr[podkategoria],parametr[kategoria])</f>
        <v>opłaty stałe</v>
      </c>
      <c r="H204" t="str">
        <f>_xlfn.XLOOKUP(transakcje[[#This Row],[kategoria]],parametr[kategoria],parametr[typ])</f>
        <v>wydatki</v>
      </c>
      <c r="I204" s="1">
        <f>ABS(transakcje[[#This Row],[kwota]])</f>
        <v>9.76</v>
      </c>
    </row>
    <row r="205" spans="1:9" x14ac:dyDescent="0.3">
      <c r="A205">
        <v>204</v>
      </c>
      <c r="B205">
        <v>2010</v>
      </c>
      <c r="C205">
        <v>12</v>
      </c>
      <c r="D205">
        <v>2</v>
      </c>
      <c r="E205" s="1">
        <v>-5.89</v>
      </c>
      <c r="F205" t="s">
        <v>26</v>
      </c>
      <c r="G205" t="str">
        <f>_xlfn.XLOOKUP(transakcje[[#This Row],[podkategoria]],parametr[podkategoria],parametr[kategoria])</f>
        <v>życie</v>
      </c>
      <c r="H205" t="str">
        <f>_xlfn.XLOOKUP(transakcje[[#This Row],[kategoria]],parametr[kategoria],parametr[typ])</f>
        <v>wydatki</v>
      </c>
      <c r="I205" s="1">
        <f>ABS(transakcje[[#This Row],[kwota]])</f>
        <v>5.89</v>
      </c>
    </row>
    <row r="206" spans="1:9" x14ac:dyDescent="0.3">
      <c r="A206">
        <v>205</v>
      </c>
      <c r="B206">
        <v>2010</v>
      </c>
      <c r="C206">
        <v>12</v>
      </c>
      <c r="D206">
        <v>2</v>
      </c>
      <c r="E206" s="1">
        <v>-2.4940000000000002</v>
      </c>
      <c r="F206" t="s">
        <v>26</v>
      </c>
      <c r="G206" t="str">
        <f>_xlfn.XLOOKUP(transakcje[[#This Row],[podkategoria]],parametr[podkategoria],parametr[kategoria])</f>
        <v>życie</v>
      </c>
      <c r="H206" t="str">
        <f>_xlfn.XLOOKUP(transakcje[[#This Row],[kategoria]],parametr[kategoria],parametr[typ])</f>
        <v>wydatki</v>
      </c>
      <c r="I206" s="1">
        <f>ABS(transakcje[[#This Row],[kwota]])</f>
        <v>2.4940000000000002</v>
      </c>
    </row>
    <row r="207" spans="1:9" x14ac:dyDescent="0.3">
      <c r="A207">
        <v>206</v>
      </c>
      <c r="B207">
        <v>2010</v>
      </c>
      <c r="C207">
        <v>12</v>
      </c>
      <c r="D207">
        <v>4</v>
      </c>
      <c r="E207" s="1">
        <v>-33.660000000000004</v>
      </c>
      <c r="F207" t="s">
        <v>33</v>
      </c>
      <c r="G207" t="str">
        <f>_xlfn.XLOOKUP(transakcje[[#This Row],[podkategoria]],parametr[podkategoria],parametr[kategoria])</f>
        <v>trwałe</v>
      </c>
      <c r="H207" t="str">
        <f>_xlfn.XLOOKUP(transakcje[[#This Row],[kategoria]],parametr[kategoria],parametr[typ])</f>
        <v>wydatki</v>
      </c>
      <c r="I207" s="1">
        <f>ABS(transakcje[[#This Row],[kwota]])</f>
        <v>33.660000000000004</v>
      </c>
    </row>
    <row r="208" spans="1:9" x14ac:dyDescent="0.3">
      <c r="A208">
        <v>207</v>
      </c>
      <c r="B208">
        <v>2010</v>
      </c>
      <c r="C208">
        <v>12</v>
      </c>
      <c r="D208">
        <v>4</v>
      </c>
      <c r="E208" s="1">
        <v>-57.570000000000007</v>
      </c>
      <c r="F208" t="s">
        <v>31</v>
      </c>
      <c r="G208" t="str">
        <f>_xlfn.XLOOKUP(transakcje[[#This Row],[podkategoria]],parametr[podkategoria],parametr[kategoria])</f>
        <v>opłaty stałe</v>
      </c>
      <c r="H208" t="str">
        <f>_xlfn.XLOOKUP(transakcje[[#This Row],[kategoria]],parametr[kategoria],parametr[typ])</f>
        <v>wydatki</v>
      </c>
      <c r="I208" s="1">
        <f>ABS(transakcje[[#This Row],[kwota]])</f>
        <v>57.570000000000007</v>
      </c>
    </row>
    <row r="209" spans="1:9" x14ac:dyDescent="0.3">
      <c r="A209">
        <v>208</v>
      </c>
      <c r="B209">
        <v>2010</v>
      </c>
      <c r="C209">
        <v>12</v>
      </c>
      <c r="D209">
        <v>4</v>
      </c>
      <c r="E209" s="1">
        <v>-4</v>
      </c>
      <c r="F209" t="s">
        <v>36</v>
      </c>
      <c r="G209" t="str">
        <f>_xlfn.XLOOKUP(transakcje[[#This Row],[podkategoria]],parametr[podkategoria],parametr[kategoria])</f>
        <v>opłaty stałe</v>
      </c>
      <c r="H209" t="str">
        <f>_xlfn.XLOOKUP(transakcje[[#This Row],[kategoria]],parametr[kategoria],parametr[typ])</f>
        <v>wydatki</v>
      </c>
      <c r="I209" s="1">
        <f>ABS(transakcje[[#This Row],[kwota]])</f>
        <v>4</v>
      </c>
    </row>
    <row r="210" spans="1:9" x14ac:dyDescent="0.3">
      <c r="A210">
        <v>209</v>
      </c>
      <c r="B210">
        <v>2010</v>
      </c>
      <c r="C210">
        <v>12</v>
      </c>
      <c r="D210">
        <v>4</v>
      </c>
      <c r="E210" s="1">
        <v>-8</v>
      </c>
      <c r="F210" t="s">
        <v>25</v>
      </c>
      <c r="G210" t="str">
        <f>_xlfn.XLOOKUP(transakcje[[#This Row],[podkategoria]],parametr[podkategoria],parametr[kategoria])</f>
        <v>opłaty stałe</v>
      </c>
      <c r="H210" t="str">
        <f>_xlfn.XLOOKUP(transakcje[[#This Row],[kategoria]],parametr[kategoria],parametr[typ])</f>
        <v>wydatki</v>
      </c>
      <c r="I210" s="1">
        <f>ABS(transakcje[[#This Row],[kwota]])</f>
        <v>8</v>
      </c>
    </row>
    <row r="211" spans="1:9" x14ac:dyDescent="0.3">
      <c r="A211">
        <v>210</v>
      </c>
      <c r="B211">
        <v>2010</v>
      </c>
      <c r="C211">
        <v>12</v>
      </c>
      <c r="D211">
        <v>6</v>
      </c>
      <c r="E211" s="1">
        <v>-4.9640000000000004</v>
      </c>
      <c r="F211" t="s">
        <v>26</v>
      </c>
      <c r="G211" t="str">
        <f>_xlfn.XLOOKUP(transakcje[[#This Row],[podkategoria]],parametr[podkategoria],parametr[kategoria])</f>
        <v>życie</v>
      </c>
      <c r="H211" t="str">
        <f>_xlfn.XLOOKUP(transakcje[[#This Row],[kategoria]],parametr[kategoria],parametr[typ])</f>
        <v>wydatki</v>
      </c>
      <c r="I211" s="1">
        <f>ABS(transakcje[[#This Row],[kwota]])</f>
        <v>4.9640000000000004</v>
      </c>
    </row>
    <row r="212" spans="1:9" x14ac:dyDescent="0.3">
      <c r="A212">
        <v>211</v>
      </c>
      <c r="B212">
        <v>2010</v>
      </c>
      <c r="C212">
        <v>12</v>
      </c>
      <c r="D212">
        <v>9</v>
      </c>
      <c r="E212" s="1">
        <v>-10</v>
      </c>
      <c r="F212" t="s">
        <v>11</v>
      </c>
      <c r="G212" t="str">
        <f>_xlfn.XLOOKUP(transakcje[[#This Row],[podkategoria]],parametr[podkategoria],parametr[kategoria])</f>
        <v>wydatki inne</v>
      </c>
      <c r="H212" t="str">
        <f>_xlfn.XLOOKUP(transakcje[[#This Row],[kategoria]],parametr[kategoria],parametr[typ])</f>
        <v>wydatki</v>
      </c>
      <c r="I212" s="1">
        <f>ABS(transakcje[[#This Row],[kwota]])</f>
        <v>10</v>
      </c>
    </row>
    <row r="213" spans="1:9" x14ac:dyDescent="0.3">
      <c r="A213">
        <v>212</v>
      </c>
      <c r="B213">
        <v>2010</v>
      </c>
      <c r="C213">
        <v>12</v>
      </c>
      <c r="D213">
        <v>9</v>
      </c>
      <c r="E213" s="1">
        <v>-1.6600000000000001</v>
      </c>
      <c r="F213" t="s">
        <v>11</v>
      </c>
      <c r="G213" t="str">
        <f>_xlfn.XLOOKUP(transakcje[[#This Row],[podkategoria]],parametr[podkategoria],parametr[kategoria])</f>
        <v>wydatki inne</v>
      </c>
      <c r="H213" t="str">
        <f>_xlfn.XLOOKUP(transakcje[[#This Row],[kategoria]],parametr[kategoria],parametr[typ])</f>
        <v>wydatki</v>
      </c>
      <c r="I213" s="1">
        <f>ABS(transakcje[[#This Row],[kwota]])</f>
        <v>1.6600000000000001</v>
      </c>
    </row>
    <row r="214" spans="1:9" x14ac:dyDescent="0.3">
      <c r="A214">
        <v>213</v>
      </c>
      <c r="B214">
        <v>2010</v>
      </c>
      <c r="C214">
        <v>12</v>
      </c>
      <c r="D214">
        <v>9</v>
      </c>
      <c r="E214" s="1">
        <v>-22.15</v>
      </c>
      <c r="F214" t="s">
        <v>26</v>
      </c>
      <c r="G214" t="str">
        <f>_xlfn.XLOOKUP(transakcje[[#This Row],[podkategoria]],parametr[podkategoria],parametr[kategoria])</f>
        <v>życie</v>
      </c>
      <c r="H214" t="str">
        <f>_xlfn.XLOOKUP(transakcje[[#This Row],[kategoria]],parametr[kategoria],parametr[typ])</f>
        <v>wydatki</v>
      </c>
      <c r="I214" s="1">
        <f>ABS(transakcje[[#This Row],[kwota]])</f>
        <v>22.15</v>
      </c>
    </row>
    <row r="215" spans="1:9" x14ac:dyDescent="0.3">
      <c r="A215">
        <v>214</v>
      </c>
      <c r="B215">
        <v>2010</v>
      </c>
      <c r="C215">
        <v>12</v>
      </c>
      <c r="D215">
        <v>10</v>
      </c>
      <c r="E215" s="1">
        <v>-8.234</v>
      </c>
      <c r="F215" t="s">
        <v>26</v>
      </c>
      <c r="G215" t="str">
        <f>_xlfn.XLOOKUP(transakcje[[#This Row],[podkategoria]],parametr[podkategoria],parametr[kategoria])</f>
        <v>życie</v>
      </c>
      <c r="H215" t="str">
        <f>_xlfn.XLOOKUP(transakcje[[#This Row],[kategoria]],parametr[kategoria],parametr[typ])</f>
        <v>wydatki</v>
      </c>
      <c r="I215" s="1">
        <f>ABS(transakcje[[#This Row],[kwota]])</f>
        <v>8.234</v>
      </c>
    </row>
    <row r="216" spans="1:9" x14ac:dyDescent="0.3">
      <c r="A216">
        <v>215</v>
      </c>
      <c r="B216">
        <v>2010</v>
      </c>
      <c r="C216">
        <v>12</v>
      </c>
      <c r="D216">
        <v>11</v>
      </c>
      <c r="E216" s="1">
        <v>-0.39800000000000002</v>
      </c>
      <c r="F216" t="s">
        <v>14</v>
      </c>
      <c r="G216" t="str">
        <f>_xlfn.XLOOKUP(transakcje[[#This Row],[podkategoria]],parametr[podkategoria],parametr[kategoria])</f>
        <v>opłaty stałe</v>
      </c>
      <c r="H216" t="str">
        <f>_xlfn.XLOOKUP(transakcje[[#This Row],[kategoria]],parametr[kategoria],parametr[typ])</f>
        <v>wydatki</v>
      </c>
      <c r="I216" s="1">
        <f>ABS(transakcje[[#This Row],[kwota]])</f>
        <v>0.39800000000000002</v>
      </c>
    </row>
    <row r="217" spans="1:9" x14ac:dyDescent="0.3">
      <c r="A217">
        <v>216</v>
      </c>
      <c r="B217">
        <v>2010</v>
      </c>
      <c r="C217">
        <v>12</v>
      </c>
      <c r="D217">
        <v>13</v>
      </c>
      <c r="E217" s="1">
        <v>-15</v>
      </c>
      <c r="F217" t="s">
        <v>11</v>
      </c>
      <c r="G217" t="str">
        <f>_xlfn.XLOOKUP(transakcje[[#This Row],[podkategoria]],parametr[podkategoria],parametr[kategoria])</f>
        <v>wydatki inne</v>
      </c>
      <c r="H217" t="str">
        <f>_xlfn.XLOOKUP(transakcje[[#This Row],[kategoria]],parametr[kategoria],parametr[typ])</f>
        <v>wydatki</v>
      </c>
      <c r="I217" s="1">
        <f>ABS(transakcje[[#This Row],[kwota]])</f>
        <v>15</v>
      </c>
    </row>
    <row r="218" spans="1:9" x14ac:dyDescent="0.3">
      <c r="A218">
        <v>217</v>
      </c>
      <c r="B218">
        <v>2010</v>
      </c>
      <c r="C218">
        <v>12</v>
      </c>
      <c r="D218">
        <v>14</v>
      </c>
      <c r="E218" s="1">
        <v>61.302</v>
      </c>
      <c r="F218" t="s">
        <v>19</v>
      </c>
      <c r="G218" t="str">
        <f>_xlfn.XLOOKUP(transakcje[[#This Row],[podkategoria]],parametr[podkategoria],parametr[kategoria])</f>
        <v>dochody z pracy</v>
      </c>
      <c r="H218" t="str">
        <f>_xlfn.XLOOKUP(transakcje[[#This Row],[kategoria]],parametr[kategoria],parametr[typ])</f>
        <v>dochody</v>
      </c>
      <c r="I218" s="1">
        <f>ABS(transakcje[[#This Row],[kwota]])</f>
        <v>61.302</v>
      </c>
    </row>
    <row r="219" spans="1:9" x14ac:dyDescent="0.3">
      <c r="A219">
        <v>218</v>
      </c>
      <c r="B219">
        <v>2010</v>
      </c>
      <c r="C219">
        <v>12</v>
      </c>
      <c r="D219">
        <v>15</v>
      </c>
      <c r="E219" s="1">
        <v>-1.1960000000000002</v>
      </c>
      <c r="F219" t="s">
        <v>14</v>
      </c>
      <c r="G219" t="str">
        <f>_xlfn.XLOOKUP(transakcje[[#This Row],[podkategoria]],parametr[podkategoria],parametr[kategoria])</f>
        <v>opłaty stałe</v>
      </c>
      <c r="H219" t="str">
        <f>_xlfn.XLOOKUP(transakcje[[#This Row],[kategoria]],parametr[kategoria],parametr[typ])</f>
        <v>wydatki</v>
      </c>
      <c r="I219" s="1">
        <f>ABS(transakcje[[#This Row],[kwota]])</f>
        <v>1.1960000000000002</v>
      </c>
    </row>
    <row r="220" spans="1:9" x14ac:dyDescent="0.3">
      <c r="A220">
        <v>219</v>
      </c>
      <c r="B220">
        <v>2010</v>
      </c>
      <c r="C220">
        <v>12</v>
      </c>
      <c r="D220">
        <v>16</v>
      </c>
      <c r="E220" s="1">
        <v>-24.684000000000001</v>
      </c>
      <c r="F220" t="s">
        <v>26</v>
      </c>
      <c r="G220" t="str">
        <f>_xlfn.XLOOKUP(transakcje[[#This Row],[podkategoria]],parametr[podkategoria],parametr[kategoria])</f>
        <v>życie</v>
      </c>
      <c r="H220" t="str">
        <f>_xlfn.XLOOKUP(transakcje[[#This Row],[kategoria]],parametr[kategoria],parametr[typ])</f>
        <v>wydatki</v>
      </c>
      <c r="I220" s="1">
        <f>ABS(transakcje[[#This Row],[kwota]])</f>
        <v>24.684000000000001</v>
      </c>
    </row>
    <row r="221" spans="1:9" x14ac:dyDescent="0.3">
      <c r="A221">
        <v>220</v>
      </c>
      <c r="B221">
        <v>2010</v>
      </c>
      <c r="C221">
        <v>12</v>
      </c>
      <c r="D221">
        <v>17</v>
      </c>
      <c r="E221" s="1">
        <v>414.03399999999999</v>
      </c>
      <c r="F221" t="s">
        <v>8</v>
      </c>
      <c r="G221" t="str">
        <f>_xlfn.XLOOKUP(transakcje[[#This Row],[podkategoria]],parametr[podkategoria],parametr[kategoria])</f>
        <v>dochody z pracy</v>
      </c>
      <c r="H221" t="str">
        <f>_xlfn.XLOOKUP(transakcje[[#This Row],[kategoria]],parametr[kategoria],parametr[typ])</f>
        <v>dochody</v>
      </c>
      <c r="I221" s="1">
        <f>ABS(transakcje[[#This Row],[kwota]])</f>
        <v>414.03399999999999</v>
      </c>
    </row>
    <row r="222" spans="1:9" x14ac:dyDescent="0.3">
      <c r="A222">
        <v>221</v>
      </c>
      <c r="B222">
        <v>2010</v>
      </c>
      <c r="C222">
        <v>12</v>
      </c>
      <c r="D222">
        <v>18</v>
      </c>
      <c r="E222" s="1">
        <v>-3.996</v>
      </c>
      <c r="F222" t="s">
        <v>11</v>
      </c>
      <c r="G222" t="str">
        <f>_xlfn.XLOOKUP(transakcje[[#This Row],[podkategoria]],parametr[podkategoria],parametr[kategoria])</f>
        <v>wydatki inne</v>
      </c>
      <c r="H222" t="str">
        <f>_xlfn.XLOOKUP(transakcje[[#This Row],[kategoria]],parametr[kategoria],parametr[typ])</f>
        <v>wydatki</v>
      </c>
      <c r="I222" s="1">
        <f>ABS(transakcje[[#This Row],[kwota]])</f>
        <v>3.996</v>
      </c>
    </row>
    <row r="223" spans="1:9" x14ac:dyDescent="0.3">
      <c r="A223">
        <v>222</v>
      </c>
      <c r="B223">
        <v>2010</v>
      </c>
      <c r="C223">
        <v>12</v>
      </c>
      <c r="D223">
        <v>18</v>
      </c>
      <c r="E223" s="1">
        <v>-17.084</v>
      </c>
      <c r="F223" t="s">
        <v>26</v>
      </c>
      <c r="G223" t="str">
        <f>_xlfn.XLOOKUP(transakcje[[#This Row],[podkategoria]],parametr[podkategoria],parametr[kategoria])</f>
        <v>życie</v>
      </c>
      <c r="H223" t="str">
        <f>_xlfn.XLOOKUP(transakcje[[#This Row],[kategoria]],parametr[kategoria],parametr[typ])</f>
        <v>wydatki</v>
      </c>
      <c r="I223" s="1">
        <f>ABS(transakcje[[#This Row],[kwota]])</f>
        <v>17.084</v>
      </c>
    </row>
    <row r="224" spans="1:9" x14ac:dyDescent="0.3">
      <c r="A224">
        <v>223</v>
      </c>
      <c r="B224">
        <v>2010</v>
      </c>
      <c r="C224">
        <v>12</v>
      </c>
      <c r="D224">
        <v>21</v>
      </c>
      <c r="E224" s="1">
        <v>-24.231999999999999</v>
      </c>
      <c r="F224" t="s">
        <v>20</v>
      </c>
      <c r="G224" t="str">
        <f>_xlfn.XLOOKUP(transakcje[[#This Row],[podkategoria]],parametr[podkategoria],parametr[kategoria])</f>
        <v>trwałe</v>
      </c>
      <c r="H224" t="str">
        <f>_xlfn.XLOOKUP(transakcje[[#This Row],[kategoria]],parametr[kategoria],parametr[typ])</f>
        <v>wydatki</v>
      </c>
      <c r="I224" s="1">
        <f>ABS(transakcje[[#This Row],[kwota]])</f>
        <v>24.231999999999999</v>
      </c>
    </row>
    <row r="225" spans="1:9" x14ac:dyDescent="0.3">
      <c r="A225">
        <v>224</v>
      </c>
      <c r="B225">
        <v>2010</v>
      </c>
      <c r="C225">
        <v>12</v>
      </c>
      <c r="D225">
        <v>21</v>
      </c>
      <c r="E225" s="1">
        <v>26.439999999999998</v>
      </c>
      <c r="F225" t="s">
        <v>19</v>
      </c>
      <c r="G225" t="str">
        <f>_xlfn.XLOOKUP(transakcje[[#This Row],[podkategoria]],parametr[podkategoria],parametr[kategoria])</f>
        <v>dochody z pracy</v>
      </c>
      <c r="H225" t="str">
        <f>_xlfn.XLOOKUP(transakcje[[#This Row],[kategoria]],parametr[kategoria],parametr[typ])</f>
        <v>dochody</v>
      </c>
      <c r="I225" s="1">
        <f>ABS(transakcje[[#This Row],[kwota]])</f>
        <v>26.439999999999998</v>
      </c>
    </row>
    <row r="226" spans="1:9" x14ac:dyDescent="0.3">
      <c r="A226">
        <v>225</v>
      </c>
      <c r="B226">
        <v>2010</v>
      </c>
      <c r="C226">
        <v>12</v>
      </c>
      <c r="D226">
        <v>21</v>
      </c>
      <c r="E226" s="1">
        <v>-44.989999999999995</v>
      </c>
      <c r="F226" t="s">
        <v>26</v>
      </c>
      <c r="G226" t="str">
        <f>_xlfn.XLOOKUP(transakcje[[#This Row],[podkategoria]],parametr[podkategoria],parametr[kategoria])</f>
        <v>życie</v>
      </c>
      <c r="H226" t="str">
        <f>_xlfn.XLOOKUP(transakcje[[#This Row],[kategoria]],parametr[kategoria],parametr[typ])</f>
        <v>wydatki</v>
      </c>
      <c r="I226" s="1">
        <f>ABS(transakcje[[#This Row],[kwota]])</f>
        <v>44.989999999999995</v>
      </c>
    </row>
    <row r="227" spans="1:9" x14ac:dyDescent="0.3">
      <c r="A227">
        <v>226</v>
      </c>
      <c r="B227">
        <v>2010</v>
      </c>
      <c r="C227">
        <v>12</v>
      </c>
      <c r="D227">
        <v>22</v>
      </c>
      <c r="E227" s="1">
        <v>-4.5920000000000005</v>
      </c>
      <c r="F227" t="s">
        <v>26</v>
      </c>
      <c r="G227" t="str">
        <f>_xlfn.XLOOKUP(transakcje[[#This Row],[podkategoria]],parametr[podkategoria],parametr[kategoria])</f>
        <v>życie</v>
      </c>
      <c r="H227" t="str">
        <f>_xlfn.XLOOKUP(transakcje[[#This Row],[kategoria]],parametr[kategoria],parametr[typ])</f>
        <v>wydatki</v>
      </c>
      <c r="I227" s="1">
        <f>ABS(transakcje[[#This Row],[kwota]])</f>
        <v>4.5920000000000005</v>
      </c>
    </row>
    <row r="228" spans="1:9" x14ac:dyDescent="0.3">
      <c r="A228">
        <v>227</v>
      </c>
      <c r="B228">
        <v>2010</v>
      </c>
      <c r="C228">
        <v>12</v>
      </c>
      <c r="D228">
        <v>22</v>
      </c>
      <c r="E228" s="1">
        <v>-13.791999999999998</v>
      </c>
      <c r="F228" t="s">
        <v>26</v>
      </c>
      <c r="G228" t="str">
        <f>_xlfn.XLOOKUP(transakcje[[#This Row],[podkategoria]],parametr[podkategoria],parametr[kategoria])</f>
        <v>życie</v>
      </c>
      <c r="H228" t="str">
        <f>_xlfn.XLOOKUP(transakcje[[#This Row],[kategoria]],parametr[kategoria],parametr[typ])</f>
        <v>wydatki</v>
      </c>
      <c r="I228" s="1">
        <f>ABS(transakcje[[#This Row],[kwota]])</f>
        <v>13.791999999999998</v>
      </c>
    </row>
    <row r="229" spans="1:9" x14ac:dyDescent="0.3">
      <c r="A229">
        <v>228</v>
      </c>
      <c r="B229">
        <v>2010</v>
      </c>
      <c r="C229">
        <v>12</v>
      </c>
      <c r="D229">
        <v>23</v>
      </c>
      <c r="E229" s="1">
        <v>-5.46</v>
      </c>
      <c r="F229" t="s">
        <v>11</v>
      </c>
      <c r="G229" t="str">
        <f>_xlfn.XLOOKUP(transakcje[[#This Row],[podkategoria]],parametr[podkategoria],parametr[kategoria])</f>
        <v>wydatki inne</v>
      </c>
      <c r="H229" t="str">
        <f>_xlfn.XLOOKUP(transakcje[[#This Row],[kategoria]],parametr[kategoria],parametr[typ])</f>
        <v>wydatki</v>
      </c>
      <c r="I229" s="1">
        <f>ABS(transakcje[[#This Row],[kwota]])</f>
        <v>5.46</v>
      </c>
    </row>
    <row r="230" spans="1:9" x14ac:dyDescent="0.3">
      <c r="A230">
        <v>229</v>
      </c>
      <c r="B230">
        <v>2010</v>
      </c>
      <c r="C230">
        <v>12</v>
      </c>
      <c r="D230">
        <v>28</v>
      </c>
      <c r="E230" s="1">
        <v>-16.2</v>
      </c>
      <c r="F230" t="s">
        <v>32</v>
      </c>
      <c r="G230" t="str">
        <f>_xlfn.XLOOKUP(transakcje[[#This Row],[podkategoria]],parametr[podkategoria],parametr[kategoria])</f>
        <v>opłaty stałe</v>
      </c>
      <c r="H230" t="str">
        <f>_xlfn.XLOOKUP(transakcje[[#This Row],[kategoria]],parametr[kategoria],parametr[typ])</f>
        <v>wydatki</v>
      </c>
      <c r="I230" s="1">
        <f>ABS(transakcje[[#This Row],[kwota]])</f>
        <v>16.2</v>
      </c>
    </row>
    <row r="231" spans="1:9" x14ac:dyDescent="0.3">
      <c r="A231">
        <v>230</v>
      </c>
      <c r="B231">
        <v>2010</v>
      </c>
      <c r="C231">
        <v>12</v>
      </c>
      <c r="D231">
        <v>31</v>
      </c>
      <c r="E231" s="1">
        <v>1.4000000000000002E-2</v>
      </c>
      <c r="F231" t="s">
        <v>17</v>
      </c>
      <c r="G231" t="str">
        <f>_xlfn.XLOOKUP(transakcje[[#This Row],[podkategoria]],parametr[podkategoria],parametr[kategoria])</f>
        <v>dochody pozostałe</v>
      </c>
      <c r="H231" t="str">
        <f>_xlfn.XLOOKUP(transakcje[[#This Row],[kategoria]],parametr[kategoria],parametr[typ])</f>
        <v>dochody</v>
      </c>
      <c r="I231" s="1">
        <f>ABS(transakcje[[#This Row],[kwota]])</f>
        <v>1.4000000000000002E-2</v>
      </c>
    </row>
    <row r="232" spans="1:9" x14ac:dyDescent="0.3">
      <c r="A232">
        <v>231</v>
      </c>
      <c r="B232">
        <v>2010</v>
      </c>
      <c r="C232">
        <v>12</v>
      </c>
      <c r="D232">
        <v>31</v>
      </c>
      <c r="E232" s="1">
        <v>-1.198</v>
      </c>
      <c r="F232" t="s">
        <v>14</v>
      </c>
      <c r="G232" t="str">
        <f>_xlfn.XLOOKUP(transakcje[[#This Row],[podkategoria]],parametr[podkategoria],parametr[kategoria])</f>
        <v>opłaty stałe</v>
      </c>
      <c r="H232" t="str">
        <f>_xlfn.XLOOKUP(transakcje[[#This Row],[kategoria]],parametr[kategoria],parametr[typ])</f>
        <v>wydatki</v>
      </c>
      <c r="I232" s="1">
        <f>ABS(transakcje[[#This Row],[kwota]])</f>
        <v>1.198</v>
      </c>
    </row>
    <row r="233" spans="1:9" x14ac:dyDescent="0.3">
      <c r="A233">
        <v>232</v>
      </c>
      <c r="B233">
        <v>2010</v>
      </c>
      <c r="C233">
        <v>12</v>
      </c>
      <c r="D233">
        <v>31</v>
      </c>
      <c r="E233" s="1">
        <v>-0.5</v>
      </c>
      <c r="F233" t="s">
        <v>14</v>
      </c>
      <c r="G233" t="str">
        <f>_xlfn.XLOOKUP(transakcje[[#This Row],[podkategoria]],parametr[podkategoria],parametr[kategoria])</f>
        <v>opłaty stałe</v>
      </c>
      <c r="H233" t="str">
        <f>_xlfn.XLOOKUP(transakcje[[#This Row],[kategoria]],parametr[kategoria],parametr[typ])</f>
        <v>wydatki</v>
      </c>
      <c r="I233" s="1">
        <f>ABS(transakcje[[#This Row],[kwota]])</f>
        <v>0.5</v>
      </c>
    </row>
    <row r="234" spans="1:9" x14ac:dyDescent="0.3">
      <c r="A234">
        <v>233</v>
      </c>
      <c r="B234">
        <v>2011</v>
      </c>
      <c r="C234">
        <v>1</v>
      </c>
      <c r="D234">
        <v>2</v>
      </c>
      <c r="E234" s="1">
        <v>-33.660000000000004</v>
      </c>
      <c r="F234" t="s">
        <v>33</v>
      </c>
      <c r="G234" t="str">
        <f>_xlfn.XLOOKUP(transakcje[[#This Row],[podkategoria]],parametr[podkategoria],parametr[kategoria])</f>
        <v>trwałe</v>
      </c>
      <c r="H234" t="str">
        <f>_xlfn.XLOOKUP(transakcje[[#This Row],[kategoria]],parametr[kategoria],parametr[typ])</f>
        <v>wydatki</v>
      </c>
      <c r="I234" s="1">
        <f>ABS(transakcje[[#This Row],[kwota]])</f>
        <v>33.660000000000004</v>
      </c>
    </row>
    <row r="235" spans="1:9" x14ac:dyDescent="0.3">
      <c r="A235">
        <v>234</v>
      </c>
      <c r="B235">
        <v>2011</v>
      </c>
      <c r="C235">
        <v>1</v>
      </c>
      <c r="D235">
        <v>2</v>
      </c>
      <c r="E235" s="1">
        <v>-1.6600000000000001</v>
      </c>
      <c r="F235" t="s">
        <v>26</v>
      </c>
      <c r="G235" t="str">
        <f>_xlfn.XLOOKUP(transakcje[[#This Row],[podkategoria]],parametr[podkategoria],parametr[kategoria])</f>
        <v>życie</v>
      </c>
      <c r="H235" t="str">
        <f>_xlfn.XLOOKUP(transakcje[[#This Row],[kategoria]],parametr[kategoria],parametr[typ])</f>
        <v>wydatki</v>
      </c>
      <c r="I235" s="1">
        <f>ABS(transakcje[[#This Row],[kwota]])</f>
        <v>1.6600000000000001</v>
      </c>
    </row>
    <row r="236" spans="1:9" x14ac:dyDescent="0.3">
      <c r="A236">
        <v>235</v>
      </c>
      <c r="B236">
        <v>2011</v>
      </c>
      <c r="C236">
        <v>1</v>
      </c>
      <c r="D236">
        <v>2</v>
      </c>
      <c r="E236" s="1">
        <v>-15.846</v>
      </c>
      <c r="F236" t="s">
        <v>34</v>
      </c>
      <c r="G236" t="str">
        <f>_xlfn.XLOOKUP(transakcje[[#This Row],[podkategoria]],parametr[podkategoria],parametr[kategoria])</f>
        <v>opłaty stałe</v>
      </c>
      <c r="H236" t="str">
        <f>_xlfn.XLOOKUP(transakcje[[#This Row],[kategoria]],parametr[kategoria],parametr[typ])</f>
        <v>wydatki</v>
      </c>
      <c r="I236" s="1">
        <f>ABS(transakcje[[#This Row],[kwota]])</f>
        <v>15.846</v>
      </c>
    </row>
    <row r="237" spans="1:9" x14ac:dyDescent="0.3">
      <c r="A237">
        <v>236</v>
      </c>
      <c r="B237">
        <v>2011</v>
      </c>
      <c r="C237">
        <v>1</v>
      </c>
      <c r="D237">
        <v>2</v>
      </c>
      <c r="E237" s="1">
        <v>-8</v>
      </c>
      <c r="F237" t="s">
        <v>25</v>
      </c>
      <c r="G237" t="str">
        <f>_xlfn.XLOOKUP(transakcje[[#This Row],[podkategoria]],parametr[podkategoria],parametr[kategoria])</f>
        <v>opłaty stałe</v>
      </c>
      <c r="H237" t="str">
        <f>_xlfn.XLOOKUP(transakcje[[#This Row],[kategoria]],parametr[kategoria],parametr[typ])</f>
        <v>wydatki</v>
      </c>
      <c r="I237" s="1">
        <f>ABS(transakcje[[#This Row],[kwota]])</f>
        <v>8</v>
      </c>
    </row>
    <row r="238" spans="1:9" x14ac:dyDescent="0.3">
      <c r="A238">
        <v>237</v>
      </c>
      <c r="B238">
        <v>2011</v>
      </c>
      <c r="C238">
        <v>1</v>
      </c>
      <c r="D238">
        <v>3</v>
      </c>
      <c r="E238" s="1">
        <v>-17.8</v>
      </c>
      <c r="F238" t="s">
        <v>24</v>
      </c>
      <c r="G238" t="str">
        <f>_xlfn.XLOOKUP(transakcje[[#This Row],[podkategoria]],parametr[podkategoria],parametr[kategoria])</f>
        <v>trwałe</v>
      </c>
      <c r="H238" t="str">
        <f>_xlfn.XLOOKUP(transakcje[[#This Row],[kategoria]],parametr[kategoria],parametr[typ])</f>
        <v>wydatki</v>
      </c>
      <c r="I238" s="1">
        <f>ABS(transakcje[[#This Row],[kwota]])</f>
        <v>17.8</v>
      </c>
    </row>
    <row r="239" spans="1:9" x14ac:dyDescent="0.3">
      <c r="A239">
        <v>238</v>
      </c>
      <c r="B239">
        <v>2011</v>
      </c>
      <c r="C239">
        <v>1</v>
      </c>
      <c r="D239">
        <v>4</v>
      </c>
      <c r="E239" s="1">
        <v>-128.98399999999998</v>
      </c>
      <c r="F239" t="s">
        <v>31</v>
      </c>
      <c r="G239" t="str">
        <f>_xlfn.XLOOKUP(transakcje[[#This Row],[podkategoria]],parametr[podkategoria],parametr[kategoria])</f>
        <v>opłaty stałe</v>
      </c>
      <c r="H239" t="str">
        <f>_xlfn.XLOOKUP(transakcje[[#This Row],[kategoria]],parametr[kategoria],parametr[typ])</f>
        <v>wydatki</v>
      </c>
      <c r="I239" s="1">
        <f>ABS(transakcje[[#This Row],[kwota]])</f>
        <v>128.98399999999998</v>
      </c>
    </row>
    <row r="240" spans="1:9" x14ac:dyDescent="0.3">
      <c r="A240">
        <v>239</v>
      </c>
      <c r="B240">
        <v>2011</v>
      </c>
      <c r="C240">
        <v>1</v>
      </c>
      <c r="D240">
        <v>11</v>
      </c>
      <c r="E240" s="1">
        <v>-6.6340000000000003</v>
      </c>
      <c r="F240" t="s">
        <v>35</v>
      </c>
      <c r="G240" t="str">
        <f>_xlfn.XLOOKUP(transakcje[[#This Row],[podkategoria]],parametr[podkategoria],parametr[kategoria])</f>
        <v>opłaty stałe</v>
      </c>
      <c r="H240" t="str">
        <f>_xlfn.XLOOKUP(transakcje[[#This Row],[kategoria]],parametr[kategoria],parametr[typ])</f>
        <v>wydatki</v>
      </c>
      <c r="I240" s="1">
        <f>ABS(transakcje[[#This Row],[kwota]])</f>
        <v>6.6340000000000003</v>
      </c>
    </row>
    <row r="241" spans="1:9" x14ac:dyDescent="0.3">
      <c r="A241">
        <v>240</v>
      </c>
      <c r="B241">
        <v>2011</v>
      </c>
      <c r="C241">
        <v>1</v>
      </c>
      <c r="D241">
        <v>13</v>
      </c>
      <c r="E241" s="1">
        <v>-14.462</v>
      </c>
      <c r="F241" t="s">
        <v>26</v>
      </c>
      <c r="G241" t="str">
        <f>_xlfn.XLOOKUP(transakcje[[#This Row],[podkategoria]],parametr[podkategoria],parametr[kategoria])</f>
        <v>życie</v>
      </c>
      <c r="H241" t="str">
        <f>_xlfn.XLOOKUP(transakcje[[#This Row],[kategoria]],parametr[kategoria],parametr[typ])</f>
        <v>wydatki</v>
      </c>
      <c r="I241" s="1">
        <f>ABS(transakcje[[#This Row],[kwota]])</f>
        <v>14.462</v>
      </c>
    </row>
    <row r="242" spans="1:9" x14ac:dyDescent="0.3">
      <c r="A242">
        <v>241</v>
      </c>
      <c r="B242">
        <v>2011</v>
      </c>
      <c r="C242">
        <v>1</v>
      </c>
      <c r="D242">
        <v>13</v>
      </c>
      <c r="E242" s="1">
        <v>-9.76</v>
      </c>
      <c r="F242" t="s">
        <v>23</v>
      </c>
      <c r="G242" t="str">
        <f>_xlfn.XLOOKUP(transakcje[[#This Row],[podkategoria]],parametr[podkategoria],parametr[kategoria])</f>
        <v>opłaty stałe</v>
      </c>
      <c r="H242" t="str">
        <f>_xlfn.XLOOKUP(transakcje[[#This Row],[kategoria]],parametr[kategoria],parametr[typ])</f>
        <v>wydatki</v>
      </c>
      <c r="I242" s="1">
        <f>ABS(transakcje[[#This Row],[kwota]])</f>
        <v>9.76</v>
      </c>
    </row>
    <row r="243" spans="1:9" x14ac:dyDescent="0.3">
      <c r="A243">
        <v>242</v>
      </c>
      <c r="B243">
        <v>2011</v>
      </c>
      <c r="C243">
        <v>1</v>
      </c>
      <c r="D243">
        <v>14</v>
      </c>
      <c r="E243" s="1">
        <v>-0.39800000000000002</v>
      </c>
      <c r="F243" t="s">
        <v>14</v>
      </c>
      <c r="G243" t="str">
        <f>_xlfn.XLOOKUP(transakcje[[#This Row],[podkategoria]],parametr[podkategoria],parametr[kategoria])</f>
        <v>opłaty stałe</v>
      </c>
      <c r="H243" t="str">
        <f>_xlfn.XLOOKUP(transakcje[[#This Row],[kategoria]],parametr[kategoria],parametr[typ])</f>
        <v>wydatki</v>
      </c>
      <c r="I243" s="1">
        <f>ABS(transakcje[[#This Row],[kwota]])</f>
        <v>0.39800000000000002</v>
      </c>
    </row>
    <row r="244" spans="1:9" x14ac:dyDescent="0.3">
      <c r="A244">
        <v>243</v>
      </c>
      <c r="B244">
        <v>2011</v>
      </c>
      <c r="C244">
        <v>1</v>
      </c>
      <c r="D244">
        <v>14</v>
      </c>
      <c r="E244" s="1">
        <v>-7.57</v>
      </c>
      <c r="F244" t="s">
        <v>26</v>
      </c>
      <c r="G244" t="str">
        <f>_xlfn.XLOOKUP(transakcje[[#This Row],[podkategoria]],parametr[podkategoria],parametr[kategoria])</f>
        <v>życie</v>
      </c>
      <c r="H244" t="str">
        <f>_xlfn.XLOOKUP(transakcje[[#This Row],[kategoria]],parametr[kategoria],parametr[typ])</f>
        <v>wydatki</v>
      </c>
      <c r="I244" s="1">
        <f>ABS(transakcje[[#This Row],[kwota]])</f>
        <v>7.57</v>
      </c>
    </row>
    <row r="245" spans="1:9" x14ac:dyDescent="0.3">
      <c r="A245">
        <v>244</v>
      </c>
      <c r="B245">
        <v>2011</v>
      </c>
      <c r="C245">
        <v>1</v>
      </c>
      <c r="D245">
        <v>15</v>
      </c>
      <c r="E245" s="1">
        <v>-1.1960000000000002</v>
      </c>
      <c r="F245" t="s">
        <v>14</v>
      </c>
      <c r="G245" t="str">
        <f>_xlfn.XLOOKUP(transakcje[[#This Row],[podkategoria]],parametr[podkategoria],parametr[kategoria])</f>
        <v>opłaty stałe</v>
      </c>
      <c r="H245" t="str">
        <f>_xlfn.XLOOKUP(transakcje[[#This Row],[kategoria]],parametr[kategoria],parametr[typ])</f>
        <v>wydatki</v>
      </c>
      <c r="I245" s="1">
        <f>ABS(transakcje[[#This Row],[kwota]])</f>
        <v>1.1960000000000002</v>
      </c>
    </row>
    <row r="246" spans="1:9" x14ac:dyDescent="0.3">
      <c r="A246">
        <v>245</v>
      </c>
      <c r="B246">
        <v>2011</v>
      </c>
      <c r="C246">
        <v>1</v>
      </c>
      <c r="D246">
        <v>18</v>
      </c>
      <c r="E246" s="1">
        <v>-73.962000000000003</v>
      </c>
      <c r="F246" t="s">
        <v>31</v>
      </c>
      <c r="G246" t="str">
        <f>_xlfn.XLOOKUP(transakcje[[#This Row],[podkategoria]],parametr[podkategoria],parametr[kategoria])</f>
        <v>opłaty stałe</v>
      </c>
      <c r="H246" t="str">
        <f>_xlfn.XLOOKUP(transakcje[[#This Row],[kategoria]],parametr[kategoria],parametr[typ])</f>
        <v>wydatki</v>
      </c>
      <c r="I246" s="1">
        <f>ABS(transakcje[[#This Row],[kwota]])</f>
        <v>73.962000000000003</v>
      </c>
    </row>
    <row r="247" spans="1:9" x14ac:dyDescent="0.3">
      <c r="A247">
        <v>246</v>
      </c>
      <c r="B247">
        <v>2011</v>
      </c>
      <c r="C247">
        <v>1</v>
      </c>
      <c r="D247">
        <v>18</v>
      </c>
      <c r="E247" s="1">
        <v>-8.104000000000001</v>
      </c>
      <c r="F247" t="s">
        <v>26</v>
      </c>
      <c r="G247" t="str">
        <f>_xlfn.XLOOKUP(transakcje[[#This Row],[podkategoria]],parametr[podkategoria],parametr[kategoria])</f>
        <v>życie</v>
      </c>
      <c r="H247" t="str">
        <f>_xlfn.XLOOKUP(transakcje[[#This Row],[kategoria]],parametr[kategoria],parametr[typ])</f>
        <v>wydatki</v>
      </c>
      <c r="I247" s="1">
        <f>ABS(transakcje[[#This Row],[kwota]])</f>
        <v>8.104000000000001</v>
      </c>
    </row>
    <row r="248" spans="1:9" x14ac:dyDescent="0.3">
      <c r="A248">
        <v>247</v>
      </c>
      <c r="B248">
        <v>2011</v>
      </c>
      <c r="C248">
        <v>1</v>
      </c>
      <c r="D248">
        <v>24</v>
      </c>
      <c r="E248" s="1">
        <v>-5.5380000000000003</v>
      </c>
      <c r="F248" t="s">
        <v>26</v>
      </c>
      <c r="G248" t="str">
        <f>_xlfn.XLOOKUP(transakcje[[#This Row],[podkategoria]],parametr[podkategoria],parametr[kategoria])</f>
        <v>życie</v>
      </c>
      <c r="H248" t="str">
        <f>_xlfn.XLOOKUP(transakcje[[#This Row],[kategoria]],parametr[kategoria],parametr[typ])</f>
        <v>wydatki</v>
      </c>
      <c r="I248" s="1">
        <f>ABS(transakcje[[#This Row],[kwota]])</f>
        <v>5.5380000000000003</v>
      </c>
    </row>
    <row r="249" spans="1:9" x14ac:dyDescent="0.3">
      <c r="A249">
        <v>248</v>
      </c>
      <c r="B249">
        <v>2011</v>
      </c>
      <c r="C249">
        <v>1</v>
      </c>
      <c r="D249">
        <v>25</v>
      </c>
      <c r="E249" s="1">
        <v>414.03000000000003</v>
      </c>
      <c r="F249" t="s">
        <v>8</v>
      </c>
      <c r="G249" t="str">
        <f>_xlfn.XLOOKUP(transakcje[[#This Row],[podkategoria]],parametr[podkategoria],parametr[kategoria])</f>
        <v>dochody z pracy</v>
      </c>
      <c r="H249" t="str">
        <f>_xlfn.XLOOKUP(transakcje[[#This Row],[kategoria]],parametr[kategoria],parametr[typ])</f>
        <v>dochody</v>
      </c>
      <c r="I249" s="1">
        <f>ABS(transakcje[[#This Row],[kwota]])</f>
        <v>414.03000000000003</v>
      </c>
    </row>
    <row r="250" spans="1:9" x14ac:dyDescent="0.3">
      <c r="A250">
        <v>249</v>
      </c>
      <c r="B250">
        <v>2011</v>
      </c>
      <c r="C250">
        <v>1</v>
      </c>
      <c r="D250">
        <v>27</v>
      </c>
      <c r="E250" s="1">
        <v>-14.402000000000001</v>
      </c>
      <c r="F250" t="s">
        <v>26</v>
      </c>
      <c r="G250" t="str">
        <f>_xlfn.XLOOKUP(transakcje[[#This Row],[podkategoria]],parametr[podkategoria],parametr[kategoria])</f>
        <v>życie</v>
      </c>
      <c r="H250" t="str">
        <f>_xlfn.XLOOKUP(transakcje[[#This Row],[kategoria]],parametr[kategoria],parametr[typ])</f>
        <v>wydatki</v>
      </c>
      <c r="I250" s="1">
        <f>ABS(transakcje[[#This Row],[kwota]])</f>
        <v>14.402000000000001</v>
      </c>
    </row>
    <row r="251" spans="1:9" x14ac:dyDescent="0.3">
      <c r="A251">
        <v>250</v>
      </c>
      <c r="B251">
        <v>2011</v>
      </c>
      <c r="C251">
        <v>1</v>
      </c>
      <c r="D251">
        <v>28</v>
      </c>
      <c r="E251" s="1">
        <v>-16.2</v>
      </c>
      <c r="F251" t="s">
        <v>32</v>
      </c>
      <c r="G251" t="str">
        <f>_xlfn.XLOOKUP(transakcje[[#This Row],[podkategoria]],parametr[podkategoria],parametr[kategoria])</f>
        <v>opłaty stałe</v>
      </c>
      <c r="H251" t="str">
        <f>_xlfn.XLOOKUP(transakcje[[#This Row],[kategoria]],parametr[kategoria],parametr[typ])</f>
        <v>wydatki</v>
      </c>
      <c r="I251" s="1">
        <f>ABS(transakcje[[#This Row],[kwota]])</f>
        <v>16.2</v>
      </c>
    </row>
    <row r="252" spans="1:9" x14ac:dyDescent="0.3">
      <c r="A252">
        <v>251</v>
      </c>
      <c r="B252">
        <v>2011</v>
      </c>
      <c r="C252">
        <v>1</v>
      </c>
      <c r="D252">
        <v>31</v>
      </c>
      <c r="E252" s="1">
        <v>1.6E-2</v>
      </c>
      <c r="F252" t="s">
        <v>17</v>
      </c>
      <c r="G252" t="str">
        <f>_xlfn.XLOOKUP(transakcje[[#This Row],[podkategoria]],parametr[podkategoria],parametr[kategoria])</f>
        <v>dochody pozostałe</v>
      </c>
      <c r="H252" t="str">
        <f>_xlfn.XLOOKUP(transakcje[[#This Row],[kategoria]],parametr[kategoria],parametr[typ])</f>
        <v>dochody</v>
      </c>
      <c r="I252" s="1">
        <f>ABS(transakcje[[#This Row],[kwota]])</f>
        <v>1.6E-2</v>
      </c>
    </row>
    <row r="253" spans="1:9" x14ac:dyDescent="0.3">
      <c r="A253">
        <v>252</v>
      </c>
      <c r="B253">
        <v>2011</v>
      </c>
      <c r="C253">
        <v>1</v>
      </c>
      <c r="D253">
        <v>31</v>
      </c>
      <c r="E253" s="1">
        <v>-1.198</v>
      </c>
      <c r="F253" t="s">
        <v>14</v>
      </c>
      <c r="G253" t="str">
        <f>_xlfn.XLOOKUP(transakcje[[#This Row],[podkategoria]],parametr[podkategoria],parametr[kategoria])</f>
        <v>opłaty stałe</v>
      </c>
      <c r="H253" t="str">
        <f>_xlfn.XLOOKUP(transakcje[[#This Row],[kategoria]],parametr[kategoria],parametr[typ])</f>
        <v>wydatki</v>
      </c>
      <c r="I253" s="1">
        <f>ABS(transakcje[[#This Row],[kwota]])</f>
        <v>1.198</v>
      </c>
    </row>
    <row r="254" spans="1:9" x14ac:dyDescent="0.3">
      <c r="A254">
        <v>253</v>
      </c>
      <c r="B254">
        <v>2011</v>
      </c>
      <c r="C254">
        <v>1</v>
      </c>
      <c r="D254">
        <v>31</v>
      </c>
      <c r="E254" s="1">
        <v>-0.7</v>
      </c>
      <c r="F254" t="s">
        <v>14</v>
      </c>
      <c r="G254" t="str">
        <f>_xlfn.XLOOKUP(transakcje[[#This Row],[podkategoria]],parametr[podkategoria],parametr[kategoria])</f>
        <v>opłaty stałe</v>
      </c>
      <c r="H254" t="str">
        <f>_xlfn.XLOOKUP(transakcje[[#This Row],[kategoria]],parametr[kategoria],parametr[typ])</f>
        <v>wydatki</v>
      </c>
      <c r="I254" s="1">
        <f>ABS(transakcje[[#This Row],[kwota]])</f>
        <v>0.7</v>
      </c>
    </row>
    <row r="255" spans="1:9" x14ac:dyDescent="0.3">
      <c r="A255">
        <v>254</v>
      </c>
      <c r="B255">
        <v>2011</v>
      </c>
      <c r="C255">
        <v>1</v>
      </c>
      <c r="D255">
        <v>31</v>
      </c>
      <c r="E255" s="1">
        <v>-14.591999999999999</v>
      </c>
      <c r="F255" t="s">
        <v>26</v>
      </c>
      <c r="G255" t="str">
        <f>_xlfn.XLOOKUP(transakcje[[#This Row],[podkategoria]],parametr[podkategoria],parametr[kategoria])</f>
        <v>życie</v>
      </c>
      <c r="H255" t="str">
        <f>_xlfn.XLOOKUP(transakcje[[#This Row],[kategoria]],parametr[kategoria],parametr[typ])</f>
        <v>wydatki</v>
      </c>
      <c r="I255" s="1">
        <f>ABS(transakcje[[#This Row],[kwota]])</f>
        <v>14.591999999999999</v>
      </c>
    </row>
    <row r="256" spans="1:9" x14ac:dyDescent="0.3">
      <c r="A256">
        <v>255</v>
      </c>
      <c r="B256">
        <v>2011</v>
      </c>
      <c r="C256">
        <v>2</v>
      </c>
      <c r="D256">
        <v>3</v>
      </c>
      <c r="E256" s="1">
        <v>-33.660000000000004</v>
      </c>
      <c r="F256" t="s">
        <v>33</v>
      </c>
      <c r="G256" t="str">
        <f>_xlfn.XLOOKUP(transakcje[[#This Row],[podkategoria]],parametr[podkategoria],parametr[kategoria])</f>
        <v>trwałe</v>
      </c>
      <c r="H256" t="str">
        <f>_xlfn.XLOOKUP(transakcje[[#This Row],[kategoria]],parametr[kategoria],parametr[typ])</f>
        <v>wydatki</v>
      </c>
      <c r="I256" s="1">
        <f>ABS(transakcje[[#This Row],[kwota]])</f>
        <v>33.660000000000004</v>
      </c>
    </row>
    <row r="257" spans="1:9" x14ac:dyDescent="0.3">
      <c r="A257">
        <v>256</v>
      </c>
      <c r="B257">
        <v>2011</v>
      </c>
      <c r="C257">
        <v>2</v>
      </c>
      <c r="D257">
        <v>3</v>
      </c>
      <c r="E257" s="1">
        <v>-72.957999999999998</v>
      </c>
      <c r="F257" t="s">
        <v>31</v>
      </c>
      <c r="G257" t="str">
        <f>_xlfn.XLOOKUP(transakcje[[#This Row],[podkategoria]],parametr[podkategoria],parametr[kategoria])</f>
        <v>opłaty stałe</v>
      </c>
      <c r="H257" t="str">
        <f>_xlfn.XLOOKUP(transakcje[[#This Row],[kategoria]],parametr[kategoria],parametr[typ])</f>
        <v>wydatki</v>
      </c>
      <c r="I257" s="1">
        <f>ABS(transakcje[[#This Row],[kwota]])</f>
        <v>72.957999999999998</v>
      </c>
    </row>
    <row r="258" spans="1:9" x14ac:dyDescent="0.3">
      <c r="A258">
        <v>257</v>
      </c>
      <c r="B258">
        <v>2011</v>
      </c>
      <c r="C258">
        <v>2</v>
      </c>
      <c r="D258">
        <v>3</v>
      </c>
      <c r="E258" s="1">
        <v>-7.2</v>
      </c>
      <c r="F258" t="s">
        <v>36</v>
      </c>
      <c r="G258" t="str">
        <f>_xlfn.XLOOKUP(transakcje[[#This Row],[podkategoria]],parametr[podkategoria],parametr[kategoria])</f>
        <v>opłaty stałe</v>
      </c>
      <c r="H258" t="str">
        <f>_xlfn.XLOOKUP(transakcje[[#This Row],[kategoria]],parametr[kategoria],parametr[typ])</f>
        <v>wydatki</v>
      </c>
      <c r="I258" s="1">
        <f>ABS(transakcje[[#This Row],[kwota]])</f>
        <v>7.2</v>
      </c>
    </row>
    <row r="259" spans="1:9" x14ac:dyDescent="0.3">
      <c r="A259">
        <v>258</v>
      </c>
      <c r="B259">
        <v>2011</v>
      </c>
      <c r="C259">
        <v>2</v>
      </c>
      <c r="D259">
        <v>3</v>
      </c>
      <c r="E259" s="1">
        <v>-8.1159999999999997</v>
      </c>
      <c r="F259" t="s">
        <v>25</v>
      </c>
      <c r="G259" t="str">
        <f>_xlfn.XLOOKUP(transakcje[[#This Row],[podkategoria]],parametr[podkategoria],parametr[kategoria])</f>
        <v>opłaty stałe</v>
      </c>
      <c r="H259" t="str">
        <f>_xlfn.XLOOKUP(transakcje[[#This Row],[kategoria]],parametr[kategoria],parametr[typ])</f>
        <v>wydatki</v>
      </c>
      <c r="I259" s="1">
        <f>ABS(transakcje[[#This Row],[kwota]])</f>
        <v>8.1159999999999997</v>
      </c>
    </row>
    <row r="260" spans="1:9" x14ac:dyDescent="0.3">
      <c r="A260">
        <v>259</v>
      </c>
      <c r="B260">
        <v>2011</v>
      </c>
      <c r="C260">
        <v>2</v>
      </c>
      <c r="D260">
        <v>4</v>
      </c>
      <c r="E260" s="1">
        <v>-5.1859999999999999</v>
      </c>
      <c r="F260" t="s">
        <v>26</v>
      </c>
      <c r="G260" t="str">
        <f>_xlfn.XLOOKUP(transakcje[[#This Row],[podkategoria]],parametr[podkategoria],parametr[kategoria])</f>
        <v>życie</v>
      </c>
      <c r="H260" t="str">
        <f>_xlfn.XLOOKUP(transakcje[[#This Row],[kategoria]],parametr[kategoria],parametr[typ])</f>
        <v>wydatki</v>
      </c>
      <c r="I260" s="1">
        <f>ABS(transakcje[[#This Row],[kwota]])</f>
        <v>5.1859999999999999</v>
      </c>
    </row>
    <row r="261" spans="1:9" x14ac:dyDescent="0.3">
      <c r="A261">
        <v>260</v>
      </c>
      <c r="B261">
        <v>2011</v>
      </c>
      <c r="C261">
        <v>2</v>
      </c>
      <c r="D261">
        <v>6</v>
      </c>
      <c r="E261" s="1">
        <v>-13.26</v>
      </c>
      <c r="F261" t="s">
        <v>26</v>
      </c>
      <c r="G261" t="str">
        <f>_xlfn.XLOOKUP(transakcje[[#This Row],[podkategoria]],parametr[podkategoria],parametr[kategoria])</f>
        <v>życie</v>
      </c>
      <c r="H261" t="str">
        <f>_xlfn.XLOOKUP(transakcje[[#This Row],[kategoria]],parametr[kategoria],parametr[typ])</f>
        <v>wydatki</v>
      </c>
      <c r="I261" s="1">
        <f>ABS(transakcje[[#This Row],[kwota]])</f>
        <v>13.26</v>
      </c>
    </row>
    <row r="262" spans="1:9" x14ac:dyDescent="0.3">
      <c r="A262">
        <v>261</v>
      </c>
      <c r="B262">
        <v>2011</v>
      </c>
      <c r="C262">
        <v>2</v>
      </c>
      <c r="D262">
        <v>7</v>
      </c>
      <c r="E262" s="1">
        <v>-9.76</v>
      </c>
      <c r="F262" t="s">
        <v>23</v>
      </c>
      <c r="G262" t="str">
        <f>_xlfn.XLOOKUP(transakcje[[#This Row],[podkategoria]],parametr[podkategoria],parametr[kategoria])</f>
        <v>opłaty stałe</v>
      </c>
      <c r="H262" t="str">
        <f>_xlfn.XLOOKUP(transakcje[[#This Row],[kategoria]],parametr[kategoria],parametr[typ])</f>
        <v>wydatki</v>
      </c>
      <c r="I262" s="1">
        <f>ABS(transakcje[[#This Row],[kwota]])</f>
        <v>9.76</v>
      </c>
    </row>
    <row r="263" spans="1:9" x14ac:dyDescent="0.3">
      <c r="A263">
        <v>262</v>
      </c>
      <c r="B263">
        <v>2011</v>
      </c>
      <c r="C263">
        <v>2</v>
      </c>
      <c r="D263">
        <v>11</v>
      </c>
      <c r="E263" s="1">
        <v>-5.242</v>
      </c>
      <c r="F263" t="s">
        <v>26</v>
      </c>
      <c r="G263" t="str">
        <f>_xlfn.XLOOKUP(transakcje[[#This Row],[podkategoria]],parametr[podkategoria],parametr[kategoria])</f>
        <v>życie</v>
      </c>
      <c r="H263" t="str">
        <f>_xlfn.XLOOKUP(transakcje[[#This Row],[kategoria]],parametr[kategoria],parametr[typ])</f>
        <v>wydatki</v>
      </c>
      <c r="I263" s="1">
        <f>ABS(transakcje[[#This Row],[kwota]])</f>
        <v>5.242</v>
      </c>
    </row>
    <row r="264" spans="1:9" x14ac:dyDescent="0.3">
      <c r="A264">
        <v>263</v>
      </c>
      <c r="B264">
        <v>2011</v>
      </c>
      <c r="C264">
        <v>2</v>
      </c>
      <c r="D264">
        <v>14</v>
      </c>
      <c r="E264" s="1">
        <v>391.44600000000003</v>
      </c>
      <c r="F264" t="s">
        <v>22</v>
      </c>
      <c r="G264" t="str">
        <f>_xlfn.XLOOKUP(transakcje[[#This Row],[podkategoria]],parametr[podkategoria],parametr[kategoria])</f>
        <v>dochody z pracy</v>
      </c>
      <c r="H264" t="str">
        <f>_xlfn.XLOOKUP(transakcje[[#This Row],[kategoria]],parametr[kategoria],parametr[typ])</f>
        <v>dochody</v>
      </c>
      <c r="I264" s="1">
        <f>ABS(transakcje[[#This Row],[kwota]])</f>
        <v>391.44600000000003</v>
      </c>
    </row>
    <row r="265" spans="1:9" x14ac:dyDescent="0.3">
      <c r="A265">
        <v>264</v>
      </c>
      <c r="B265">
        <v>2011</v>
      </c>
      <c r="C265">
        <v>2</v>
      </c>
      <c r="D265">
        <v>15</v>
      </c>
      <c r="E265" s="1">
        <v>2E-3</v>
      </c>
      <c r="F265" t="s">
        <v>17</v>
      </c>
      <c r="G265" t="str">
        <f>_xlfn.XLOOKUP(transakcje[[#This Row],[podkategoria]],parametr[podkategoria],parametr[kategoria])</f>
        <v>dochody pozostałe</v>
      </c>
      <c r="H265" t="str">
        <f>_xlfn.XLOOKUP(transakcje[[#This Row],[kategoria]],parametr[kategoria],parametr[typ])</f>
        <v>dochody</v>
      </c>
      <c r="I265" s="1">
        <f>ABS(transakcje[[#This Row],[kwota]])</f>
        <v>2E-3</v>
      </c>
    </row>
    <row r="266" spans="1:9" x14ac:dyDescent="0.3">
      <c r="A266">
        <v>265</v>
      </c>
      <c r="B266">
        <v>2011</v>
      </c>
      <c r="C266">
        <v>2</v>
      </c>
      <c r="D266">
        <v>15</v>
      </c>
      <c r="E266" s="1">
        <v>-1.1960000000000002</v>
      </c>
      <c r="F266" t="s">
        <v>14</v>
      </c>
      <c r="G266" t="str">
        <f>_xlfn.XLOOKUP(transakcje[[#This Row],[podkategoria]],parametr[podkategoria],parametr[kategoria])</f>
        <v>opłaty stałe</v>
      </c>
      <c r="H266" t="str">
        <f>_xlfn.XLOOKUP(transakcje[[#This Row],[kategoria]],parametr[kategoria],parametr[typ])</f>
        <v>wydatki</v>
      </c>
      <c r="I266" s="1">
        <f>ABS(transakcje[[#This Row],[kwota]])</f>
        <v>1.1960000000000002</v>
      </c>
    </row>
    <row r="267" spans="1:9" x14ac:dyDescent="0.3">
      <c r="A267">
        <v>266</v>
      </c>
      <c r="B267">
        <v>2011</v>
      </c>
      <c r="C267">
        <v>2</v>
      </c>
      <c r="D267">
        <v>17</v>
      </c>
      <c r="E267" s="1">
        <v>-0.39800000000000002</v>
      </c>
      <c r="F267" t="s">
        <v>14</v>
      </c>
      <c r="G267" t="str">
        <f>_xlfn.XLOOKUP(transakcje[[#This Row],[podkategoria]],parametr[podkategoria],parametr[kategoria])</f>
        <v>opłaty stałe</v>
      </c>
      <c r="H267" t="str">
        <f>_xlfn.XLOOKUP(transakcje[[#This Row],[kategoria]],parametr[kategoria],parametr[typ])</f>
        <v>wydatki</v>
      </c>
      <c r="I267" s="1">
        <f>ABS(transakcje[[#This Row],[kwota]])</f>
        <v>0.39800000000000002</v>
      </c>
    </row>
    <row r="268" spans="1:9" x14ac:dyDescent="0.3">
      <c r="A268">
        <v>267</v>
      </c>
      <c r="B268">
        <v>2011</v>
      </c>
      <c r="C268">
        <v>2</v>
      </c>
      <c r="D268">
        <v>18</v>
      </c>
      <c r="E268" s="1">
        <v>-5.3940000000000001</v>
      </c>
      <c r="F268" t="s">
        <v>26</v>
      </c>
      <c r="G268" t="str">
        <f>_xlfn.XLOOKUP(transakcje[[#This Row],[podkategoria]],parametr[podkategoria],parametr[kategoria])</f>
        <v>życie</v>
      </c>
      <c r="H268" t="str">
        <f>_xlfn.XLOOKUP(transakcje[[#This Row],[kategoria]],parametr[kategoria],parametr[typ])</f>
        <v>wydatki</v>
      </c>
      <c r="I268" s="1">
        <f>ABS(transakcje[[#This Row],[kwota]])</f>
        <v>5.3940000000000001</v>
      </c>
    </row>
    <row r="269" spans="1:9" x14ac:dyDescent="0.3">
      <c r="A269">
        <v>268</v>
      </c>
      <c r="B269">
        <v>2011</v>
      </c>
      <c r="C269">
        <v>2</v>
      </c>
      <c r="D269">
        <v>19</v>
      </c>
      <c r="E269" s="1">
        <v>-24.086000000000002</v>
      </c>
      <c r="F269" t="s">
        <v>20</v>
      </c>
      <c r="G269" t="str">
        <f>_xlfn.XLOOKUP(transakcje[[#This Row],[podkategoria]],parametr[podkategoria],parametr[kategoria])</f>
        <v>trwałe</v>
      </c>
      <c r="H269" t="str">
        <f>_xlfn.XLOOKUP(transakcje[[#This Row],[kategoria]],parametr[kategoria],parametr[typ])</f>
        <v>wydatki</v>
      </c>
      <c r="I269" s="1">
        <f>ABS(transakcje[[#This Row],[kwota]])</f>
        <v>24.086000000000002</v>
      </c>
    </row>
    <row r="270" spans="1:9" x14ac:dyDescent="0.3">
      <c r="A270">
        <v>269</v>
      </c>
      <c r="B270">
        <v>2011</v>
      </c>
      <c r="C270">
        <v>2</v>
      </c>
      <c r="D270">
        <v>25</v>
      </c>
      <c r="E270" s="1">
        <v>-16.2</v>
      </c>
      <c r="F270" t="s">
        <v>32</v>
      </c>
      <c r="G270" t="str">
        <f>_xlfn.XLOOKUP(transakcje[[#This Row],[podkategoria]],parametr[podkategoria],parametr[kategoria])</f>
        <v>opłaty stałe</v>
      </c>
      <c r="H270" t="str">
        <f>_xlfn.XLOOKUP(transakcje[[#This Row],[kategoria]],parametr[kategoria],parametr[typ])</f>
        <v>wydatki</v>
      </c>
      <c r="I270" s="1">
        <f>ABS(transakcje[[#This Row],[kwota]])</f>
        <v>16.2</v>
      </c>
    </row>
    <row r="271" spans="1:9" x14ac:dyDescent="0.3">
      <c r="A271">
        <v>270</v>
      </c>
      <c r="B271">
        <v>2011</v>
      </c>
      <c r="C271">
        <v>2</v>
      </c>
      <c r="D271">
        <v>25</v>
      </c>
      <c r="E271" s="1">
        <v>414.03399999999999</v>
      </c>
      <c r="F271" t="s">
        <v>8</v>
      </c>
      <c r="G271" t="str">
        <f>_xlfn.XLOOKUP(transakcje[[#This Row],[podkategoria]],parametr[podkategoria],parametr[kategoria])</f>
        <v>dochody z pracy</v>
      </c>
      <c r="H271" t="str">
        <f>_xlfn.XLOOKUP(transakcje[[#This Row],[kategoria]],parametr[kategoria],parametr[typ])</f>
        <v>dochody</v>
      </c>
      <c r="I271" s="1">
        <f>ABS(transakcje[[#This Row],[kwota]])</f>
        <v>414.03399999999999</v>
      </c>
    </row>
    <row r="272" spans="1:9" x14ac:dyDescent="0.3">
      <c r="A272">
        <v>271</v>
      </c>
      <c r="B272">
        <v>2011</v>
      </c>
      <c r="C272">
        <v>2</v>
      </c>
      <c r="D272">
        <v>25</v>
      </c>
      <c r="E272" s="1">
        <v>-12.122</v>
      </c>
      <c r="F272" t="s">
        <v>26</v>
      </c>
      <c r="G272" t="str">
        <f>_xlfn.XLOOKUP(transakcje[[#This Row],[podkategoria]],parametr[podkategoria],parametr[kategoria])</f>
        <v>życie</v>
      </c>
      <c r="H272" t="str">
        <f>_xlfn.XLOOKUP(transakcje[[#This Row],[kategoria]],parametr[kategoria],parametr[typ])</f>
        <v>wydatki</v>
      </c>
      <c r="I272" s="1">
        <f>ABS(transakcje[[#This Row],[kwota]])</f>
        <v>12.122</v>
      </c>
    </row>
    <row r="273" spans="1:9" x14ac:dyDescent="0.3">
      <c r="A273">
        <v>272</v>
      </c>
      <c r="B273">
        <v>2011</v>
      </c>
      <c r="C273">
        <v>2</v>
      </c>
      <c r="D273">
        <v>28</v>
      </c>
      <c r="E273" s="1">
        <v>1.6E-2</v>
      </c>
      <c r="F273" t="s">
        <v>17</v>
      </c>
      <c r="G273" t="str">
        <f>_xlfn.XLOOKUP(transakcje[[#This Row],[podkategoria]],parametr[podkategoria],parametr[kategoria])</f>
        <v>dochody pozostałe</v>
      </c>
      <c r="H273" t="str">
        <f>_xlfn.XLOOKUP(transakcje[[#This Row],[kategoria]],parametr[kategoria],parametr[typ])</f>
        <v>dochody</v>
      </c>
      <c r="I273" s="1">
        <f>ABS(transakcje[[#This Row],[kwota]])</f>
        <v>1.6E-2</v>
      </c>
    </row>
    <row r="274" spans="1:9" x14ac:dyDescent="0.3">
      <c r="A274">
        <v>273</v>
      </c>
      <c r="B274">
        <v>2011</v>
      </c>
      <c r="C274">
        <v>2</v>
      </c>
      <c r="D274">
        <v>28</v>
      </c>
      <c r="E274" s="1">
        <v>-1.198</v>
      </c>
      <c r="F274" t="s">
        <v>14</v>
      </c>
      <c r="G274" t="str">
        <f>_xlfn.XLOOKUP(transakcje[[#This Row],[podkategoria]],parametr[podkategoria],parametr[kategoria])</f>
        <v>opłaty stałe</v>
      </c>
      <c r="H274" t="str">
        <f>_xlfn.XLOOKUP(transakcje[[#This Row],[kategoria]],parametr[kategoria],parametr[typ])</f>
        <v>wydatki</v>
      </c>
      <c r="I274" s="1">
        <f>ABS(transakcje[[#This Row],[kwota]])</f>
        <v>1.198</v>
      </c>
    </row>
    <row r="275" spans="1:9" x14ac:dyDescent="0.3">
      <c r="A275">
        <v>274</v>
      </c>
      <c r="B275">
        <v>2011</v>
      </c>
      <c r="C275">
        <v>2</v>
      </c>
      <c r="D275">
        <v>28</v>
      </c>
      <c r="E275" s="1">
        <v>-0.7</v>
      </c>
      <c r="F275" t="s">
        <v>14</v>
      </c>
      <c r="G275" t="str">
        <f>_xlfn.XLOOKUP(transakcje[[#This Row],[podkategoria]],parametr[podkategoria],parametr[kategoria])</f>
        <v>opłaty stałe</v>
      </c>
      <c r="H275" t="str">
        <f>_xlfn.XLOOKUP(transakcje[[#This Row],[kategoria]],parametr[kategoria],parametr[typ])</f>
        <v>wydatki</v>
      </c>
      <c r="I275" s="1">
        <f>ABS(transakcje[[#This Row],[kwota]])</f>
        <v>0.7</v>
      </c>
    </row>
    <row r="276" spans="1:9" x14ac:dyDescent="0.3">
      <c r="A276">
        <v>275</v>
      </c>
      <c r="B276">
        <v>2011</v>
      </c>
      <c r="C276">
        <v>3</v>
      </c>
      <c r="D276">
        <v>3</v>
      </c>
      <c r="E276" s="1">
        <v>-33.660000000000004</v>
      </c>
      <c r="F276" t="s">
        <v>33</v>
      </c>
      <c r="G276" t="str">
        <f>_xlfn.XLOOKUP(transakcje[[#This Row],[podkategoria]],parametr[podkategoria],parametr[kategoria])</f>
        <v>trwałe</v>
      </c>
      <c r="H276" t="str">
        <f>_xlfn.XLOOKUP(transakcje[[#This Row],[kategoria]],parametr[kategoria],parametr[typ])</f>
        <v>wydatki</v>
      </c>
      <c r="I276" s="1">
        <f>ABS(transakcje[[#This Row],[kwota]])</f>
        <v>33.660000000000004</v>
      </c>
    </row>
    <row r="277" spans="1:9" x14ac:dyDescent="0.3">
      <c r="A277">
        <v>276</v>
      </c>
      <c r="B277">
        <v>2011</v>
      </c>
      <c r="C277">
        <v>3</v>
      </c>
      <c r="D277">
        <v>3</v>
      </c>
      <c r="E277" s="1">
        <v>-19.077999999999999</v>
      </c>
      <c r="F277" t="s">
        <v>34</v>
      </c>
      <c r="G277" t="str">
        <f>_xlfn.XLOOKUP(transakcje[[#This Row],[podkategoria]],parametr[podkategoria],parametr[kategoria])</f>
        <v>opłaty stałe</v>
      </c>
      <c r="H277" t="str">
        <f>_xlfn.XLOOKUP(transakcje[[#This Row],[kategoria]],parametr[kategoria],parametr[typ])</f>
        <v>wydatki</v>
      </c>
      <c r="I277" s="1">
        <f>ABS(transakcje[[#This Row],[kwota]])</f>
        <v>19.077999999999999</v>
      </c>
    </row>
    <row r="278" spans="1:9" x14ac:dyDescent="0.3">
      <c r="A278">
        <v>277</v>
      </c>
      <c r="B278">
        <v>2011</v>
      </c>
      <c r="C278">
        <v>3</v>
      </c>
      <c r="D278">
        <v>3</v>
      </c>
      <c r="E278" s="1">
        <v>-8.0659999999999989</v>
      </c>
      <c r="F278" t="s">
        <v>25</v>
      </c>
      <c r="G278" t="str">
        <f>_xlfn.XLOOKUP(transakcje[[#This Row],[podkategoria]],parametr[podkategoria],parametr[kategoria])</f>
        <v>opłaty stałe</v>
      </c>
      <c r="H278" t="str">
        <f>_xlfn.XLOOKUP(transakcje[[#This Row],[kategoria]],parametr[kategoria],parametr[typ])</f>
        <v>wydatki</v>
      </c>
      <c r="I278" s="1">
        <f>ABS(transakcje[[#This Row],[kwota]])</f>
        <v>8.0659999999999989</v>
      </c>
    </row>
    <row r="279" spans="1:9" x14ac:dyDescent="0.3">
      <c r="A279">
        <v>278</v>
      </c>
      <c r="B279">
        <v>2011</v>
      </c>
      <c r="C279">
        <v>3</v>
      </c>
      <c r="D279">
        <v>3</v>
      </c>
      <c r="E279" s="1">
        <v>-7.69</v>
      </c>
      <c r="F279" t="s">
        <v>26</v>
      </c>
      <c r="G279" t="str">
        <f>_xlfn.XLOOKUP(transakcje[[#This Row],[podkategoria]],parametr[podkategoria],parametr[kategoria])</f>
        <v>życie</v>
      </c>
      <c r="H279" t="str">
        <f>_xlfn.XLOOKUP(transakcje[[#This Row],[kategoria]],parametr[kategoria],parametr[typ])</f>
        <v>wydatki</v>
      </c>
      <c r="I279" s="1">
        <f>ABS(transakcje[[#This Row],[kwota]])</f>
        <v>7.69</v>
      </c>
    </row>
    <row r="280" spans="1:9" x14ac:dyDescent="0.3">
      <c r="A280">
        <v>279</v>
      </c>
      <c r="B280">
        <v>2011</v>
      </c>
      <c r="C280">
        <v>3</v>
      </c>
      <c r="D280">
        <v>7</v>
      </c>
      <c r="E280" s="1">
        <v>-61.958000000000006</v>
      </c>
      <c r="F280" t="s">
        <v>31</v>
      </c>
      <c r="G280" t="str">
        <f>_xlfn.XLOOKUP(transakcje[[#This Row],[podkategoria]],parametr[podkategoria],parametr[kategoria])</f>
        <v>opłaty stałe</v>
      </c>
      <c r="H280" t="str">
        <f>_xlfn.XLOOKUP(transakcje[[#This Row],[kategoria]],parametr[kategoria],parametr[typ])</f>
        <v>wydatki</v>
      </c>
      <c r="I280" s="1">
        <f>ABS(transakcje[[#This Row],[kwota]])</f>
        <v>61.958000000000006</v>
      </c>
    </row>
    <row r="281" spans="1:9" x14ac:dyDescent="0.3">
      <c r="A281">
        <v>280</v>
      </c>
      <c r="B281">
        <v>2011</v>
      </c>
      <c r="C281">
        <v>3</v>
      </c>
      <c r="D281">
        <v>7</v>
      </c>
      <c r="E281" s="1">
        <v>-9.76</v>
      </c>
      <c r="F281" t="s">
        <v>23</v>
      </c>
      <c r="G281" t="str">
        <f>_xlfn.XLOOKUP(transakcje[[#This Row],[podkategoria]],parametr[podkategoria],parametr[kategoria])</f>
        <v>opłaty stałe</v>
      </c>
      <c r="H281" t="str">
        <f>_xlfn.XLOOKUP(transakcje[[#This Row],[kategoria]],parametr[kategoria],parametr[typ])</f>
        <v>wydatki</v>
      </c>
      <c r="I281" s="1">
        <f>ABS(transakcje[[#This Row],[kwota]])</f>
        <v>9.76</v>
      </c>
    </row>
    <row r="282" spans="1:9" x14ac:dyDescent="0.3">
      <c r="A282">
        <v>281</v>
      </c>
      <c r="B282">
        <v>2011</v>
      </c>
      <c r="C282">
        <v>3</v>
      </c>
      <c r="D282">
        <v>7</v>
      </c>
      <c r="E282" s="1">
        <v>-2.96</v>
      </c>
      <c r="F282" t="s">
        <v>26</v>
      </c>
      <c r="G282" t="str">
        <f>_xlfn.XLOOKUP(transakcje[[#This Row],[podkategoria]],parametr[podkategoria],parametr[kategoria])</f>
        <v>życie</v>
      </c>
      <c r="H282" t="str">
        <f>_xlfn.XLOOKUP(transakcje[[#This Row],[kategoria]],parametr[kategoria],parametr[typ])</f>
        <v>wydatki</v>
      </c>
      <c r="I282" s="1">
        <f>ABS(transakcje[[#This Row],[kwota]])</f>
        <v>2.96</v>
      </c>
    </row>
    <row r="283" spans="1:9" x14ac:dyDescent="0.3">
      <c r="A283">
        <v>282</v>
      </c>
      <c r="B283">
        <v>2011</v>
      </c>
      <c r="C283">
        <v>3</v>
      </c>
      <c r="D283">
        <v>11</v>
      </c>
      <c r="E283" s="1">
        <v>-6.2460000000000004</v>
      </c>
      <c r="F283" t="s">
        <v>35</v>
      </c>
      <c r="G283" t="str">
        <f>_xlfn.XLOOKUP(transakcje[[#This Row],[podkategoria]],parametr[podkategoria],parametr[kategoria])</f>
        <v>opłaty stałe</v>
      </c>
      <c r="H283" t="str">
        <f>_xlfn.XLOOKUP(transakcje[[#This Row],[kategoria]],parametr[kategoria],parametr[typ])</f>
        <v>wydatki</v>
      </c>
      <c r="I283" s="1">
        <f>ABS(transakcje[[#This Row],[kwota]])</f>
        <v>6.2460000000000004</v>
      </c>
    </row>
    <row r="284" spans="1:9" x14ac:dyDescent="0.3">
      <c r="A284">
        <v>283</v>
      </c>
      <c r="B284">
        <v>2011</v>
      </c>
      <c r="C284">
        <v>3</v>
      </c>
      <c r="D284">
        <v>11</v>
      </c>
      <c r="E284" s="1">
        <v>-2.5979999999999999</v>
      </c>
      <c r="F284" t="s">
        <v>26</v>
      </c>
      <c r="G284" t="str">
        <f>_xlfn.XLOOKUP(transakcje[[#This Row],[podkategoria]],parametr[podkategoria],parametr[kategoria])</f>
        <v>życie</v>
      </c>
      <c r="H284" t="str">
        <f>_xlfn.XLOOKUP(transakcje[[#This Row],[kategoria]],parametr[kategoria],parametr[typ])</f>
        <v>wydatki</v>
      </c>
      <c r="I284" s="1">
        <f>ABS(transakcje[[#This Row],[kwota]])</f>
        <v>2.5979999999999999</v>
      </c>
    </row>
    <row r="285" spans="1:9" x14ac:dyDescent="0.3">
      <c r="A285">
        <v>284</v>
      </c>
      <c r="B285">
        <v>2011</v>
      </c>
      <c r="C285">
        <v>3</v>
      </c>
      <c r="D285">
        <v>15</v>
      </c>
      <c r="E285" s="1">
        <v>-1.1960000000000002</v>
      </c>
      <c r="F285" t="s">
        <v>14</v>
      </c>
      <c r="G285" t="str">
        <f>_xlfn.XLOOKUP(transakcje[[#This Row],[podkategoria]],parametr[podkategoria],parametr[kategoria])</f>
        <v>opłaty stałe</v>
      </c>
      <c r="H285" t="str">
        <f>_xlfn.XLOOKUP(transakcje[[#This Row],[kategoria]],parametr[kategoria],parametr[typ])</f>
        <v>wydatki</v>
      </c>
      <c r="I285" s="1">
        <f>ABS(transakcje[[#This Row],[kwota]])</f>
        <v>1.1960000000000002</v>
      </c>
    </row>
    <row r="286" spans="1:9" x14ac:dyDescent="0.3">
      <c r="A286">
        <v>285</v>
      </c>
      <c r="B286">
        <v>2011</v>
      </c>
      <c r="C286">
        <v>3</v>
      </c>
      <c r="D286">
        <v>17</v>
      </c>
      <c r="E286" s="1">
        <v>-0.39800000000000002</v>
      </c>
      <c r="F286" t="s">
        <v>14</v>
      </c>
      <c r="G286" t="str">
        <f>_xlfn.XLOOKUP(transakcje[[#This Row],[podkategoria]],parametr[podkategoria],parametr[kategoria])</f>
        <v>opłaty stałe</v>
      </c>
      <c r="H286" t="str">
        <f>_xlfn.XLOOKUP(transakcje[[#This Row],[kategoria]],parametr[kategoria],parametr[typ])</f>
        <v>wydatki</v>
      </c>
      <c r="I286" s="1">
        <f>ABS(transakcje[[#This Row],[kwota]])</f>
        <v>0.39800000000000002</v>
      </c>
    </row>
    <row r="287" spans="1:9" x14ac:dyDescent="0.3">
      <c r="A287">
        <v>286</v>
      </c>
      <c r="B287">
        <v>2011</v>
      </c>
      <c r="C287">
        <v>3</v>
      </c>
      <c r="D287">
        <v>18</v>
      </c>
      <c r="E287" s="1">
        <v>-5.9859999999999998</v>
      </c>
      <c r="F287" t="s">
        <v>26</v>
      </c>
      <c r="G287" t="str">
        <f>_xlfn.XLOOKUP(transakcje[[#This Row],[podkategoria]],parametr[podkategoria],parametr[kategoria])</f>
        <v>życie</v>
      </c>
      <c r="H287" t="str">
        <f>_xlfn.XLOOKUP(transakcje[[#This Row],[kategoria]],parametr[kategoria],parametr[typ])</f>
        <v>wydatki</v>
      </c>
      <c r="I287" s="1">
        <f>ABS(transakcje[[#This Row],[kwota]])</f>
        <v>5.9859999999999998</v>
      </c>
    </row>
    <row r="288" spans="1:9" x14ac:dyDescent="0.3">
      <c r="A288">
        <v>287</v>
      </c>
      <c r="B288">
        <v>2011</v>
      </c>
      <c r="C288">
        <v>3</v>
      </c>
      <c r="D288">
        <v>24</v>
      </c>
      <c r="E288" s="1">
        <v>-16.2</v>
      </c>
      <c r="F288" t="s">
        <v>32</v>
      </c>
      <c r="G288" t="str">
        <f>_xlfn.XLOOKUP(transakcje[[#This Row],[podkategoria]],parametr[podkategoria],parametr[kategoria])</f>
        <v>opłaty stałe</v>
      </c>
      <c r="H288" t="str">
        <f>_xlfn.XLOOKUP(transakcje[[#This Row],[kategoria]],parametr[kategoria],parametr[typ])</f>
        <v>wydatki</v>
      </c>
      <c r="I288" s="1">
        <f>ABS(transakcje[[#This Row],[kwota]])</f>
        <v>16.2</v>
      </c>
    </row>
    <row r="289" spans="1:9" x14ac:dyDescent="0.3">
      <c r="A289">
        <v>288</v>
      </c>
      <c r="B289">
        <v>2011</v>
      </c>
      <c r="C289">
        <v>3</v>
      </c>
      <c r="D289">
        <v>24</v>
      </c>
      <c r="E289" s="1">
        <v>-16.46</v>
      </c>
      <c r="F289" t="s">
        <v>26</v>
      </c>
      <c r="G289" t="str">
        <f>_xlfn.XLOOKUP(transakcje[[#This Row],[podkategoria]],parametr[podkategoria],parametr[kategoria])</f>
        <v>życie</v>
      </c>
      <c r="H289" t="str">
        <f>_xlfn.XLOOKUP(transakcje[[#This Row],[kategoria]],parametr[kategoria],parametr[typ])</f>
        <v>wydatki</v>
      </c>
      <c r="I289" s="1">
        <f>ABS(transakcje[[#This Row],[kwota]])</f>
        <v>16.46</v>
      </c>
    </row>
    <row r="290" spans="1:9" x14ac:dyDescent="0.3">
      <c r="A290">
        <v>289</v>
      </c>
      <c r="B290">
        <v>2011</v>
      </c>
      <c r="C290">
        <v>3</v>
      </c>
      <c r="D290">
        <v>25</v>
      </c>
      <c r="E290" s="1">
        <v>414.03000000000003</v>
      </c>
      <c r="F290" t="s">
        <v>8</v>
      </c>
      <c r="G290" t="str">
        <f>_xlfn.XLOOKUP(transakcje[[#This Row],[podkategoria]],parametr[podkategoria],parametr[kategoria])</f>
        <v>dochody z pracy</v>
      </c>
      <c r="H290" t="str">
        <f>_xlfn.XLOOKUP(transakcje[[#This Row],[kategoria]],parametr[kategoria],parametr[typ])</f>
        <v>dochody</v>
      </c>
      <c r="I290" s="1">
        <f>ABS(transakcje[[#This Row],[kwota]])</f>
        <v>414.03000000000003</v>
      </c>
    </row>
    <row r="291" spans="1:9" x14ac:dyDescent="0.3">
      <c r="A291">
        <v>290</v>
      </c>
      <c r="B291">
        <v>2011</v>
      </c>
      <c r="C291">
        <v>3</v>
      </c>
      <c r="D291">
        <v>31</v>
      </c>
      <c r="E291" s="1">
        <v>2E-3</v>
      </c>
      <c r="F291" t="s">
        <v>17</v>
      </c>
      <c r="G291" t="str">
        <f>_xlfn.XLOOKUP(transakcje[[#This Row],[podkategoria]],parametr[podkategoria],parametr[kategoria])</f>
        <v>dochody pozostałe</v>
      </c>
      <c r="H291" t="str">
        <f>_xlfn.XLOOKUP(transakcje[[#This Row],[kategoria]],parametr[kategoria],parametr[typ])</f>
        <v>dochody</v>
      </c>
      <c r="I291" s="1">
        <f>ABS(transakcje[[#This Row],[kwota]])</f>
        <v>2E-3</v>
      </c>
    </row>
    <row r="292" spans="1:9" x14ac:dyDescent="0.3">
      <c r="A292">
        <v>291</v>
      </c>
      <c r="B292">
        <v>2011</v>
      </c>
      <c r="C292">
        <v>3</v>
      </c>
      <c r="D292">
        <v>31</v>
      </c>
      <c r="E292" s="1">
        <v>-1.198</v>
      </c>
      <c r="F292" t="s">
        <v>14</v>
      </c>
      <c r="G292" t="str">
        <f>_xlfn.XLOOKUP(transakcje[[#This Row],[podkategoria]],parametr[podkategoria],parametr[kategoria])</f>
        <v>opłaty stałe</v>
      </c>
      <c r="H292" t="str">
        <f>_xlfn.XLOOKUP(transakcje[[#This Row],[kategoria]],parametr[kategoria],parametr[typ])</f>
        <v>wydatki</v>
      </c>
      <c r="I292" s="1">
        <f>ABS(transakcje[[#This Row],[kwota]])</f>
        <v>1.198</v>
      </c>
    </row>
    <row r="293" spans="1:9" x14ac:dyDescent="0.3">
      <c r="A293">
        <v>292</v>
      </c>
      <c r="B293">
        <v>2011</v>
      </c>
      <c r="C293">
        <v>3</v>
      </c>
      <c r="D293">
        <v>31</v>
      </c>
      <c r="E293" s="1">
        <v>-0.7</v>
      </c>
      <c r="F293" t="s">
        <v>14</v>
      </c>
      <c r="G293" t="str">
        <f>_xlfn.XLOOKUP(transakcje[[#This Row],[podkategoria]],parametr[podkategoria],parametr[kategoria])</f>
        <v>opłaty stałe</v>
      </c>
      <c r="H293" t="str">
        <f>_xlfn.XLOOKUP(transakcje[[#This Row],[kategoria]],parametr[kategoria],parametr[typ])</f>
        <v>wydatki</v>
      </c>
      <c r="I293" s="1">
        <f>ABS(transakcje[[#This Row],[kwota]])</f>
        <v>0.7</v>
      </c>
    </row>
    <row r="294" spans="1:9" x14ac:dyDescent="0.3">
      <c r="A294">
        <v>293</v>
      </c>
      <c r="B294">
        <v>2011</v>
      </c>
      <c r="C294">
        <v>4</v>
      </c>
      <c r="D294">
        <v>1</v>
      </c>
      <c r="E294" s="1">
        <v>-9.782</v>
      </c>
      <c r="F294" t="s">
        <v>26</v>
      </c>
      <c r="G294" t="str">
        <f>_xlfn.XLOOKUP(transakcje[[#This Row],[podkategoria]],parametr[podkategoria],parametr[kategoria])</f>
        <v>życie</v>
      </c>
      <c r="H294" t="str">
        <f>_xlfn.XLOOKUP(transakcje[[#This Row],[kategoria]],parametr[kategoria],parametr[typ])</f>
        <v>wydatki</v>
      </c>
      <c r="I294" s="1">
        <f>ABS(transakcje[[#This Row],[kwota]])</f>
        <v>9.782</v>
      </c>
    </row>
    <row r="295" spans="1:9" x14ac:dyDescent="0.3">
      <c r="A295">
        <v>294</v>
      </c>
      <c r="B295">
        <v>2011</v>
      </c>
      <c r="C295">
        <v>4</v>
      </c>
      <c r="D295">
        <v>2</v>
      </c>
      <c r="E295" s="1">
        <v>2.9340000000000002</v>
      </c>
      <c r="F295" t="s">
        <v>17</v>
      </c>
      <c r="G295" t="str">
        <f>_xlfn.XLOOKUP(transakcje[[#This Row],[podkategoria]],parametr[podkategoria],parametr[kategoria])</f>
        <v>dochody pozostałe</v>
      </c>
      <c r="H295" t="str">
        <f>_xlfn.XLOOKUP(transakcje[[#This Row],[kategoria]],parametr[kategoria],parametr[typ])</f>
        <v>dochody</v>
      </c>
      <c r="I295" s="1">
        <f>ABS(transakcje[[#This Row],[kwota]])</f>
        <v>2.9340000000000002</v>
      </c>
    </row>
    <row r="296" spans="1:9" x14ac:dyDescent="0.3">
      <c r="A296">
        <v>295</v>
      </c>
      <c r="B296">
        <v>2011</v>
      </c>
      <c r="C296">
        <v>4</v>
      </c>
      <c r="D296">
        <v>2</v>
      </c>
      <c r="E296" s="1">
        <v>-33.660000000000004</v>
      </c>
      <c r="F296" t="s">
        <v>33</v>
      </c>
      <c r="G296" t="str">
        <f>_xlfn.XLOOKUP(transakcje[[#This Row],[podkategoria]],parametr[podkategoria],parametr[kategoria])</f>
        <v>trwałe</v>
      </c>
      <c r="H296" t="str">
        <f>_xlfn.XLOOKUP(transakcje[[#This Row],[kategoria]],parametr[kategoria],parametr[typ])</f>
        <v>wydatki</v>
      </c>
      <c r="I296" s="1">
        <f>ABS(transakcje[[#This Row],[kwota]])</f>
        <v>33.660000000000004</v>
      </c>
    </row>
    <row r="297" spans="1:9" x14ac:dyDescent="0.3">
      <c r="A297">
        <v>296</v>
      </c>
      <c r="B297">
        <v>2011</v>
      </c>
      <c r="C297">
        <v>4</v>
      </c>
      <c r="D297">
        <v>2</v>
      </c>
      <c r="E297" s="1">
        <v>-62.967999999999996</v>
      </c>
      <c r="F297" t="s">
        <v>31</v>
      </c>
      <c r="G297" t="str">
        <f>_xlfn.XLOOKUP(transakcje[[#This Row],[podkategoria]],parametr[podkategoria],parametr[kategoria])</f>
        <v>opłaty stałe</v>
      </c>
      <c r="H297" t="str">
        <f>_xlfn.XLOOKUP(transakcje[[#This Row],[kategoria]],parametr[kategoria],parametr[typ])</f>
        <v>wydatki</v>
      </c>
      <c r="I297" s="1">
        <f>ABS(transakcje[[#This Row],[kwota]])</f>
        <v>62.967999999999996</v>
      </c>
    </row>
    <row r="298" spans="1:9" x14ac:dyDescent="0.3">
      <c r="A298">
        <v>297</v>
      </c>
      <c r="B298">
        <v>2011</v>
      </c>
      <c r="C298">
        <v>4</v>
      </c>
      <c r="D298">
        <v>2</v>
      </c>
      <c r="E298" s="1">
        <v>-10.959999999999999</v>
      </c>
      <c r="F298" t="s">
        <v>25</v>
      </c>
      <c r="G298" t="str">
        <f>_xlfn.XLOOKUP(transakcje[[#This Row],[podkategoria]],parametr[podkategoria],parametr[kategoria])</f>
        <v>opłaty stałe</v>
      </c>
      <c r="H298" t="str">
        <f>_xlfn.XLOOKUP(transakcje[[#This Row],[kategoria]],parametr[kategoria],parametr[typ])</f>
        <v>wydatki</v>
      </c>
      <c r="I298" s="1">
        <f>ABS(transakcje[[#This Row],[kwota]])</f>
        <v>10.959999999999999</v>
      </c>
    </row>
    <row r="299" spans="1:9" x14ac:dyDescent="0.3">
      <c r="A299">
        <v>298</v>
      </c>
      <c r="B299">
        <v>2011</v>
      </c>
      <c r="C299">
        <v>4</v>
      </c>
      <c r="D299">
        <v>5</v>
      </c>
      <c r="E299" s="1">
        <v>-5.4399999999999995</v>
      </c>
      <c r="F299" t="s">
        <v>26</v>
      </c>
      <c r="G299" t="str">
        <f>_xlfn.XLOOKUP(transakcje[[#This Row],[podkategoria]],parametr[podkategoria],parametr[kategoria])</f>
        <v>życie</v>
      </c>
      <c r="H299" t="str">
        <f>_xlfn.XLOOKUP(transakcje[[#This Row],[kategoria]],parametr[kategoria],parametr[typ])</f>
        <v>wydatki</v>
      </c>
      <c r="I299" s="1">
        <f>ABS(transakcje[[#This Row],[kwota]])</f>
        <v>5.4399999999999995</v>
      </c>
    </row>
    <row r="300" spans="1:9" x14ac:dyDescent="0.3">
      <c r="A300">
        <v>299</v>
      </c>
      <c r="B300">
        <v>2011</v>
      </c>
      <c r="C300">
        <v>4</v>
      </c>
      <c r="D300">
        <v>6</v>
      </c>
      <c r="E300" s="1">
        <v>-9.7200000000000006</v>
      </c>
      <c r="F300" t="s">
        <v>23</v>
      </c>
      <c r="G300" t="str">
        <f>_xlfn.XLOOKUP(transakcje[[#This Row],[podkategoria]],parametr[podkategoria],parametr[kategoria])</f>
        <v>opłaty stałe</v>
      </c>
      <c r="H300" t="str">
        <f>_xlfn.XLOOKUP(transakcje[[#This Row],[kategoria]],parametr[kategoria],parametr[typ])</f>
        <v>wydatki</v>
      </c>
      <c r="I300" s="1">
        <f>ABS(transakcje[[#This Row],[kwota]])</f>
        <v>9.7200000000000006</v>
      </c>
    </row>
    <row r="301" spans="1:9" x14ac:dyDescent="0.3">
      <c r="A301">
        <v>300</v>
      </c>
      <c r="B301">
        <v>2011</v>
      </c>
      <c r="C301">
        <v>4</v>
      </c>
      <c r="D301">
        <v>8</v>
      </c>
      <c r="E301" s="1">
        <v>-8.4540000000000006</v>
      </c>
      <c r="F301" t="s">
        <v>26</v>
      </c>
      <c r="G301" t="str">
        <f>_xlfn.XLOOKUP(transakcje[[#This Row],[podkategoria]],parametr[podkategoria],parametr[kategoria])</f>
        <v>życie</v>
      </c>
      <c r="H301" t="str">
        <f>_xlfn.XLOOKUP(transakcje[[#This Row],[kategoria]],parametr[kategoria],parametr[typ])</f>
        <v>wydatki</v>
      </c>
      <c r="I301" s="1">
        <f>ABS(transakcje[[#This Row],[kwota]])</f>
        <v>8.4540000000000006</v>
      </c>
    </row>
    <row r="302" spans="1:9" x14ac:dyDescent="0.3">
      <c r="A302">
        <v>301</v>
      </c>
      <c r="B302">
        <v>2011</v>
      </c>
      <c r="C302">
        <v>4</v>
      </c>
      <c r="D302">
        <v>12</v>
      </c>
      <c r="E302" s="1">
        <v>-11.8</v>
      </c>
      <c r="F302" t="s">
        <v>24</v>
      </c>
      <c r="G302" t="str">
        <f>_xlfn.XLOOKUP(transakcje[[#This Row],[podkategoria]],parametr[podkategoria],parametr[kategoria])</f>
        <v>trwałe</v>
      </c>
      <c r="H302" t="str">
        <f>_xlfn.XLOOKUP(transakcje[[#This Row],[kategoria]],parametr[kategoria],parametr[typ])</f>
        <v>wydatki</v>
      </c>
      <c r="I302" s="1">
        <f>ABS(transakcje[[#This Row],[kwota]])</f>
        <v>11.8</v>
      </c>
    </row>
    <row r="303" spans="1:9" x14ac:dyDescent="0.3">
      <c r="A303">
        <v>302</v>
      </c>
      <c r="B303">
        <v>2011</v>
      </c>
      <c r="C303">
        <v>4</v>
      </c>
      <c r="D303">
        <v>13</v>
      </c>
      <c r="E303" s="1">
        <v>-64.8</v>
      </c>
      <c r="F303" t="s">
        <v>32</v>
      </c>
      <c r="G303" t="str">
        <f>_xlfn.XLOOKUP(transakcje[[#This Row],[podkategoria]],parametr[podkategoria],parametr[kategoria])</f>
        <v>opłaty stałe</v>
      </c>
      <c r="H303" t="str">
        <f>_xlfn.XLOOKUP(transakcje[[#This Row],[kategoria]],parametr[kategoria],parametr[typ])</f>
        <v>wydatki</v>
      </c>
      <c r="I303" s="1">
        <f>ABS(transakcje[[#This Row],[kwota]])</f>
        <v>64.8</v>
      </c>
    </row>
    <row r="304" spans="1:9" x14ac:dyDescent="0.3">
      <c r="A304">
        <v>303</v>
      </c>
      <c r="B304">
        <v>2011</v>
      </c>
      <c r="C304">
        <v>4</v>
      </c>
      <c r="D304">
        <v>15</v>
      </c>
      <c r="E304" s="1">
        <v>-1.1960000000000002</v>
      </c>
      <c r="F304" t="s">
        <v>14</v>
      </c>
      <c r="G304" t="str">
        <f>_xlfn.XLOOKUP(transakcje[[#This Row],[podkategoria]],parametr[podkategoria],parametr[kategoria])</f>
        <v>opłaty stałe</v>
      </c>
      <c r="H304" t="str">
        <f>_xlfn.XLOOKUP(transakcje[[#This Row],[kategoria]],parametr[kategoria],parametr[typ])</f>
        <v>wydatki</v>
      </c>
      <c r="I304" s="1">
        <f>ABS(transakcje[[#This Row],[kwota]])</f>
        <v>1.1960000000000002</v>
      </c>
    </row>
    <row r="305" spans="1:9" x14ac:dyDescent="0.3">
      <c r="A305">
        <v>304</v>
      </c>
      <c r="B305">
        <v>2011</v>
      </c>
      <c r="C305">
        <v>4</v>
      </c>
      <c r="D305">
        <v>16</v>
      </c>
      <c r="E305" s="1">
        <v>-1.984</v>
      </c>
      <c r="F305" t="s">
        <v>26</v>
      </c>
      <c r="G305" t="str">
        <f>_xlfn.XLOOKUP(transakcje[[#This Row],[podkategoria]],parametr[podkategoria],parametr[kategoria])</f>
        <v>życie</v>
      </c>
      <c r="H305" t="str">
        <f>_xlfn.XLOOKUP(transakcje[[#This Row],[kategoria]],parametr[kategoria],parametr[typ])</f>
        <v>wydatki</v>
      </c>
      <c r="I305" s="1">
        <f>ABS(transakcje[[#This Row],[kwota]])</f>
        <v>1.984</v>
      </c>
    </row>
    <row r="306" spans="1:9" x14ac:dyDescent="0.3">
      <c r="A306">
        <v>305</v>
      </c>
      <c r="B306">
        <v>2011</v>
      </c>
      <c r="C306">
        <v>4</v>
      </c>
      <c r="D306">
        <v>20</v>
      </c>
      <c r="E306" s="1">
        <v>-0.39800000000000002</v>
      </c>
      <c r="F306" t="s">
        <v>14</v>
      </c>
      <c r="G306" t="str">
        <f>_xlfn.XLOOKUP(transakcje[[#This Row],[podkategoria]],parametr[podkategoria],parametr[kategoria])</f>
        <v>opłaty stałe</v>
      </c>
      <c r="H306" t="str">
        <f>_xlfn.XLOOKUP(transakcje[[#This Row],[kategoria]],parametr[kategoria],parametr[typ])</f>
        <v>wydatki</v>
      </c>
      <c r="I306" s="1">
        <f>ABS(transakcje[[#This Row],[kwota]])</f>
        <v>0.39800000000000002</v>
      </c>
    </row>
    <row r="307" spans="1:9" x14ac:dyDescent="0.3">
      <c r="A307">
        <v>306</v>
      </c>
      <c r="B307">
        <v>2011</v>
      </c>
      <c r="C307">
        <v>4</v>
      </c>
      <c r="D307">
        <v>26</v>
      </c>
      <c r="E307" s="1">
        <v>414.03000000000003</v>
      </c>
      <c r="F307" t="s">
        <v>8</v>
      </c>
      <c r="G307" t="str">
        <f>_xlfn.XLOOKUP(transakcje[[#This Row],[podkategoria]],parametr[podkategoria],parametr[kategoria])</f>
        <v>dochody z pracy</v>
      </c>
      <c r="H307" t="str">
        <f>_xlfn.XLOOKUP(transakcje[[#This Row],[kategoria]],parametr[kategoria],parametr[typ])</f>
        <v>dochody</v>
      </c>
      <c r="I307" s="1">
        <f>ABS(transakcje[[#This Row],[kwota]])</f>
        <v>414.03000000000003</v>
      </c>
    </row>
    <row r="308" spans="1:9" x14ac:dyDescent="0.3">
      <c r="A308">
        <v>307</v>
      </c>
      <c r="B308">
        <v>2011</v>
      </c>
      <c r="C308">
        <v>4</v>
      </c>
      <c r="D308">
        <v>29</v>
      </c>
      <c r="E308" s="1">
        <v>-31.4</v>
      </c>
      <c r="F308" t="s">
        <v>26</v>
      </c>
      <c r="G308" t="str">
        <f>_xlfn.XLOOKUP(transakcje[[#This Row],[podkategoria]],parametr[podkategoria],parametr[kategoria])</f>
        <v>życie</v>
      </c>
      <c r="H308" t="str">
        <f>_xlfn.XLOOKUP(transakcje[[#This Row],[kategoria]],parametr[kategoria],parametr[typ])</f>
        <v>wydatki</v>
      </c>
      <c r="I308" s="1">
        <f>ABS(transakcje[[#This Row],[kwota]])</f>
        <v>31.4</v>
      </c>
    </row>
    <row r="309" spans="1:9" x14ac:dyDescent="0.3">
      <c r="A309">
        <v>308</v>
      </c>
      <c r="B309">
        <v>2011</v>
      </c>
      <c r="C309">
        <v>4</v>
      </c>
      <c r="D309">
        <v>30</v>
      </c>
      <c r="E309" s="1">
        <v>-108.78</v>
      </c>
      <c r="F309" t="s">
        <v>24</v>
      </c>
      <c r="G309" t="str">
        <f>_xlfn.XLOOKUP(transakcje[[#This Row],[podkategoria]],parametr[podkategoria],parametr[kategoria])</f>
        <v>trwałe</v>
      </c>
      <c r="H309" t="str">
        <f>_xlfn.XLOOKUP(transakcje[[#This Row],[kategoria]],parametr[kategoria],parametr[typ])</f>
        <v>wydatki</v>
      </c>
      <c r="I309" s="1">
        <f>ABS(transakcje[[#This Row],[kwota]])</f>
        <v>108.78</v>
      </c>
    </row>
    <row r="310" spans="1:9" x14ac:dyDescent="0.3">
      <c r="A310">
        <v>309</v>
      </c>
      <c r="B310">
        <v>2011</v>
      </c>
      <c r="C310">
        <v>4</v>
      </c>
      <c r="D310">
        <v>30</v>
      </c>
      <c r="E310" s="1">
        <v>2E-3</v>
      </c>
      <c r="F310" t="s">
        <v>17</v>
      </c>
      <c r="G310" t="str">
        <f>_xlfn.XLOOKUP(transakcje[[#This Row],[podkategoria]],parametr[podkategoria],parametr[kategoria])</f>
        <v>dochody pozostałe</v>
      </c>
      <c r="H310" t="str">
        <f>_xlfn.XLOOKUP(transakcje[[#This Row],[kategoria]],parametr[kategoria],parametr[typ])</f>
        <v>dochody</v>
      </c>
      <c r="I310" s="1">
        <f>ABS(transakcje[[#This Row],[kwota]])</f>
        <v>2E-3</v>
      </c>
    </row>
    <row r="311" spans="1:9" x14ac:dyDescent="0.3">
      <c r="A311">
        <v>310</v>
      </c>
      <c r="B311">
        <v>2011</v>
      </c>
      <c r="C311">
        <v>4</v>
      </c>
      <c r="D311">
        <v>30</v>
      </c>
      <c r="E311" s="1">
        <v>-1.198</v>
      </c>
      <c r="F311" t="s">
        <v>14</v>
      </c>
      <c r="G311" t="str">
        <f>_xlfn.XLOOKUP(transakcje[[#This Row],[podkategoria]],parametr[podkategoria],parametr[kategoria])</f>
        <v>opłaty stałe</v>
      </c>
      <c r="H311" t="str">
        <f>_xlfn.XLOOKUP(transakcje[[#This Row],[kategoria]],parametr[kategoria],parametr[typ])</f>
        <v>wydatki</v>
      </c>
      <c r="I311" s="1">
        <f>ABS(transakcje[[#This Row],[kwota]])</f>
        <v>1.198</v>
      </c>
    </row>
    <row r="312" spans="1:9" x14ac:dyDescent="0.3">
      <c r="A312">
        <v>311</v>
      </c>
      <c r="B312">
        <v>2011</v>
      </c>
      <c r="C312">
        <v>4</v>
      </c>
      <c r="D312">
        <v>30</v>
      </c>
      <c r="E312" s="1">
        <v>-0.4</v>
      </c>
      <c r="F312" t="s">
        <v>14</v>
      </c>
      <c r="G312" t="str">
        <f>_xlfn.XLOOKUP(transakcje[[#This Row],[podkategoria]],parametr[podkategoria],parametr[kategoria])</f>
        <v>opłaty stałe</v>
      </c>
      <c r="H312" t="str">
        <f>_xlfn.XLOOKUP(transakcje[[#This Row],[kategoria]],parametr[kategoria],parametr[typ])</f>
        <v>wydatki</v>
      </c>
      <c r="I312" s="1">
        <f>ABS(transakcje[[#This Row],[kwota]])</f>
        <v>0.4</v>
      </c>
    </row>
    <row r="313" spans="1:9" x14ac:dyDescent="0.3">
      <c r="A313">
        <v>312</v>
      </c>
      <c r="B313">
        <v>2011</v>
      </c>
      <c r="C313">
        <v>5</v>
      </c>
      <c r="D313">
        <v>1</v>
      </c>
      <c r="E313" s="1">
        <v>-62.958000000000006</v>
      </c>
      <c r="F313" t="s">
        <v>31</v>
      </c>
      <c r="G313" t="str">
        <f>_xlfn.XLOOKUP(transakcje[[#This Row],[podkategoria]],parametr[podkategoria],parametr[kategoria])</f>
        <v>opłaty stałe</v>
      </c>
      <c r="H313" t="str">
        <f>_xlfn.XLOOKUP(transakcje[[#This Row],[kategoria]],parametr[kategoria],parametr[typ])</f>
        <v>wydatki</v>
      </c>
      <c r="I313" s="1">
        <f>ABS(transakcje[[#This Row],[kwota]])</f>
        <v>62.958000000000006</v>
      </c>
    </row>
    <row r="314" spans="1:9" x14ac:dyDescent="0.3">
      <c r="A314">
        <v>313</v>
      </c>
      <c r="B314">
        <v>2011</v>
      </c>
      <c r="C314">
        <v>5</v>
      </c>
      <c r="D314">
        <v>1</v>
      </c>
      <c r="E314" s="1">
        <v>-9.7200000000000006</v>
      </c>
      <c r="F314" t="s">
        <v>23</v>
      </c>
      <c r="G314" t="str">
        <f>_xlfn.XLOOKUP(transakcje[[#This Row],[podkategoria]],parametr[podkategoria],parametr[kategoria])</f>
        <v>opłaty stałe</v>
      </c>
      <c r="H314" t="str">
        <f>_xlfn.XLOOKUP(transakcje[[#This Row],[kategoria]],parametr[kategoria],parametr[typ])</f>
        <v>wydatki</v>
      </c>
      <c r="I314" s="1">
        <f>ABS(transakcje[[#This Row],[kwota]])</f>
        <v>9.7200000000000006</v>
      </c>
    </row>
    <row r="315" spans="1:9" x14ac:dyDescent="0.3">
      <c r="A315">
        <v>314</v>
      </c>
      <c r="B315">
        <v>2011</v>
      </c>
      <c r="C315">
        <v>5</v>
      </c>
      <c r="D315">
        <v>1</v>
      </c>
      <c r="E315" s="1">
        <v>-13.65</v>
      </c>
      <c r="F315" t="s">
        <v>34</v>
      </c>
      <c r="G315" t="str">
        <f>_xlfn.XLOOKUP(transakcje[[#This Row],[podkategoria]],parametr[podkategoria],parametr[kategoria])</f>
        <v>opłaty stałe</v>
      </c>
      <c r="H315" t="str">
        <f>_xlfn.XLOOKUP(transakcje[[#This Row],[kategoria]],parametr[kategoria],parametr[typ])</f>
        <v>wydatki</v>
      </c>
      <c r="I315" s="1">
        <f>ABS(transakcje[[#This Row],[kwota]])</f>
        <v>13.65</v>
      </c>
    </row>
    <row r="316" spans="1:9" x14ac:dyDescent="0.3">
      <c r="A316">
        <v>315</v>
      </c>
      <c r="B316">
        <v>2011</v>
      </c>
      <c r="C316">
        <v>5</v>
      </c>
      <c r="D316">
        <v>1</v>
      </c>
      <c r="E316" s="1">
        <v>-8.0659999999999989</v>
      </c>
      <c r="F316" t="s">
        <v>25</v>
      </c>
      <c r="G316" t="str">
        <f>_xlfn.XLOOKUP(transakcje[[#This Row],[podkategoria]],parametr[podkategoria],parametr[kategoria])</f>
        <v>opłaty stałe</v>
      </c>
      <c r="H316" t="str">
        <f>_xlfn.XLOOKUP(transakcje[[#This Row],[kategoria]],parametr[kategoria],parametr[typ])</f>
        <v>wydatki</v>
      </c>
      <c r="I316" s="1">
        <f>ABS(transakcje[[#This Row],[kwota]])</f>
        <v>8.0659999999999989</v>
      </c>
    </row>
    <row r="317" spans="1:9" x14ac:dyDescent="0.3">
      <c r="A317">
        <v>316</v>
      </c>
      <c r="B317">
        <v>2011</v>
      </c>
      <c r="C317">
        <v>5</v>
      </c>
      <c r="D317">
        <v>1</v>
      </c>
      <c r="E317" s="1">
        <v>-46.4</v>
      </c>
      <c r="F317" t="s">
        <v>30</v>
      </c>
      <c r="G317" t="str">
        <f>_xlfn.XLOOKUP(transakcje[[#This Row],[podkategoria]],parametr[podkategoria],parametr[kategoria])</f>
        <v>opłaty stałe</v>
      </c>
      <c r="H317" t="str">
        <f>_xlfn.XLOOKUP(transakcje[[#This Row],[kategoria]],parametr[kategoria],parametr[typ])</f>
        <v>wydatki</v>
      </c>
      <c r="I317" s="1">
        <f>ABS(transakcje[[#This Row],[kwota]])</f>
        <v>46.4</v>
      </c>
    </row>
    <row r="318" spans="1:9" x14ac:dyDescent="0.3">
      <c r="A318">
        <v>317</v>
      </c>
      <c r="B318">
        <v>2011</v>
      </c>
      <c r="C318">
        <v>5</v>
      </c>
      <c r="D318">
        <v>2</v>
      </c>
      <c r="E318" s="1">
        <v>-1.6600000000000001</v>
      </c>
      <c r="F318" t="s">
        <v>26</v>
      </c>
      <c r="G318" t="str">
        <f>_xlfn.XLOOKUP(transakcje[[#This Row],[podkategoria]],parametr[podkategoria],parametr[kategoria])</f>
        <v>życie</v>
      </c>
      <c r="H318" t="str">
        <f>_xlfn.XLOOKUP(transakcje[[#This Row],[kategoria]],parametr[kategoria],parametr[typ])</f>
        <v>wydatki</v>
      </c>
      <c r="I318" s="1">
        <f>ABS(transakcje[[#This Row],[kwota]])</f>
        <v>1.6600000000000001</v>
      </c>
    </row>
    <row r="319" spans="1:9" x14ac:dyDescent="0.3">
      <c r="A319">
        <v>318</v>
      </c>
      <c r="B319">
        <v>2011</v>
      </c>
      <c r="C319">
        <v>5</v>
      </c>
      <c r="D319">
        <v>2</v>
      </c>
      <c r="E319" s="1">
        <v>-23.006</v>
      </c>
      <c r="F319" t="s">
        <v>20</v>
      </c>
      <c r="G319" t="str">
        <f>_xlfn.XLOOKUP(transakcje[[#This Row],[podkategoria]],parametr[podkategoria],parametr[kategoria])</f>
        <v>trwałe</v>
      </c>
      <c r="H319" t="str">
        <f>_xlfn.XLOOKUP(transakcje[[#This Row],[kategoria]],parametr[kategoria],parametr[typ])</f>
        <v>wydatki</v>
      </c>
      <c r="I319" s="1">
        <f>ABS(transakcje[[#This Row],[kwota]])</f>
        <v>23.006</v>
      </c>
    </row>
    <row r="320" spans="1:9" x14ac:dyDescent="0.3">
      <c r="A320">
        <v>319</v>
      </c>
      <c r="B320">
        <v>2011</v>
      </c>
      <c r="C320">
        <v>5</v>
      </c>
      <c r="D320">
        <v>2</v>
      </c>
      <c r="E320" s="1">
        <v>-1.6600000000000001</v>
      </c>
      <c r="F320" t="s">
        <v>26</v>
      </c>
      <c r="G320" t="str">
        <f>_xlfn.XLOOKUP(transakcje[[#This Row],[podkategoria]],parametr[podkategoria],parametr[kategoria])</f>
        <v>życie</v>
      </c>
      <c r="H320" t="str">
        <f>_xlfn.XLOOKUP(transakcje[[#This Row],[kategoria]],parametr[kategoria],parametr[typ])</f>
        <v>wydatki</v>
      </c>
      <c r="I320" s="1">
        <f>ABS(transakcje[[#This Row],[kwota]])</f>
        <v>1.6600000000000001</v>
      </c>
    </row>
    <row r="321" spans="1:9" x14ac:dyDescent="0.3">
      <c r="A321">
        <v>320</v>
      </c>
      <c r="B321">
        <v>2011</v>
      </c>
      <c r="C321">
        <v>5</v>
      </c>
      <c r="D321">
        <v>2</v>
      </c>
      <c r="E321" s="1">
        <v>-1.6600000000000001</v>
      </c>
      <c r="F321" t="s">
        <v>26</v>
      </c>
      <c r="G321" t="str">
        <f>_xlfn.XLOOKUP(transakcje[[#This Row],[podkategoria]],parametr[podkategoria],parametr[kategoria])</f>
        <v>życie</v>
      </c>
      <c r="H321" t="str">
        <f>_xlfn.XLOOKUP(transakcje[[#This Row],[kategoria]],parametr[kategoria],parametr[typ])</f>
        <v>wydatki</v>
      </c>
      <c r="I321" s="1">
        <f>ABS(transakcje[[#This Row],[kwota]])</f>
        <v>1.6600000000000001</v>
      </c>
    </row>
    <row r="322" spans="1:9" x14ac:dyDescent="0.3">
      <c r="A322">
        <v>321</v>
      </c>
      <c r="B322">
        <v>2011</v>
      </c>
      <c r="C322">
        <v>5</v>
      </c>
      <c r="D322">
        <v>2</v>
      </c>
      <c r="E322" s="1">
        <v>-8.5540000000000003</v>
      </c>
      <c r="F322" t="s">
        <v>26</v>
      </c>
      <c r="G322" t="str">
        <f>_xlfn.XLOOKUP(transakcje[[#This Row],[podkategoria]],parametr[podkategoria],parametr[kategoria])</f>
        <v>życie</v>
      </c>
      <c r="H322" t="str">
        <f>_xlfn.XLOOKUP(transakcje[[#This Row],[kategoria]],parametr[kategoria],parametr[typ])</f>
        <v>wydatki</v>
      </c>
      <c r="I322" s="1">
        <f>ABS(transakcje[[#This Row],[kwota]])</f>
        <v>8.5540000000000003</v>
      </c>
    </row>
    <row r="323" spans="1:9" x14ac:dyDescent="0.3">
      <c r="A323">
        <v>322</v>
      </c>
      <c r="B323">
        <v>2011</v>
      </c>
      <c r="C323">
        <v>5</v>
      </c>
      <c r="D323">
        <v>3</v>
      </c>
      <c r="E323" s="1">
        <v>-1.6600000000000001</v>
      </c>
      <c r="F323" t="s">
        <v>26</v>
      </c>
      <c r="G323" t="str">
        <f>_xlfn.XLOOKUP(transakcje[[#This Row],[podkategoria]],parametr[podkategoria],parametr[kategoria])</f>
        <v>życie</v>
      </c>
      <c r="H323" t="str">
        <f>_xlfn.XLOOKUP(transakcje[[#This Row],[kategoria]],parametr[kategoria],parametr[typ])</f>
        <v>wydatki</v>
      </c>
      <c r="I323" s="1">
        <f>ABS(transakcje[[#This Row],[kwota]])</f>
        <v>1.6600000000000001</v>
      </c>
    </row>
    <row r="324" spans="1:9" x14ac:dyDescent="0.3">
      <c r="A324">
        <v>323</v>
      </c>
      <c r="B324">
        <v>2011</v>
      </c>
      <c r="C324">
        <v>5</v>
      </c>
      <c r="D324">
        <v>4</v>
      </c>
      <c r="E324" s="1">
        <v>-5.68</v>
      </c>
      <c r="F324" t="s">
        <v>26</v>
      </c>
      <c r="G324" t="str">
        <f>_xlfn.XLOOKUP(transakcje[[#This Row],[podkategoria]],parametr[podkategoria],parametr[kategoria])</f>
        <v>życie</v>
      </c>
      <c r="H324" t="str">
        <f>_xlfn.XLOOKUP(transakcje[[#This Row],[kategoria]],parametr[kategoria],parametr[typ])</f>
        <v>wydatki</v>
      </c>
      <c r="I324" s="1">
        <f>ABS(transakcje[[#This Row],[kwota]])</f>
        <v>5.68</v>
      </c>
    </row>
    <row r="325" spans="1:9" x14ac:dyDescent="0.3">
      <c r="A325">
        <v>324</v>
      </c>
      <c r="B325">
        <v>2011</v>
      </c>
      <c r="C325">
        <v>5</v>
      </c>
      <c r="D325">
        <v>4</v>
      </c>
      <c r="E325" s="1">
        <v>-4.9139999999999997</v>
      </c>
      <c r="F325" t="s">
        <v>26</v>
      </c>
      <c r="G325" t="str">
        <f>_xlfn.XLOOKUP(transakcje[[#This Row],[podkategoria]],parametr[podkategoria],parametr[kategoria])</f>
        <v>życie</v>
      </c>
      <c r="H325" t="str">
        <f>_xlfn.XLOOKUP(transakcje[[#This Row],[kategoria]],parametr[kategoria],parametr[typ])</f>
        <v>wydatki</v>
      </c>
      <c r="I325" s="1">
        <f>ABS(transakcje[[#This Row],[kwota]])</f>
        <v>4.9139999999999997</v>
      </c>
    </row>
    <row r="326" spans="1:9" x14ac:dyDescent="0.3">
      <c r="A326">
        <v>325</v>
      </c>
      <c r="B326">
        <v>2011</v>
      </c>
      <c r="C326">
        <v>5</v>
      </c>
      <c r="D326">
        <v>7</v>
      </c>
      <c r="E326" s="1">
        <v>-30.667999999999999</v>
      </c>
      <c r="F326" t="s">
        <v>20</v>
      </c>
      <c r="G326" t="str">
        <f>_xlfn.XLOOKUP(transakcje[[#This Row],[podkategoria]],parametr[podkategoria],parametr[kategoria])</f>
        <v>trwałe</v>
      </c>
      <c r="H326" t="str">
        <f>_xlfn.XLOOKUP(transakcje[[#This Row],[kategoria]],parametr[kategoria],parametr[typ])</f>
        <v>wydatki</v>
      </c>
      <c r="I326" s="1">
        <f>ABS(transakcje[[#This Row],[kwota]])</f>
        <v>30.667999999999999</v>
      </c>
    </row>
    <row r="327" spans="1:9" x14ac:dyDescent="0.3">
      <c r="A327">
        <v>326</v>
      </c>
      <c r="B327">
        <v>2011</v>
      </c>
      <c r="C327">
        <v>5</v>
      </c>
      <c r="D327">
        <v>9</v>
      </c>
      <c r="E327" s="1">
        <v>54.717999999999996</v>
      </c>
      <c r="F327" t="s">
        <v>19</v>
      </c>
      <c r="G327" t="str">
        <f>_xlfn.XLOOKUP(transakcje[[#This Row],[podkategoria]],parametr[podkategoria],parametr[kategoria])</f>
        <v>dochody z pracy</v>
      </c>
      <c r="H327" t="str">
        <f>_xlfn.XLOOKUP(transakcje[[#This Row],[kategoria]],parametr[kategoria],parametr[typ])</f>
        <v>dochody</v>
      </c>
      <c r="I327" s="1">
        <f>ABS(transakcje[[#This Row],[kwota]])</f>
        <v>54.717999999999996</v>
      </c>
    </row>
    <row r="328" spans="1:9" x14ac:dyDescent="0.3">
      <c r="A328">
        <v>327</v>
      </c>
      <c r="B328">
        <v>2011</v>
      </c>
      <c r="C328">
        <v>5</v>
      </c>
      <c r="D328">
        <v>10</v>
      </c>
      <c r="E328" s="1">
        <v>-5.0439999999999996</v>
      </c>
      <c r="F328" t="s">
        <v>26</v>
      </c>
      <c r="G328" t="str">
        <f>_xlfn.XLOOKUP(transakcje[[#This Row],[podkategoria]],parametr[podkategoria],parametr[kategoria])</f>
        <v>życie</v>
      </c>
      <c r="H328" t="str">
        <f>_xlfn.XLOOKUP(transakcje[[#This Row],[kategoria]],parametr[kategoria],parametr[typ])</f>
        <v>wydatki</v>
      </c>
      <c r="I328" s="1">
        <f>ABS(transakcje[[#This Row],[kwota]])</f>
        <v>5.0439999999999996</v>
      </c>
    </row>
    <row r="329" spans="1:9" x14ac:dyDescent="0.3">
      <c r="A329">
        <v>328</v>
      </c>
      <c r="B329">
        <v>2011</v>
      </c>
      <c r="C329">
        <v>5</v>
      </c>
      <c r="D329">
        <v>10</v>
      </c>
      <c r="E329" s="1">
        <v>-3.9119999999999999</v>
      </c>
      <c r="F329" t="s">
        <v>26</v>
      </c>
      <c r="G329" t="str">
        <f>_xlfn.XLOOKUP(transakcje[[#This Row],[podkategoria]],parametr[podkategoria],parametr[kategoria])</f>
        <v>życie</v>
      </c>
      <c r="H329" t="str">
        <f>_xlfn.XLOOKUP(transakcje[[#This Row],[kategoria]],parametr[kategoria],parametr[typ])</f>
        <v>wydatki</v>
      </c>
      <c r="I329" s="1">
        <f>ABS(transakcje[[#This Row],[kwota]])</f>
        <v>3.9119999999999999</v>
      </c>
    </row>
    <row r="330" spans="1:9" x14ac:dyDescent="0.3">
      <c r="A330">
        <v>329</v>
      </c>
      <c r="B330">
        <v>2011</v>
      </c>
      <c r="C330">
        <v>5</v>
      </c>
      <c r="D330">
        <v>11</v>
      </c>
      <c r="E330" s="1">
        <v>-5</v>
      </c>
      <c r="F330" t="s">
        <v>26</v>
      </c>
      <c r="G330" t="str">
        <f>_xlfn.XLOOKUP(transakcje[[#This Row],[podkategoria]],parametr[podkategoria],parametr[kategoria])</f>
        <v>życie</v>
      </c>
      <c r="H330" t="str">
        <f>_xlfn.XLOOKUP(transakcje[[#This Row],[kategoria]],parametr[kategoria],parametr[typ])</f>
        <v>wydatki</v>
      </c>
      <c r="I330" s="1">
        <f>ABS(transakcje[[#This Row],[kwota]])</f>
        <v>5</v>
      </c>
    </row>
    <row r="331" spans="1:9" x14ac:dyDescent="0.3">
      <c r="A331">
        <v>330</v>
      </c>
      <c r="B331">
        <v>2011</v>
      </c>
      <c r="C331">
        <v>5</v>
      </c>
      <c r="D331">
        <v>14</v>
      </c>
      <c r="E331" s="1">
        <v>-0.39800000000000002</v>
      </c>
      <c r="F331" t="s">
        <v>14</v>
      </c>
      <c r="G331" t="str">
        <f>_xlfn.XLOOKUP(transakcje[[#This Row],[podkategoria]],parametr[podkategoria],parametr[kategoria])</f>
        <v>opłaty stałe</v>
      </c>
      <c r="H331" t="str">
        <f>_xlfn.XLOOKUP(transakcje[[#This Row],[kategoria]],parametr[kategoria],parametr[typ])</f>
        <v>wydatki</v>
      </c>
      <c r="I331" s="1">
        <f>ABS(transakcje[[#This Row],[kwota]])</f>
        <v>0.39800000000000002</v>
      </c>
    </row>
    <row r="332" spans="1:9" x14ac:dyDescent="0.3">
      <c r="A332">
        <v>331</v>
      </c>
      <c r="B332">
        <v>2011</v>
      </c>
      <c r="C332">
        <v>5</v>
      </c>
      <c r="D332">
        <v>15</v>
      </c>
      <c r="E332" s="1">
        <v>-45.260000000000005</v>
      </c>
      <c r="F332" t="s">
        <v>11</v>
      </c>
      <c r="G332" t="str">
        <f>_xlfn.XLOOKUP(transakcje[[#This Row],[podkategoria]],parametr[podkategoria],parametr[kategoria])</f>
        <v>wydatki inne</v>
      </c>
      <c r="H332" t="str">
        <f>_xlfn.XLOOKUP(transakcje[[#This Row],[kategoria]],parametr[kategoria],parametr[typ])</f>
        <v>wydatki</v>
      </c>
      <c r="I332" s="1">
        <f>ABS(transakcje[[#This Row],[kwota]])</f>
        <v>45.260000000000005</v>
      </c>
    </row>
    <row r="333" spans="1:9" x14ac:dyDescent="0.3">
      <c r="A333">
        <v>332</v>
      </c>
      <c r="B333">
        <v>2011</v>
      </c>
      <c r="C333">
        <v>5</v>
      </c>
      <c r="D333">
        <v>15</v>
      </c>
      <c r="E333" s="1">
        <v>-1.1960000000000002</v>
      </c>
      <c r="F333" t="s">
        <v>14</v>
      </c>
      <c r="G333" t="str">
        <f>_xlfn.XLOOKUP(transakcje[[#This Row],[podkategoria]],parametr[podkategoria],parametr[kategoria])</f>
        <v>opłaty stałe</v>
      </c>
      <c r="H333" t="str">
        <f>_xlfn.XLOOKUP(transakcje[[#This Row],[kategoria]],parametr[kategoria],parametr[typ])</f>
        <v>wydatki</v>
      </c>
      <c r="I333" s="1">
        <f>ABS(transakcje[[#This Row],[kwota]])</f>
        <v>1.1960000000000002</v>
      </c>
    </row>
    <row r="334" spans="1:9" x14ac:dyDescent="0.3">
      <c r="A334">
        <v>333</v>
      </c>
      <c r="B334">
        <v>2011</v>
      </c>
      <c r="C334">
        <v>5</v>
      </c>
      <c r="D334">
        <v>16</v>
      </c>
      <c r="E334" s="1">
        <v>-3.4979999999999998</v>
      </c>
      <c r="F334" t="s">
        <v>26</v>
      </c>
      <c r="G334" t="str">
        <f>_xlfn.XLOOKUP(transakcje[[#This Row],[podkategoria]],parametr[podkategoria],parametr[kategoria])</f>
        <v>życie</v>
      </c>
      <c r="H334" t="str">
        <f>_xlfn.XLOOKUP(transakcje[[#This Row],[kategoria]],parametr[kategoria],parametr[typ])</f>
        <v>wydatki</v>
      </c>
      <c r="I334" s="1">
        <f>ABS(transakcje[[#This Row],[kwota]])</f>
        <v>3.4979999999999998</v>
      </c>
    </row>
    <row r="335" spans="1:9" x14ac:dyDescent="0.3">
      <c r="A335">
        <v>334</v>
      </c>
      <c r="B335">
        <v>2011</v>
      </c>
      <c r="C335">
        <v>5</v>
      </c>
      <c r="D335">
        <v>20</v>
      </c>
      <c r="E335" s="1">
        <v>-8.2560000000000002</v>
      </c>
      <c r="F335" t="s">
        <v>26</v>
      </c>
      <c r="G335" t="str">
        <f>_xlfn.XLOOKUP(transakcje[[#This Row],[podkategoria]],parametr[podkategoria],parametr[kategoria])</f>
        <v>życie</v>
      </c>
      <c r="H335" t="str">
        <f>_xlfn.XLOOKUP(transakcje[[#This Row],[kategoria]],parametr[kategoria],parametr[typ])</f>
        <v>wydatki</v>
      </c>
      <c r="I335" s="1">
        <f>ABS(transakcje[[#This Row],[kwota]])</f>
        <v>8.2560000000000002</v>
      </c>
    </row>
    <row r="336" spans="1:9" x14ac:dyDescent="0.3">
      <c r="A336">
        <v>335</v>
      </c>
      <c r="B336">
        <v>2011</v>
      </c>
      <c r="C336">
        <v>5</v>
      </c>
      <c r="D336">
        <v>21</v>
      </c>
      <c r="E336" s="1">
        <v>-24.4</v>
      </c>
      <c r="F336" t="s">
        <v>29</v>
      </c>
      <c r="G336" t="str">
        <f>_xlfn.XLOOKUP(transakcje[[#This Row],[podkategoria]],parametr[podkategoria],parametr[kategoria])</f>
        <v>opłaty stałe</v>
      </c>
      <c r="H336" t="str">
        <f>_xlfn.XLOOKUP(transakcje[[#This Row],[kategoria]],parametr[kategoria],parametr[typ])</f>
        <v>wydatki</v>
      </c>
      <c r="I336" s="1">
        <f>ABS(transakcje[[#This Row],[kwota]])</f>
        <v>24.4</v>
      </c>
    </row>
    <row r="337" spans="1:9" x14ac:dyDescent="0.3">
      <c r="A337">
        <v>336</v>
      </c>
      <c r="B337">
        <v>2011</v>
      </c>
      <c r="C337">
        <v>5</v>
      </c>
      <c r="D337">
        <v>25</v>
      </c>
      <c r="E337" s="1">
        <v>414.03399999999999</v>
      </c>
      <c r="F337" t="s">
        <v>8</v>
      </c>
      <c r="G337" t="str">
        <f>_xlfn.XLOOKUP(transakcje[[#This Row],[podkategoria]],parametr[podkategoria],parametr[kategoria])</f>
        <v>dochody z pracy</v>
      </c>
      <c r="H337" t="str">
        <f>_xlfn.XLOOKUP(transakcje[[#This Row],[kategoria]],parametr[kategoria],parametr[typ])</f>
        <v>dochody</v>
      </c>
      <c r="I337" s="1">
        <f>ABS(transakcje[[#This Row],[kwota]])</f>
        <v>414.03399999999999</v>
      </c>
    </row>
    <row r="338" spans="1:9" x14ac:dyDescent="0.3">
      <c r="A338">
        <v>337</v>
      </c>
      <c r="B338">
        <v>2011</v>
      </c>
      <c r="C338">
        <v>5</v>
      </c>
      <c r="D338">
        <v>27</v>
      </c>
      <c r="E338" s="1">
        <v>-6.226</v>
      </c>
      <c r="F338" t="s">
        <v>26</v>
      </c>
      <c r="G338" t="str">
        <f>_xlfn.XLOOKUP(transakcje[[#This Row],[podkategoria]],parametr[podkategoria],parametr[kategoria])</f>
        <v>życie</v>
      </c>
      <c r="H338" t="str">
        <f>_xlfn.XLOOKUP(transakcje[[#This Row],[kategoria]],parametr[kategoria],parametr[typ])</f>
        <v>wydatki</v>
      </c>
      <c r="I338" s="1">
        <f>ABS(transakcje[[#This Row],[kwota]])</f>
        <v>6.226</v>
      </c>
    </row>
    <row r="339" spans="1:9" x14ac:dyDescent="0.3">
      <c r="A339">
        <v>338</v>
      </c>
      <c r="B339">
        <v>2011</v>
      </c>
      <c r="C339">
        <v>5</v>
      </c>
      <c r="D339">
        <v>30</v>
      </c>
      <c r="E339" s="1">
        <v>-16.2</v>
      </c>
      <c r="F339" t="s">
        <v>26</v>
      </c>
      <c r="G339" t="str">
        <f>_xlfn.XLOOKUP(transakcje[[#This Row],[podkategoria]],parametr[podkategoria],parametr[kategoria])</f>
        <v>życie</v>
      </c>
      <c r="H339" t="str">
        <f>_xlfn.XLOOKUP(transakcje[[#This Row],[kategoria]],parametr[kategoria],parametr[typ])</f>
        <v>wydatki</v>
      </c>
      <c r="I339" s="1">
        <f>ABS(transakcje[[#This Row],[kwota]])</f>
        <v>16.2</v>
      </c>
    </row>
    <row r="340" spans="1:9" x14ac:dyDescent="0.3">
      <c r="A340">
        <v>339</v>
      </c>
      <c r="B340">
        <v>2011</v>
      </c>
      <c r="C340">
        <v>5</v>
      </c>
      <c r="D340">
        <v>31</v>
      </c>
      <c r="E340" s="1">
        <v>2E-3</v>
      </c>
      <c r="F340" t="s">
        <v>17</v>
      </c>
      <c r="G340" t="str">
        <f>_xlfn.XLOOKUP(transakcje[[#This Row],[podkategoria]],parametr[podkategoria],parametr[kategoria])</f>
        <v>dochody pozostałe</v>
      </c>
      <c r="H340" t="str">
        <f>_xlfn.XLOOKUP(transakcje[[#This Row],[kategoria]],parametr[kategoria],parametr[typ])</f>
        <v>dochody</v>
      </c>
      <c r="I340" s="1">
        <f>ABS(transakcje[[#This Row],[kwota]])</f>
        <v>2E-3</v>
      </c>
    </row>
    <row r="341" spans="1:9" x14ac:dyDescent="0.3">
      <c r="A341">
        <v>340</v>
      </c>
      <c r="B341">
        <v>2011</v>
      </c>
      <c r="C341">
        <v>5</v>
      </c>
      <c r="D341">
        <v>31</v>
      </c>
      <c r="E341" s="1">
        <v>-1.198</v>
      </c>
      <c r="F341" t="s">
        <v>14</v>
      </c>
      <c r="G341" t="str">
        <f>_xlfn.XLOOKUP(transakcje[[#This Row],[podkategoria]],parametr[podkategoria],parametr[kategoria])</f>
        <v>opłaty stałe</v>
      </c>
      <c r="H341" t="str">
        <f>_xlfn.XLOOKUP(transakcje[[#This Row],[kategoria]],parametr[kategoria],parametr[typ])</f>
        <v>wydatki</v>
      </c>
      <c r="I341" s="1">
        <f>ABS(transakcje[[#This Row],[kwota]])</f>
        <v>1.198</v>
      </c>
    </row>
    <row r="342" spans="1:9" x14ac:dyDescent="0.3">
      <c r="A342">
        <v>341</v>
      </c>
      <c r="B342">
        <v>2011</v>
      </c>
      <c r="C342">
        <v>5</v>
      </c>
      <c r="D342">
        <v>31</v>
      </c>
      <c r="E342" s="1">
        <v>-0.6</v>
      </c>
      <c r="F342" t="s">
        <v>14</v>
      </c>
      <c r="G342" t="str">
        <f>_xlfn.XLOOKUP(transakcje[[#This Row],[podkategoria]],parametr[podkategoria],parametr[kategoria])</f>
        <v>opłaty stałe</v>
      </c>
      <c r="H342" t="str">
        <f>_xlfn.XLOOKUP(transakcje[[#This Row],[kategoria]],parametr[kategoria],parametr[typ])</f>
        <v>wydatki</v>
      </c>
      <c r="I342" s="1">
        <f>ABS(transakcje[[#This Row],[kwota]])</f>
        <v>0.6</v>
      </c>
    </row>
    <row r="343" spans="1:9" x14ac:dyDescent="0.3">
      <c r="A343">
        <v>342</v>
      </c>
      <c r="B343">
        <v>2011</v>
      </c>
      <c r="C343">
        <v>6</v>
      </c>
      <c r="D343">
        <v>1</v>
      </c>
      <c r="E343" s="1">
        <v>9.6</v>
      </c>
      <c r="F343" t="s">
        <v>16</v>
      </c>
      <c r="G343" t="str">
        <f>_xlfn.XLOOKUP(transakcje[[#This Row],[podkategoria]],parametr[podkategoria],parametr[kategoria])</f>
        <v>dochody z pracy</v>
      </c>
      <c r="H343" t="str">
        <f>_xlfn.XLOOKUP(transakcje[[#This Row],[kategoria]],parametr[kategoria],parametr[typ])</f>
        <v>dochody</v>
      </c>
      <c r="I343" s="1">
        <f>ABS(transakcje[[#This Row],[kwota]])</f>
        <v>9.6</v>
      </c>
    </row>
    <row r="344" spans="1:9" x14ac:dyDescent="0.3">
      <c r="A344">
        <v>343</v>
      </c>
      <c r="B344">
        <v>2011</v>
      </c>
      <c r="C344">
        <v>6</v>
      </c>
      <c r="D344">
        <v>5</v>
      </c>
      <c r="E344" s="1">
        <v>-74.75800000000001</v>
      </c>
      <c r="F344" t="s">
        <v>31</v>
      </c>
      <c r="G344" t="str">
        <f>_xlfn.XLOOKUP(transakcje[[#This Row],[podkategoria]],parametr[podkategoria],parametr[kategoria])</f>
        <v>opłaty stałe</v>
      </c>
      <c r="H344" t="str">
        <f>_xlfn.XLOOKUP(transakcje[[#This Row],[kategoria]],parametr[kategoria],parametr[typ])</f>
        <v>wydatki</v>
      </c>
      <c r="I344" s="1">
        <f>ABS(transakcje[[#This Row],[kwota]])</f>
        <v>74.75800000000001</v>
      </c>
    </row>
    <row r="345" spans="1:9" x14ac:dyDescent="0.3">
      <c r="A345">
        <v>344</v>
      </c>
      <c r="B345">
        <v>2011</v>
      </c>
      <c r="C345">
        <v>6</v>
      </c>
      <c r="D345">
        <v>5</v>
      </c>
      <c r="E345" s="1">
        <v>-9.7200000000000006</v>
      </c>
      <c r="F345" t="s">
        <v>23</v>
      </c>
      <c r="G345" t="str">
        <f>_xlfn.XLOOKUP(transakcje[[#This Row],[podkategoria]],parametr[podkategoria],parametr[kategoria])</f>
        <v>opłaty stałe</v>
      </c>
      <c r="H345" t="str">
        <f>_xlfn.XLOOKUP(transakcje[[#This Row],[kategoria]],parametr[kategoria],parametr[typ])</f>
        <v>wydatki</v>
      </c>
      <c r="I345" s="1">
        <f>ABS(transakcje[[#This Row],[kwota]])</f>
        <v>9.7200000000000006</v>
      </c>
    </row>
    <row r="346" spans="1:9" x14ac:dyDescent="0.3">
      <c r="A346">
        <v>345</v>
      </c>
      <c r="B346">
        <v>2011</v>
      </c>
      <c r="C346">
        <v>6</v>
      </c>
      <c r="D346">
        <v>5</v>
      </c>
      <c r="E346" s="1">
        <v>-14.388</v>
      </c>
      <c r="F346" t="s">
        <v>25</v>
      </c>
      <c r="G346" t="str">
        <f>_xlfn.XLOOKUP(transakcje[[#This Row],[podkategoria]],parametr[podkategoria],parametr[kategoria])</f>
        <v>opłaty stałe</v>
      </c>
      <c r="H346" t="str">
        <f>_xlfn.XLOOKUP(transakcje[[#This Row],[kategoria]],parametr[kategoria],parametr[typ])</f>
        <v>wydatki</v>
      </c>
      <c r="I346" s="1">
        <f>ABS(transakcje[[#This Row],[kwota]])</f>
        <v>14.388</v>
      </c>
    </row>
    <row r="347" spans="1:9" x14ac:dyDescent="0.3">
      <c r="A347">
        <v>346</v>
      </c>
      <c r="B347">
        <v>2011</v>
      </c>
      <c r="C347">
        <v>6</v>
      </c>
      <c r="D347">
        <v>13</v>
      </c>
      <c r="E347" s="1">
        <v>-5.33</v>
      </c>
      <c r="F347" t="s">
        <v>26</v>
      </c>
      <c r="G347" t="str">
        <f>_xlfn.XLOOKUP(transakcje[[#This Row],[podkategoria]],parametr[podkategoria],parametr[kategoria])</f>
        <v>życie</v>
      </c>
      <c r="H347" t="str">
        <f>_xlfn.XLOOKUP(transakcje[[#This Row],[kategoria]],parametr[kategoria],parametr[typ])</f>
        <v>wydatki</v>
      </c>
      <c r="I347" s="1">
        <f>ABS(transakcje[[#This Row],[kwota]])</f>
        <v>5.33</v>
      </c>
    </row>
    <row r="348" spans="1:9" x14ac:dyDescent="0.3">
      <c r="A348">
        <v>347</v>
      </c>
      <c r="B348">
        <v>2011</v>
      </c>
      <c r="C348">
        <v>6</v>
      </c>
      <c r="D348">
        <v>14</v>
      </c>
      <c r="E348" s="1">
        <v>-26.925999999999998</v>
      </c>
      <c r="F348" t="s">
        <v>20</v>
      </c>
      <c r="G348" t="str">
        <f>_xlfn.XLOOKUP(transakcje[[#This Row],[podkategoria]],parametr[podkategoria],parametr[kategoria])</f>
        <v>trwałe</v>
      </c>
      <c r="H348" t="str">
        <f>_xlfn.XLOOKUP(transakcje[[#This Row],[kategoria]],parametr[kategoria],parametr[typ])</f>
        <v>wydatki</v>
      </c>
      <c r="I348" s="1">
        <f>ABS(transakcje[[#This Row],[kwota]])</f>
        <v>26.925999999999998</v>
      </c>
    </row>
    <row r="349" spans="1:9" x14ac:dyDescent="0.3">
      <c r="A349">
        <v>348</v>
      </c>
      <c r="B349">
        <v>2011</v>
      </c>
      <c r="C349">
        <v>6</v>
      </c>
      <c r="D349">
        <v>15</v>
      </c>
      <c r="E349" s="1">
        <v>-1.86</v>
      </c>
      <c r="F349" t="s">
        <v>26</v>
      </c>
      <c r="G349" t="str">
        <f>_xlfn.XLOOKUP(transakcje[[#This Row],[podkategoria]],parametr[podkategoria],parametr[kategoria])</f>
        <v>życie</v>
      </c>
      <c r="H349" t="str">
        <f>_xlfn.XLOOKUP(transakcje[[#This Row],[kategoria]],parametr[kategoria],parametr[typ])</f>
        <v>wydatki</v>
      </c>
      <c r="I349" s="1">
        <f>ABS(transakcje[[#This Row],[kwota]])</f>
        <v>1.86</v>
      </c>
    </row>
    <row r="350" spans="1:9" x14ac:dyDescent="0.3">
      <c r="A350">
        <v>349</v>
      </c>
      <c r="B350">
        <v>2011</v>
      </c>
      <c r="C350">
        <v>6</v>
      </c>
      <c r="D350">
        <v>15</v>
      </c>
      <c r="E350" s="1">
        <v>2E-3</v>
      </c>
      <c r="F350" t="s">
        <v>17</v>
      </c>
      <c r="G350" t="str">
        <f>_xlfn.XLOOKUP(transakcje[[#This Row],[podkategoria]],parametr[podkategoria],parametr[kategoria])</f>
        <v>dochody pozostałe</v>
      </c>
      <c r="H350" t="str">
        <f>_xlfn.XLOOKUP(transakcje[[#This Row],[kategoria]],parametr[kategoria],parametr[typ])</f>
        <v>dochody</v>
      </c>
      <c r="I350" s="1">
        <f>ABS(transakcje[[#This Row],[kwota]])</f>
        <v>2E-3</v>
      </c>
    </row>
    <row r="351" spans="1:9" x14ac:dyDescent="0.3">
      <c r="A351">
        <v>350</v>
      </c>
      <c r="B351">
        <v>2011</v>
      </c>
      <c r="C351">
        <v>6</v>
      </c>
      <c r="D351">
        <v>15</v>
      </c>
      <c r="E351" s="1">
        <v>-1.1960000000000002</v>
      </c>
      <c r="F351" t="s">
        <v>14</v>
      </c>
      <c r="G351" t="str">
        <f>_xlfn.XLOOKUP(transakcje[[#This Row],[podkategoria]],parametr[podkategoria],parametr[kategoria])</f>
        <v>opłaty stałe</v>
      </c>
      <c r="H351" t="str">
        <f>_xlfn.XLOOKUP(transakcje[[#This Row],[kategoria]],parametr[kategoria],parametr[typ])</f>
        <v>wydatki</v>
      </c>
      <c r="I351" s="1">
        <f>ABS(transakcje[[#This Row],[kwota]])</f>
        <v>1.1960000000000002</v>
      </c>
    </row>
    <row r="352" spans="1:9" x14ac:dyDescent="0.3">
      <c r="A352">
        <v>351</v>
      </c>
      <c r="B352">
        <v>2011</v>
      </c>
      <c r="C352">
        <v>6</v>
      </c>
      <c r="D352">
        <v>16</v>
      </c>
      <c r="E352" s="1">
        <v>-0.39800000000000002</v>
      </c>
      <c r="F352" t="s">
        <v>14</v>
      </c>
      <c r="G352" t="str">
        <f>_xlfn.XLOOKUP(transakcje[[#This Row],[podkategoria]],parametr[podkategoria],parametr[kategoria])</f>
        <v>opłaty stałe</v>
      </c>
      <c r="H352" t="str">
        <f>_xlfn.XLOOKUP(transakcje[[#This Row],[kategoria]],parametr[kategoria],parametr[typ])</f>
        <v>wydatki</v>
      </c>
      <c r="I352" s="1">
        <f>ABS(transakcje[[#This Row],[kwota]])</f>
        <v>0.39800000000000002</v>
      </c>
    </row>
    <row r="353" spans="1:9" x14ac:dyDescent="0.3">
      <c r="A353">
        <v>352</v>
      </c>
      <c r="B353">
        <v>2011</v>
      </c>
      <c r="C353">
        <v>6</v>
      </c>
      <c r="D353">
        <v>18</v>
      </c>
      <c r="E353" s="1">
        <v>-1.6600000000000001</v>
      </c>
      <c r="F353" t="s">
        <v>26</v>
      </c>
      <c r="G353" t="str">
        <f>_xlfn.XLOOKUP(transakcje[[#This Row],[podkategoria]],parametr[podkategoria],parametr[kategoria])</f>
        <v>życie</v>
      </c>
      <c r="H353" t="str">
        <f>_xlfn.XLOOKUP(transakcje[[#This Row],[kategoria]],parametr[kategoria],parametr[typ])</f>
        <v>wydatki</v>
      </c>
      <c r="I353" s="1">
        <f>ABS(transakcje[[#This Row],[kwota]])</f>
        <v>1.6600000000000001</v>
      </c>
    </row>
    <row r="354" spans="1:9" x14ac:dyDescent="0.3">
      <c r="A354">
        <v>353</v>
      </c>
      <c r="B354">
        <v>2011</v>
      </c>
      <c r="C354">
        <v>6</v>
      </c>
      <c r="D354">
        <v>19</v>
      </c>
      <c r="E354" s="1">
        <v>-26.7</v>
      </c>
      <c r="F354" t="s">
        <v>26</v>
      </c>
      <c r="G354" t="str">
        <f>_xlfn.XLOOKUP(transakcje[[#This Row],[podkategoria]],parametr[podkategoria],parametr[kategoria])</f>
        <v>życie</v>
      </c>
      <c r="H354" t="str">
        <f>_xlfn.XLOOKUP(transakcje[[#This Row],[kategoria]],parametr[kategoria],parametr[typ])</f>
        <v>wydatki</v>
      </c>
      <c r="I354" s="1">
        <f>ABS(transakcje[[#This Row],[kwota]])</f>
        <v>26.7</v>
      </c>
    </row>
    <row r="355" spans="1:9" x14ac:dyDescent="0.3">
      <c r="A355">
        <v>354</v>
      </c>
      <c r="B355">
        <v>2011</v>
      </c>
      <c r="C355">
        <v>6</v>
      </c>
      <c r="D355">
        <v>22</v>
      </c>
      <c r="E355" s="1">
        <v>-8.6840000000000011</v>
      </c>
      <c r="F355" t="s">
        <v>26</v>
      </c>
      <c r="G355" t="str">
        <f>_xlfn.XLOOKUP(transakcje[[#This Row],[podkategoria]],parametr[podkategoria],parametr[kategoria])</f>
        <v>życie</v>
      </c>
      <c r="H355" t="str">
        <f>_xlfn.XLOOKUP(transakcje[[#This Row],[kategoria]],parametr[kategoria],parametr[typ])</f>
        <v>wydatki</v>
      </c>
      <c r="I355" s="1">
        <f>ABS(transakcje[[#This Row],[kwota]])</f>
        <v>8.6840000000000011</v>
      </c>
    </row>
    <row r="356" spans="1:9" x14ac:dyDescent="0.3">
      <c r="A356">
        <v>355</v>
      </c>
      <c r="B356">
        <v>2011</v>
      </c>
      <c r="C356">
        <v>6</v>
      </c>
      <c r="D356">
        <v>24</v>
      </c>
      <c r="E356" s="1">
        <v>-4.492</v>
      </c>
      <c r="F356" t="s">
        <v>26</v>
      </c>
      <c r="G356" t="str">
        <f>_xlfn.XLOOKUP(transakcje[[#This Row],[podkategoria]],parametr[podkategoria],parametr[kategoria])</f>
        <v>życie</v>
      </c>
      <c r="H356" t="str">
        <f>_xlfn.XLOOKUP(transakcje[[#This Row],[kategoria]],parametr[kategoria],parametr[typ])</f>
        <v>wydatki</v>
      </c>
      <c r="I356" s="1">
        <f>ABS(transakcje[[#This Row],[kwota]])</f>
        <v>4.492</v>
      </c>
    </row>
    <row r="357" spans="1:9" x14ac:dyDescent="0.3">
      <c r="A357">
        <v>356</v>
      </c>
      <c r="B357">
        <v>2011</v>
      </c>
      <c r="C357">
        <v>6</v>
      </c>
      <c r="D357">
        <v>27</v>
      </c>
      <c r="E357" s="1">
        <v>414.03000000000003</v>
      </c>
      <c r="F357" t="s">
        <v>8</v>
      </c>
      <c r="G357" t="str">
        <f>_xlfn.XLOOKUP(transakcje[[#This Row],[podkategoria]],parametr[podkategoria],parametr[kategoria])</f>
        <v>dochody z pracy</v>
      </c>
      <c r="H357" t="str">
        <f>_xlfn.XLOOKUP(transakcje[[#This Row],[kategoria]],parametr[kategoria],parametr[typ])</f>
        <v>dochody</v>
      </c>
      <c r="I357" s="1">
        <f>ABS(transakcje[[#This Row],[kwota]])</f>
        <v>414.03000000000003</v>
      </c>
    </row>
    <row r="358" spans="1:9" x14ac:dyDescent="0.3">
      <c r="A358">
        <v>357</v>
      </c>
      <c r="B358">
        <v>2011</v>
      </c>
      <c r="C358">
        <v>6</v>
      </c>
      <c r="D358">
        <v>27</v>
      </c>
      <c r="E358" s="1">
        <v>-3.694</v>
      </c>
      <c r="F358" t="s">
        <v>26</v>
      </c>
      <c r="G358" t="str">
        <f>_xlfn.XLOOKUP(transakcje[[#This Row],[podkategoria]],parametr[podkategoria],parametr[kategoria])</f>
        <v>życie</v>
      </c>
      <c r="H358" t="str">
        <f>_xlfn.XLOOKUP(transakcje[[#This Row],[kategoria]],parametr[kategoria],parametr[typ])</f>
        <v>wydatki</v>
      </c>
      <c r="I358" s="1">
        <f>ABS(transakcje[[#This Row],[kwota]])</f>
        <v>3.694</v>
      </c>
    </row>
    <row r="359" spans="1:9" x14ac:dyDescent="0.3">
      <c r="A359">
        <v>358</v>
      </c>
      <c r="B359">
        <v>2011</v>
      </c>
      <c r="C359">
        <v>6</v>
      </c>
      <c r="D359">
        <v>29</v>
      </c>
      <c r="E359" s="1">
        <v>-4.1379999999999999</v>
      </c>
      <c r="F359" t="s">
        <v>26</v>
      </c>
      <c r="G359" t="str">
        <f>_xlfn.XLOOKUP(transakcje[[#This Row],[podkategoria]],parametr[podkategoria],parametr[kategoria])</f>
        <v>życie</v>
      </c>
      <c r="H359" t="str">
        <f>_xlfn.XLOOKUP(transakcje[[#This Row],[kategoria]],parametr[kategoria],parametr[typ])</f>
        <v>wydatki</v>
      </c>
      <c r="I359" s="1">
        <f>ABS(transakcje[[#This Row],[kwota]])</f>
        <v>4.1379999999999999</v>
      </c>
    </row>
    <row r="360" spans="1:9" x14ac:dyDescent="0.3">
      <c r="A360">
        <v>359</v>
      </c>
      <c r="B360">
        <v>2011</v>
      </c>
      <c r="C360">
        <v>6</v>
      </c>
      <c r="D360">
        <v>30</v>
      </c>
      <c r="E360" s="1">
        <v>2E-3</v>
      </c>
      <c r="F360" t="s">
        <v>17</v>
      </c>
      <c r="G360" t="str">
        <f>_xlfn.XLOOKUP(transakcje[[#This Row],[podkategoria]],parametr[podkategoria],parametr[kategoria])</f>
        <v>dochody pozostałe</v>
      </c>
      <c r="H360" t="str">
        <f>_xlfn.XLOOKUP(transakcje[[#This Row],[kategoria]],parametr[kategoria],parametr[typ])</f>
        <v>dochody</v>
      </c>
      <c r="I360" s="1">
        <f>ABS(transakcje[[#This Row],[kwota]])</f>
        <v>2E-3</v>
      </c>
    </row>
    <row r="361" spans="1:9" x14ac:dyDescent="0.3">
      <c r="A361">
        <v>360</v>
      </c>
      <c r="B361">
        <v>2011</v>
      </c>
      <c r="C361">
        <v>6</v>
      </c>
      <c r="D361">
        <v>30</v>
      </c>
      <c r="E361" s="1">
        <v>-1.198</v>
      </c>
      <c r="F361" t="s">
        <v>14</v>
      </c>
      <c r="G361" t="str">
        <f>_xlfn.XLOOKUP(transakcje[[#This Row],[podkategoria]],parametr[podkategoria],parametr[kategoria])</f>
        <v>opłaty stałe</v>
      </c>
      <c r="H361" t="str">
        <f>_xlfn.XLOOKUP(transakcje[[#This Row],[kategoria]],parametr[kategoria],parametr[typ])</f>
        <v>wydatki</v>
      </c>
      <c r="I361" s="1">
        <f>ABS(transakcje[[#This Row],[kwota]])</f>
        <v>1.198</v>
      </c>
    </row>
    <row r="362" spans="1:9" x14ac:dyDescent="0.3">
      <c r="A362">
        <v>361</v>
      </c>
      <c r="B362">
        <v>2011</v>
      </c>
      <c r="C362">
        <v>6</v>
      </c>
      <c r="D362">
        <v>30</v>
      </c>
      <c r="E362" s="1">
        <v>-0.8</v>
      </c>
      <c r="F362" t="s">
        <v>14</v>
      </c>
      <c r="G362" t="str">
        <f>_xlfn.XLOOKUP(transakcje[[#This Row],[podkategoria]],parametr[podkategoria],parametr[kategoria])</f>
        <v>opłaty stałe</v>
      </c>
      <c r="H362" t="str">
        <f>_xlfn.XLOOKUP(transakcje[[#This Row],[kategoria]],parametr[kategoria],parametr[typ])</f>
        <v>wydatki</v>
      </c>
      <c r="I362" s="1">
        <f>ABS(transakcje[[#This Row],[kwota]])</f>
        <v>0.8</v>
      </c>
    </row>
    <row r="363" spans="1:9" x14ac:dyDescent="0.3">
      <c r="A363">
        <v>362</v>
      </c>
      <c r="B363">
        <v>2011</v>
      </c>
      <c r="C363">
        <v>7</v>
      </c>
      <c r="D363">
        <v>1</v>
      </c>
      <c r="E363" s="1">
        <v>-16.2</v>
      </c>
      <c r="F363" t="s">
        <v>26</v>
      </c>
      <c r="G363" t="str">
        <f>_xlfn.XLOOKUP(transakcje[[#This Row],[podkategoria]],parametr[podkategoria],parametr[kategoria])</f>
        <v>życie</v>
      </c>
      <c r="H363" t="str">
        <f>_xlfn.XLOOKUP(transakcje[[#This Row],[kategoria]],parametr[kategoria],parametr[typ])</f>
        <v>wydatki</v>
      </c>
      <c r="I363" s="1">
        <f>ABS(transakcje[[#This Row],[kwota]])</f>
        <v>16.2</v>
      </c>
    </row>
    <row r="364" spans="1:9" x14ac:dyDescent="0.3">
      <c r="A364">
        <v>363</v>
      </c>
      <c r="B364">
        <v>2011</v>
      </c>
      <c r="C364">
        <v>7</v>
      </c>
      <c r="D364">
        <v>1</v>
      </c>
      <c r="E364" s="1">
        <v>-74.75800000000001</v>
      </c>
      <c r="F364" t="s">
        <v>31</v>
      </c>
      <c r="G364" t="str">
        <f>_xlfn.XLOOKUP(transakcje[[#This Row],[podkategoria]],parametr[podkategoria],parametr[kategoria])</f>
        <v>opłaty stałe</v>
      </c>
      <c r="H364" t="str">
        <f>_xlfn.XLOOKUP(transakcje[[#This Row],[kategoria]],parametr[kategoria],parametr[typ])</f>
        <v>wydatki</v>
      </c>
      <c r="I364" s="1">
        <f>ABS(transakcje[[#This Row],[kwota]])</f>
        <v>74.75800000000001</v>
      </c>
    </row>
    <row r="365" spans="1:9" x14ac:dyDescent="0.3">
      <c r="A365">
        <v>364</v>
      </c>
      <c r="B365">
        <v>2011</v>
      </c>
      <c r="C365">
        <v>7</v>
      </c>
      <c r="D365">
        <v>1</v>
      </c>
      <c r="E365" s="1">
        <v>-9.7200000000000006</v>
      </c>
      <c r="F365" t="s">
        <v>23</v>
      </c>
      <c r="G365" t="str">
        <f>_xlfn.XLOOKUP(transakcje[[#This Row],[podkategoria]],parametr[podkategoria],parametr[kategoria])</f>
        <v>opłaty stałe</v>
      </c>
      <c r="H365" t="str">
        <f>_xlfn.XLOOKUP(transakcje[[#This Row],[kategoria]],parametr[kategoria],parametr[typ])</f>
        <v>wydatki</v>
      </c>
      <c r="I365" s="1">
        <f>ABS(transakcje[[#This Row],[kwota]])</f>
        <v>9.7200000000000006</v>
      </c>
    </row>
    <row r="366" spans="1:9" x14ac:dyDescent="0.3">
      <c r="A366">
        <v>365</v>
      </c>
      <c r="B366">
        <v>2011</v>
      </c>
      <c r="C366">
        <v>7</v>
      </c>
      <c r="D366">
        <v>1</v>
      </c>
      <c r="E366" s="1">
        <v>-16.713999999999999</v>
      </c>
      <c r="F366" t="s">
        <v>34</v>
      </c>
      <c r="G366" t="str">
        <f>_xlfn.XLOOKUP(transakcje[[#This Row],[podkategoria]],parametr[podkategoria],parametr[kategoria])</f>
        <v>opłaty stałe</v>
      </c>
      <c r="H366" t="str">
        <f>_xlfn.XLOOKUP(transakcje[[#This Row],[kategoria]],parametr[kategoria],parametr[typ])</f>
        <v>wydatki</v>
      </c>
      <c r="I366" s="1">
        <f>ABS(transakcje[[#This Row],[kwota]])</f>
        <v>16.713999999999999</v>
      </c>
    </row>
    <row r="367" spans="1:9" x14ac:dyDescent="0.3">
      <c r="A367">
        <v>366</v>
      </c>
      <c r="B367">
        <v>2011</v>
      </c>
      <c r="C367">
        <v>7</v>
      </c>
      <c r="D367">
        <v>1</v>
      </c>
      <c r="E367" s="1">
        <v>-8.1159999999999997</v>
      </c>
      <c r="F367" t="s">
        <v>25</v>
      </c>
      <c r="G367" t="str">
        <f>_xlfn.XLOOKUP(transakcje[[#This Row],[podkategoria]],parametr[podkategoria],parametr[kategoria])</f>
        <v>opłaty stałe</v>
      </c>
      <c r="H367" t="str">
        <f>_xlfn.XLOOKUP(transakcje[[#This Row],[kategoria]],parametr[kategoria],parametr[typ])</f>
        <v>wydatki</v>
      </c>
      <c r="I367" s="1">
        <f>ABS(transakcje[[#This Row],[kwota]])</f>
        <v>8.1159999999999997</v>
      </c>
    </row>
    <row r="368" spans="1:9" x14ac:dyDescent="0.3">
      <c r="A368">
        <v>367</v>
      </c>
      <c r="B368">
        <v>2011</v>
      </c>
      <c r="C368">
        <v>7</v>
      </c>
      <c r="D368">
        <v>11</v>
      </c>
      <c r="E368" s="1">
        <v>101.64400000000001</v>
      </c>
      <c r="F368" t="s">
        <v>19</v>
      </c>
      <c r="G368" t="str">
        <f>_xlfn.XLOOKUP(transakcje[[#This Row],[podkategoria]],parametr[podkategoria],parametr[kategoria])</f>
        <v>dochody z pracy</v>
      </c>
      <c r="H368" t="str">
        <f>_xlfn.XLOOKUP(transakcje[[#This Row],[kategoria]],parametr[kategoria],parametr[typ])</f>
        <v>dochody</v>
      </c>
      <c r="I368" s="1">
        <f>ABS(transakcje[[#This Row],[kwota]])</f>
        <v>101.64400000000001</v>
      </c>
    </row>
    <row r="369" spans="1:9" x14ac:dyDescent="0.3">
      <c r="A369">
        <v>368</v>
      </c>
      <c r="B369">
        <v>2011</v>
      </c>
      <c r="C369">
        <v>7</v>
      </c>
      <c r="D369">
        <v>13</v>
      </c>
      <c r="E369" s="1">
        <v>-0.39800000000000002</v>
      </c>
      <c r="F369" t="s">
        <v>14</v>
      </c>
      <c r="G369" t="str">
        <f>_xlfn.XLOOKUP(transakcje[[#This Row],[podkategoria]],parametr[podkategoria],parametr[kategoria])</f>
        <v>opłaty stałe</v>
      </c>
      <c r="H369" t="str">
        <f>_xlfn.XLOOKUP(transakcje[[#This Row],[kategoria]],parametr[kategoria],parametr[typ])</f>
        <v>wydatki</v>
      </c>
      <c r="I369" s="1">
        <f>ABS(transakcje[[#This Row],[kwota]])</f>
        <v>0.39800000000000002</v>
      </c>
    </row>
    <row r="370" spans="1:9" x14ac:dyDescent="0.3">
      <c r="A370">
        <v>369</v>
      </c>
      <c r="B370">
        <v>2011</v>
      </c>
      <c r="C370">
        <v>7</v>
      </c>
      <c r="D370">
        <v>15</v>
      </c>
      <c r="E370" s="1">
        <v>-1.1960000000000002</v>
      </c>
      <c r="F370" t="s">
        <v>14</v>
      </c>
      <c r="G370" t="str">
        <f>_xlfn.XLOOKUP(transakcje[[#This Row],[podkategoria]],parametr[podkategoria],parametr[kategoria])</f>
        <v>opłaty stałe</v>
      </c>
      <c r="H370" t="str">
        <f>_xlfn.XLOOKUP(transakcje[[#This Row],[kategoria]],parametr[kategoria],parametr[typ])</f>
        <v>wydatki</v>
      </c>
      <c r="I370" s="1">
        <f>ABS(transakcje[[#This Row],[kwota]])</f>
        <v>1.1960000000000002</v>
      </c>
    </row>
    <row r="371" spans="1:9" x14ac:dyDescent="0.3">
      <c r="A371">
        <v>370</v>
      </c>
      <c r="B371">
        <v>2011</v>
      </c>
      <c r="C371">
        <v>7</v>
      </c>
      <c r="D371">
        <v>16</v>
      </c>
      <c r="E371" s="1">
        <v>-4.33</v>
      </c>
      <c r="F371" t="s">
        <v>26</v>
      </c>
      <c r="G371" t="str">
        <f>_xlfn.XLOOKUP(transakcje[[#This Row],[podkategoria]],parametr[podkategoria],parametr[kategoria])</f>
        <v>życie</v>
      </c>
      <c r="H371" t="str">
        <f>_xlfn.XLOOKUP(transakcje[[#This Row],[kategoria]],parametr[kategoria],parametr[typ])</f>
        <v>wydatki</v>
      </c>
      <c r="I371" s="1">
        <f>ABS(transakcje[[#This Row],[kwota]])</f>
        <v>4.33</v>
      </c>
    </row>
    <row r="372" spans="1:9" x14ac:dyDescent="0.3">
      <c r="A372">
        <v>371</v>
      </c>
      <c r="B372">
        <v>2011</v>
      </c>
      <c r="C372">
        <v>7</v>
      </c>
      <c r="D372">
        <v>16</v>
      </c>
      <c r="E372" s="1">
        <v>-6.63</v>
      </c>
      <c r="F372" t="s">
        <v>35</v>
      </c>
      <c r="G372" t="str">
        <f>_xlfn.XLOOKUP(transakcje[[#This Row],[podkategoria]],parametr[podkategoria],parametr[kategoria])</f>
        <v>opłaty stałe</v>
      </c>
      <c r="H372" t="str">
        <f>_xlfn.XLOOKUP(transakcje[[#This Row],[kategoria]],parametr[kategoria],parametr[typ])</f>
        <v>wydatki</v>
      </c>
      <c r="I372" s="1">
        <f>ABS(transakcje[[#This Row],[kwota]])</f>
        <v>6.63</v>
      </c>
    </row>
    <row r="373" spans="1:9" x14ac:dyDescent="0.3">
      <c r="A373">
        <v>372</v>
      </c>
      <c r="B373">
        <v>2011</v>
      </c>
      <c r="C373">
        <v>7</v>
      </c>
      <c r="D373">
        <v>25</v>
      </c>
      <c r="E373" s="1">
        <v>79.2</v>
      </c>
      <c r="F373" t="s">
        <v>16</v>
      </c>
      <c r="G373" t="str">
        <f>_xlfn.XLOOKUP(transakcje[[#This Row],[podkategoria]],parametr[podkategoria],parametr[kategoria])</f>
        <v>dochody z pracy</v>
      </c>
      <c r="H373" t="str">
        <f>_xlfn.XLOOKUP(transakcje[[#This Row],[kategoria]],parametr[kategoria],parametr[typ])</f>
        <v>dochody</v>
      </c>
      <c r="I373" s="1">
        <f>ABS(transakcje[[#This Row],[kwota]])</f>
        <v>79.2</v>
      </c>
    </row>
    <row r="374" spans="1:9" x14ac:dyDescent="0.3">
      <c r="A374">
        <v>373</v>
      </c>
      <c r="B374">
        <v>2011</v>
      </c>
      <c r="C374">
        <v>7</v>
      </c>
      <c r="D374">
        <v>27</v>
      </c>
      <c r="E374" s="1">
        <v>414.03000000000003</v>
      </c>
      <c r="F374" t="s">
        <v>8</v>
      </c>
      <c r="G374" t="str">
        <f>_xlfn.XLOOKUP(transakcje[[#This Row],[podkategoria]],parametr[podkategoria],parametr[kategoria])</f>
        <v>dochody z pracy</v>
      </c>
      <c r="H374" t="str">
        <f>_xlfn.XLOOKUP(transakcje[[#This Row],[kategoria]],parametr[kategoria],parametr[typ])</f>
        <v>dochody</v>
      </c>
      <c r="I374" s="1">
        <f>ABS(transakcje[[#This Row],[kwota]])</f>
        <v>414.03000000000003</v>
      </c>
    </row>
    <row r="375" spans="1:9" x14ac:dyDescent="0.3">
      <c r="A375">
        <v>374</v>
      </c>
      <c r="B375">
        <v>2011</v>
      </c>
      <c r="C375">
        <v>7</v>
      </c>
      <c r="D375">
        <v>29</v>
      </c>
      <c r="E375" s="1">
        <v>-8.7140000000000004</v>
      </c>
      <c r="F375" t="s">
        <v>26</v>
      </c>
      <c r="G375" t="str">
        <f>_xlfn.XLOOKUP(transakcje[[#This Row],[podkategoria]],parametr[podkategoria],parametr[kategoria])</f>
        <v>życie</v>
      </c>
      <c r="H375" t="str">
        <f>_xlfn.XLOOKUP(transakcje[[#This Row],[kategoria]],parametr[kategoria],parametr[typ])</f>
        <v>wydatki</v>
      </c>
      <c r="I375" s="1">
        <f>ABS(transakcje[[#This Row],[kwota]])</f>
        <v>8.7140000000000004</v>
      </c>
    </row>
    <row r="376" spans="1:9" x14ac:dyDescent="0.3">
      <c r="A376">
        <v>375</v>
      </c>
      <c r="B376">
        <v>2011</v>
      </c>
      <c r="C376">
        <v>7</v>
      </c>
      <c r="D376">
        <v>31</v>
      </c>
      <c r="E376" s="1">
        <v>2E-3</v>
      </c>
      <c r="F376" t="s">
        <v>17</v>
      </c>
      <c r="G376" t="str">
        <f>_xlfn.XLOOKUP(transakcje[[#This Row],[podkategoria]],parametr[podkategoria],parametr[kategoria])</f>
        <v>dochody pozostałe</v>
      </c>
      <c r="H376" t="str">
        <f>_xlfn.XLOOKUP(transakcje[[#This Row],[kategoria]],parametr[kategoria],parametr[typ])</f>
        <v>dochody</v>
      </c>
      <c r="I376" s="1">
        <f>ABS(transakcje[[#This Row],[kwota]])</f>
        <v>2E-3</v>
      </c>
    </row>
    <row r="377" spans="1:9" x14ac:dyDescent="0.3">
      <c r="A377">
        <v>376</v>
      </c>
      <c r="B377">
        <v>2011</v>
      </c>
      <c r="C377">
        <v>7</v>
      </c>
      <c r="D377">
        <v>31</v>
      </c>
      <c r="E377" s="1">
        <v>-1.198</v>
      </c>
      <c r="F377" t="s">
        <v>14</v>
      </c>
      <c r="G377" t="str">
        <f>_xlfn.XLOOKUP(transakcje[[#This Row],[podkategoria]],parametr[podkategoria],parametr[kategoria])</f>
        <v>opłaty stałe</v>
      </c>
      <c r="H377" t="str">
        <f>_xlfn.XLOOKUP(transakcje[[#This Row],[kategoria]],parametr[kategoria],parametr[typ])</f>
        <v>wydatki</v>
      </c>
      <c r="I377" s="1">
        <f>ABS(transakcje[[#This Row],[kwota]])</f>
        <v>1.198</v>
      </c>
    </row>
    <row r="378" spans="1:9" x14ac:dyDescent="0.3">
      <c r="A378">
        <v>377</v>
      </c>
      <c r="B378">
        <v>2011</v>
      </c>
      <c r="C378">
        <v>7</v>
      </c>
      <c r="D378">
        <v>31</v>
      </c>
      <c r="E378" s="1">
        <v>-0.5</v>
      </c>
      <c r="F378" t="s">
        <v>14</v>
      </c>
      <c r="G378" t="str">
        <f>_xlfn.XLOOKUP(transakcje[[#This Row],[podkategoria]],parametr[podkategoria],parametr[kategoria])</f>
        <v>opłaty stałe</v>
      </c>
      <c r="H378" t="str">
        <f>_xlfn.XLOOKUP(transakcje[[#This Row],[kategoria]],parametr[kategoria],parametr[typ])</f>
        <v>wydatki</v>
      </c>
      <c r="I378" s="1">
        <f>ABS(transakcje[[#This Row],[kwota]])</f>
        <v>0.5</v>
      </c>
    </row>
    <row r="379" spans="1:9" x14ac:dyDescent="0.3">
      <c r="A379">
        <v>378</v>
      </c>
      <c r="B379">
        <v>2011</v>
      </c>
      <c r="C379">
        <v>8</v>
      </c>
      <c r="D379">
        <v>1</v>
      </c>
      <c r="E379" s="1">
        <v>-9.0400000000000009</v>
      </c>
      <c r="F379" t="s">
        <v>25</v>
      </c>
      <c r="G379" t="str">
        <f>_xlfn.XLOOKUP(transakcje[[#This Row],[podkategoria]],parametr[podkategoria],parametr[kategoria])</f>
        <v>opłaty stałe</v>
      </c>
      <c r="H379" t="str">
        <f>_xlfn.XLOOKUP(transakcje[[#This Row],[kategoria]],parametr[kategoria],parametr[typ])</f>
        <v>wydatki</v>
      </c>
      <c r="I379" s="1">
        <f>ABS(transakcje[[#This Row],[kwota]])</f>
        <v>9.0400000000000009</v>
      </c>
    </row>
    <row r="380" spans="1:9" x14ac:dyDescent="0.3">
      <c r="A380">
        <v>379</v>
      </c>
      <c r="B380">
        <v>2011</v>
      </c>
      <c r="C380">
        <v>8</v>
      </c>
      <c r="D380">
        <v>1</v>
      </c>
      <c r="E380" s="1">
        <v>-74.75800000000001</v>
      </c>
      <c r="F380" t="s">
        <v>31</v>
      </c>
      <c r="G380" t="str">
        <f>_xlfn.XLOOKUP(transakcje[[#This Row],[podkategoria]],parametr[podkategoria],parametr[kategoria])</f>
        <v>opłaty stałe</v>
      </c>
      <c r="H380" t="str">
        <f>_xlfn.XLOOKUP(transakcje[[#This Row],[kategoria]],parametr[kategoria],parametr[typ])</f>
        <v>wydatki</v>
      </c>
      <c r="I380" s="1">
        <f>ABS(transakcje[[#This Row],[kwota]])</f>
        <v>74.75800000000001</v>
      </c>
    </row>
    <row r="381" spans="1:9" x14ac:dyDescent="0.3">
      <c r="A381">
        <v>380</v>
      </c>
      <c r="B381">
        <v>2011</v>
      </c>
      <c r="C381">
        <v>8</v>
      </c>
      <c r="D381">
        <v>1</v>
      </c>
      <c r="E381" s="1">
        <v>-9.7200000000000006</v>
      </c>
      <c r="F381" t="s">
        <v>23</v>
      </c>
      <c r="G381" t="str">
        <f>_xlfn.XLOOKUP(transakcje[[#This Row],[podkategoria]],parametr[podkategoria],parametr[kategoria])</f>
        <v>opłaty stałe</v>
      </c>
      <c r="H381" t="str">
        <f>_xlfn.XLOOKUP(transakcje[[#This Row],[kategoria]],parametr[kategoria],parametr[typ])</f>
        <v>wydatki</v>
      </c>
      <c r="I381" s="1">
        <f>ABS(transakcje[[#This Row],[kwota]])</f>
        <v>9.7200000000000006</v>
      </c>
    </row>
    <row r="382" spans="1:9" x14ac:dyDescent="0.3">
      <c r="A382">
        <v>381</v>
      </c>
      <c r="B382">
        <v>2011</v>
      </c>
      <c r="C382">
        <v>8</v>
      </c>
      <c r="D382">
        <v>4</v>
      </c>
      <c r="E382" s="1">
        <v>-20.2</v>
      </c>
      <c r="F382" t="s">
        <v>26</v>
      </c>
      <c r="G382" t="str">
        <f>_xlfn.XLOOKUP(transakcje[[#This Row],[podkategoria]],parametr[podkategoria],parametr[kategoria])</f>
        <v>życie</v>
      </c>
      <c r="H382" t="str">
        <f>_xlfn.XLOOKUP(transakcje[[#This Row],[kategoria]],parametr[kategoria],parametr[typ])</f>
        <v>wydatki</v>
      </c>
      <c r="I382" s="1">
        <f>ABS(transakcje[[#This Row],[kwota]])</f>
        <v>20.2</v>
      </c>
    </row>
    <row r="383" spans="1:9" x14ac:dyDescent="0.3">
      <c r="A383">
        <v>382</v>
      </c>
      <c r="B383">
        <v>2011</v>
      </c>
      <c r="C383">
        <v>8</v>
      </c>
      <c r="D383">
        <v>4</v>
      </c>
      <c r="E383" s="1">
        <v>-28.095999999999997</v>
      </c>
      <c r="F383" t="s">
        <v>26</v>
      </c>
      <c r="G383" t="str">
        <f>_xlfn.XLOOKUP(transakcje[[#This Row],[podkategoria]],parametr[podkategoria],parametr[kategoria])</f>
        <v>życie</v>
      </c>
      <c r="H383" t="str">
        <f>_xlfn.XLOOKUP(transakcje[[#This Row],[kategoria]],parametr[kategoria],parametr[typ])</f>
        <v>wydatki</v>
      </c>
      <c r="I383" s="1">
        <f>ABS(transakcje[[#This Row],[kwota]])</f>
        <v>28.095999999999997</v>
      </c>
    </row>
    <row r="384" spans="1:9" x14ac:dyDescent="0.3">
      <c r="A384">
        <v>383</v>
      </c>
      <c r="B384">
        <v>2011</v>
      </c>
      <c r="C384">
        <v>8</v>
      </c>
      <c r="D384">
        <v>9</v>
      </c>
      <c r="E384" s="1">
        <v>-2.25</v>
      </c>
      <c r="F384" t="s">
        <v>26</v>
      </c>
      <c r="G384" t="str">
        <f>_xlfn.XLOOKUP(transakcje[[#This Row],[podkategoria]],parametr[podkategoria],parametr[kategoria])</f>
        <v>życie</v>
      </c>
      <c r="H384" t="str">
        <f>_xlfn.XLOOKUP(transakcje[[#This Row],[kategoria]],parametr[kategoria],parametr[typ])</f>
        <v>wydatki</v>
      </c>
      <c r="I384" s="1">
        <f>ABS(transakcje[[#This Row],[kwota]])</f>
        <v>2.25</v>
      </c>
    </row>
    <row r="385" spans="1:9" x14ac:dyDescent="0.3">
      <c r="A385">
        <v>384</v>
      </c>
      <c r="B385">
        <v>2011</v>
      </c>
      <c r="C385">
        <v>8</v>
      </c>
      <c r="D385">
        <v>9</v>
      </c>
      <c r="E385" s="1">
        <v>-16.928000000000001</v>
      </c>
      <c r="F385" t="s">
        <v>11</v>
      </c>
      <c r="G385" t="str">
        <f>_xlfn.XLOOKUP(transakcje[[#This Row],[podkategoria]],parametr[podkategoria],parametr[kategoria])</f>
        <v>wydatki inne</v>
      </c>
      <c r="H385" t="str">
        <f>_xlfn.XLOOKUP(transakcje[[#This Row],[kategoria]],parametr[kategoria],parametr[typ])</f>
        <v>wydatki</v>
      </c>
      <c r="I385" s="1">
        <f>ABS(transakcje[[#This Row],[kwota]])</f>
        <v>16.928000000000001</v>
      </c>
    </row>
    <row r="386" spans="1:9" x14ac:dyDescent="0.3">
      <c r="A386">
        <v>385</v>
      </c>
      <c r="B386">
        <v>2011</v>
      </c>
      <c r="C386">
        <v>8</v>
      </c>
      <c r="D386">
        <v>10</v>
      </c>
      <c r="E386" s="1">
        <v>-6.9540000000000006</v>
      </c>
      <c r="F386" t="s">
        <v>26</v>
      </c>
      <c r="G386" t="str">
        <f>_xlfn.XLOOKUP(transakcje[[#This Row],[podkategoria]],parametr[podkategoria],parametr[kategoria])</f>
        <v>życie</v>
      </c>
      <c r="H386" t="str">
        <f>_xlfn.XLOOKUP(transakcje[[#This Row],[kategoria]],parametr[kategoria],parametr[typ])</f>
        <v>wydatki</v>
      </c>
      <c r="I386" s="1">
        <f>ABS(transakcje[[#This Row],[kwota]])</f>
        <v>6.9540000000000006</v>
      </c>
    </row>
    <row r="387" spans="1:9" x14ac:dyDescent="0.3">
      <c r="A387">
        <v>386</v>
      </c>
      <c r="B387">
        <v>2011</v>
      </c>
      <c r="C387">
        <v>8</v>
      </c>
      <c r="D387">
        <v>11</v>
      </c>
      <c r="E387" s="1">
        <v>-8.1780000000000008</v>
      </c>
      <c r="F387" t="s">
        <v>26</v>
      </c>
      <c r="G387" t="str">
        <f>_xlfn.XLOOKUP(transakcje[[#This Row],[podkategoria]],parametr[podkategoria],parametr[kategoria])</f>
        <v>życie</v>
      </c>
      <c r="H387" t="str">
        <f>_xlfn.XLOOKUP(transakcje[[#This Row],[kategoria]],parametr[kategoria],parametr[typ])</f>
        <v>wydatki</v>
      </c>
      <c r="I387" s="1">
        <f>ABS(transakcje[[#This Row],[kwota]])</f>
        <v>8.1780000000000008</v>
      </c>
    </row>
    <row r="388" spans="1:9" x14ac:dyDescent="0.3">
      <c r="A388">
        <v>387</v>
      </c>
      <c r="B388">
        <v>2011</v>
      </c>
      <c r="C388">
        <v>8</v>
      </c>
      <c r="D388">
        <v>12</v>
      </c>
      <c r="E388" s="1">
        <v>-10</v>
      </c>
      <c r="F388" t="s">
        <v>26</v>
      </c>
      <c r="G388" t="str">
        <f>_xlfn.XLOOKUP(transakcje[[#This Row],[podkategoria]],parametr[podkategoria],parametr[kategoria])</f>
        <v>życie</v>
      </c>
      <c r="H388" t="str">
        <f>_xlfn.XLOOKUP(transakcje[[#This Row],[kategoria]],parametr[kategoria],parametr[typ])</f>
        <v>wydatki</v>
      </c>
      <c r="I388" s="1">
        <f>ABS(transakcje[[#This Row],[kwota]])</f>
        <v>10</v>
      </c>
    </row>
    <row r="389" spans="1:9" x14ac:dyDescent="0.3">
      <c r="A389">
        <v>388</v>
      </c>
      <c r="B389">
        <v>2011</v>
      </c>
      <c r="C389">
        <v>8</v>
      </c>
      <c r="D389">
        <v>15</v>
      </c>
      <c r="E389" s="1">
        <v>-1.1960000000000002</v>
      </c>
      <c r="F389" t="s">
        <v>14</v>
      </c>
      <c r="G389" t="str">
        <f>_xlfn.XLOOKUP(transakcje[[#This Row],[podkategoria]],parametr[podkategoria],parametr[kategoria])</f>
        <v>opłaty stałe</v>
      </c>
      <c r="H389" t="str">
        <f>_xlfn.XLOOKUP(transakcje[[#This Row],[kategoria]],parametr[kategoria],parametr[typ])</f>
        <v>wydatki</v>
      </c>
      <c r="I389" s="1">
        <f>ABS(transakcje[[#This Row],[kwota]])</f>
        <v>1.1960000000000002</v>
      </c>
    </row>
    <row r="390" spans="1:9" x14ac:dyDescent="0.3">
      <c r="A390">
        <v>389</v>
      </c>
      <c r="B390">
        <v>2011</v>
      </c>
      <c r="C390">
        <v>8</v>
      </c>
      <c r="D390">
        <v>17</v>
      </c>
      <c r="E390" s="1">
        <v>-0.79600000000000004</v>
      </c>
      <c r="F390" t="s">
        <v>14</v>
      </c>
      <c r="G390" t="str">
        <f>_xlfn.XLOOKUP(transakcje[[#This Row],[podkategoria]],parametr[podkategoria],parametr[kategoria])</f>
        <v>opłaty stałe</v>
      </c>
      <c r="H390" t="str">
        <f>_xlfn.XLOOKUP(transakcje[[#This Row],[kategoria]],parametr[kategoria],parametr[typ])</f>
        <v>wydatki</v>
      </c>
      <c r="I390" s="1">
        <f>ABS(transakcje[[#This Row],[kwota]])</f>
        <v>0.79600000000000004</v>
      </c>
    </row>
    <row r="391" spans="1:9" x14ac:dyDescent="0.3">
      <c r="A391">
        <v>390</v>
      </c>
      <c r="B391">
        <v>2011</v>
      </c>
      <c r="C391">
        <v>8</v>
      </c>
      <c r="D391">
        <v>18</v>
      </c>
      <c r="E391" s="1">
        <v>-2E-3</v>
      </c>
      <c r="F391" t="s">
        <v>14</v>
      </c>
      <c r="G391" t="str">
        <f>_xlfn.XLOOKUP(transakcje[[#This Row],[podkategoria]],parametr[podkategoria],parametr[kategoria])</f>
        <v>opłaty stałe</v>
      </c>
      <c r="H391" t="str">
        <f>_xlfn.XLOOKUP(transakcje[[#This Row],[kategoria]],parametr[kategoria],parametr[typ])</f>
        <v>wydatki</v>
      </c>
      <c r="I391" s="1">
        <f>ABS(transakcje[[#This Row],[kwota]])</f>
        <v>2E-3</v>
      </c>
    </row>
    <row r="392" spans="1:9" x14ac:dyDescent="0.3">
      <c r="A392">
        <v>391</v>
      </c>
      <c r="B392">
        <v>2011</v>
      </c>
      <c r="C392">
        <v>8</v>
      </c>
      <c r="D392">
        <v>18</v>
      </c>
      <c r="E392" s="1">
        <v>-5</v>
      </c>
      <c r="F392" t="s">
        <v>26</v>
      </c>
      <c r="G392" t="str">
        <f>_xlfn.XLOOKUP(transakcje[[#This Row],[podkategoria]],parametr[podkategoria],parametr[kategoria])</f>
        <v>życie</v>
      </c>
      <c r="H392" t="str">
        <f>_xlfn.XLOOKUP(transakcje[[#This Row],[kategoria]],parametr[kategoria],parametr[typ])</f>
        <v>wydatki</v>
      </c>
      <c r="I392" s="1">
        <f>ABS(transakcje[[#This Row],[kwota]])</f>
        <v>5</v>
      </c>
    </row>
    <row r="393" spans="1:9" x14ac:dyDescent="0.3">
      <c r="A393">
        <v>392</v>
      </c>
      <c r="B393">
        <v>2011</v>
      </c>
      <c r="C393">
        <v>8</v>
      </c>
      <c r="D393">
        <v>18</v>
      </c>
      <c r="E393" s="1">
        <v>-4.5419999999999998</v>
      </c>
      <c r="F393" t="s">
        <v>26</v>
      </c>
      <c r="G393" t="str">
        <f>_xlfn.XLOOKUP(transakcje[[#This Row],[podkategoria]],parametr[podkategoria],parametr[kategoria])</f>
        <v>życie</v>
      </c>
      <c r="H393" t="str">
        <f>_xlfn.XLOOKUP(transakcje[[#This Row],[kategoria]],parametr[kategoria],parametr[typ])</f>
        <v>wydatki</v>
      </c>
      <c r="I393" s="1">
        <f>ABS(transakcje[[#This Row],[kwota]])</f>
        <v>4.5419999999999998</v>
      </c>
    </row>
    <row r="394" spans="1:9" x14ac:dyDescent="0.3">
      <c r="A394">
        <v>393</v>
      </c>
      <c r="B394">
        <v>2011</v>
      </c>
      <c r="C394">
        <v>8</v>
      </c>
      <c r="D394">
        <v>25</v>
      </c>
      <c r="E394" s="1">
        <v>414.03000000000003</v>
      </c>
      <c r="F394" t="s">
        <v>8</v>
      </c>
      <c r="G394" t="str">
        <f>_xlfn.XLOOKUP(transakcje[[#This Row],[podkategoria]],parametr[podkategoria],parametr[kategoria])</f>
        <v>dochody z pracy</v>
      </c>
      <c r="H394" t="str">
        <f>_xlfn.XLOOKUP(transakcje[[#This Row],[kategoria]],parametr[kategoria],parametr[typ])</f>
        <v>dochody</v>
      </c>
      <c r="I394" s="1">
        <f>ABS(transakcje[[#This Row],[kwota]])</f>
        <v>414.03000000000003</v>
      </c>
    </row>
    <row r="395" spans="1:9" x14ac:dyDescent="0.3">
      <c r="A395">
        <v>394</v>
      </c>
      <c r="B395">
        <v>2011</v>
      </c>
      <c r="C395">
        <v>8</v>
      </c>
      <c r="D395">
        <v>25</v>
      </c>
      <c r="E395" s="1">
        <v>-11.134</v>
      </c>
      <c r="F395" t="s">
        <v>26</v>
      </c>
      <c r="G395" t="str">
        <f>_xlfn.XLOOKUP(transakcje[[#This Row],[podkategoria]],parametr[podkategoria],parametr[kategoria])</f>
        <v>życie</v>
      </c>
      <c r="H395" t="str">
        <f>_xlfn.XLOOKUP(transakcje[[#This Row],[kategoria]],parametr[kategoria],parametr[typ])</f>
        <v>wydatki</v>
      </c>
      <c r="I395" s="1">
        <f>ABS(transakcje[[#This Row],[kwota]])</f>
        <v>11.134</v>
      </c>
    </row>
    <row r="396" spans="1:9" x14ac:dyDescent="0.3">
      <c r="A396">
        <v>395</v>
      </c>
      <c r="B396">
        <v>2011</v>
      </c>
      <c r="C396">
        <v>8</v>
      </c>
      <c r="D396">
        <v>26</v>
      </c>
      <c r="E396" s="1">
        <v>-5.7299999999999995</v>
      </c>
      <c r="F396" t="s">
        <v>26</v>
      </c>
      <c r="G396" t="str">
        <f>_xlfn.XLOOKUP(transakcje[[#This Row],[podkategoria]],parametr[podkategoria],parametr[kategoria])</f>
        <v>życie</v>
      </c>
      <c r="H396" t="str">
        <f>_xlfn.XLOOKUP(transakcje[[#This Row],[kategoria]],parametr[kategoria],parametr[typ])</f>
        <v>wydatki</v>
      </c>
      <c r="I396" s="1">
        <f>ABS(transakcje[[#This Row],[kwota]])</f>
        <v>5.7299999999999995</v>
      </c>
    </row>
    <row r="397" spans="1:9" x14ac:dyDescent="0.3">
      <c r="A397">
        <v>396</v>
      </c>
      <c r="B397">
        <v>2011</v>
      </c>
      <c r="C397">
        <v>8</v>
      </c>
      <c r="D397">
        <v>29</v>
      </c>
      <c r="E397" s="1">
        <v>-16.2</v>
      </c>
      <c r="F397" t="s">
        <v>32</v>
      </c>
      <c r="G397" t="str">
        <f>_xlfn.XLOOKUP(transakcje[[#This Row],[podkategoria]],parametr[podkategoria],parametr[kategoria])</f>
        <v>opłaty stałe</v>
      </c>
      <c r="H397" t="str">
        <f>_xlfn.XLOOKUP(transakcje[[#This Row],[kategoria]],parametr[kategoria],parametr[typ])</f>
        <v>wydatki</v>
      </c>
      <c r="I397" s="1">
        <f>ABS(transakcje[[#This Row],[kwota]])</f>
        <v>16.2</v>
      </c>
    </row>
    <row r="398" spans="1:9" x14ac:dyDescent="0.3">
      <c r="A398">
        <v>397</v>
      </c>
      <c r="B398">
        <v>2011</v>
      </c>
      <c r="C398">
        <v>8</v>
      </c>
      <c r="D398">
        <v>31</v>
      </c>
      <c r="E398" s="1">
        <v>2E-3</v>
      </c>
      <c r="F398" t="s">
        <v>17</v>
      </c>
      <c r="G398" t="str">
        <f>_xlfn.XLOOKUP(transakcje[[#This Row],[podkategoria]],parametr[podkategoria],parametr[kategoria])</f>
        <v>dochody pozostałe</v>
      </c>
      <c r="H398" t="str">
        <f>_xlfn.XLOOKUP(transakcje[[#This Row],[kategoria]],parametr[kategoria],parametr[typ])</f>
        <v>dochody</v>
      </c>
      <c r="I398" s="1">
        <f>ABS(transakcje[[#This Row],[kwota]])</f>
        <v>2E-3</v>
      </c>
    </row>
    <row r="399" spans="1:9" x14ac:dyDescent="0.3">
      <c r="A399">
        <v>398</v>
      </c>
      <c r="B399">
        <v>2011</v>
      </c>
      <c r="C399">
        <v>8</v>
      </c>
      <c r="D399">
        <v>31</v>
      </c>
      <c r="E399" s="1">
        <v>-1.198</v>
      </c>
      <c r="F399" t="s">
        <v>14</v>
      </c>
      <c r="G399" t="str">
        <f>_xlfn.XLOOKUP(transakcje[[#This Row],[podkategoria]],parametr[podkategoria],parametr[kategoria])</f>
        <v>opłaty stałe</v>
      </c>
      <c r="H399" t="str">
        <f>_xlfn.XLOOKUP(transakcje[[#This Row],[kategoria]],parametr[kategoria],parametr[typ])</f>
        <v>wydatki</v>
      </c>
      <c r="I399" s="1">
        <f>ABS(transakcje[[#This Row],[kwota]])</f>
        <v>1.198</v>
      </c>
    </row>
    <row r="400" spans="1:9" x14ac:dyDescent="0.3">
      <c r="A400">
        <v>399</v>
      </c>
      <c r="B400">
        <v>2011</v>
      </c>
      <c r="C400">
        <v>8</v>
      </c>
      <c r="D400">
        <v>31</v>
      </c>
      <c r="E400" s="1">
        <v>-0.1</v>
      </c>
      <c r="F400" t="s">
        <v>14</v>
      </c>
      <c r="G400" t="str">
        <f>_xlfn.XLOOKUP(transakcje[[#This Row],[podkategoria]],parametr[podkategoria],parametr[kategoria])</f>
        <v>opłaty stałe</v>
      </c>
      <c r="H400" t="str">
        <f>_xlfn.XLOOKUP(transakcje[[#This Row],[kategoria]],parametr[kategoria],parametr[typ])</f>
        <v>wydatki</v>
      </c>
      <c r="I400" s="1">
        <f>ABS(transakcje[[#This Row],[kwota]])</f>
        <v>0.1</v>
      </c>
    </row>
    <row r="401" spans="1:9" x14ac:dyDescent="0.3">
      <c r="A401">
        <v>400</v>
      </c>
      <c r="B401">
        <v>2011</v>
      </c>
      <c r="C401">
        <v>9</v>
      </c>
      <c r="D401">
        <v>2</v>
      </c>
      <c r="E401" s="1">
        <v>-74.75800000000001</v>
      </c>
      <c r="F401" t="s">
        <v>31</v>
      </c>
      <c r="G401" t="str">
        <f>_xlfn.XLOOKUP(transakcje[[#This Row],[podkategoria]],parametr[podkategoria],parametr[kategoria])</f>
        <v>opłaty stałe</v>
      </c>
      <c r="H401" t="str">
        <f>_xlfn.XLOOKUP(transakcje[[#This Row],[kategoria]],parametr[kategoria],parametr[typ])</f>
        <v>wydatki</v>
      </c>
      <c r="I401" s="1">
        <f>ABS(transakcje[[#This Row],[kwota]])</f>
        <v>74.75800000000001</v>
      </c>
    </row>
    <row r="402" spans="1:9" x14ac:dyDescent="0.3">
      <c r="A402">
        <v>401</v>
      </c>
      <c r="B402">
        <v>2011</v>
      </c>
      <c r="C402">
        <v>9</v>
      </c>
      <c r="D402">
        <v>2</v>
      </c>
      <c r="E402" s="1">
        <v>-6.63</v>
      </c>
      <c r="F402" t="s">
        <v>35</v>
      </c>
      <c r="G402" t="str">
        <f>_xlfn.XLOOKUP(transakcje[[#This Row],[podkategoria]],parametr[podkategoria],parametr[kategoria])</f>
        <v>opłaty stałe</v>
      </c>
      <c r="H402" t="str">
        <f>_xlfn.XLOOKUP(transakcje[[#This Row],[kategoria]],parametr[kategoria],parametr[typ])</f>
        <v>wydatki</v>
      </c>
      <c r="I402" s="1">
        <f>ABS(transakcje[[#This Row],[kwota]])</f>
        <v>6.63</v>
      </c>
    </row>
    <row r="403" spans="1:9" x14ac:dyDescent="0.3">
      <c r="A403">
        <v>402</v>
      </c>
      <c r="B403">
        <v>2011</v>
      </c>
      <c r="C403">
        <v>9</v>
      </c>
      <c r="D403">
        <v>2</v>
      </c>
      <c r="E403" s="1">
        <v>-9.7200000000000006</v>
      </c>
      <c r="F403" t="s">
        <v>23</v>
      </c>
      <c r="G403" t="str">
        <f>_xlfn.XLOOKUP(transakcje[[#This Row],[podkategoria]],parametr[podkategoria],parametr[kategoria])</f>
        <v>opłaty stałe</v>
      </c>
      <c r="H403" t="str">
        <f>_xlfn.XLOOKUP(transakcje[[#This Row],[kategoria]],parametr[kategoria],parametr[typ])</f>
        <v>wydatki</v>
      </c>
      <c r="I403" s="1">
        <f>ABS(transakcje[[#This Row],[kwota]])</f>
        <v>9.7200000000000006</v>
      </c>
    </row>
    <row r="404" spans="1:9" x14ac:dyDescent="0.3">
      <c r="A404">
        <v>403</v>
      </c>
      <c r="B404">
        <v>2011</v>
      </c>
      <c r="C404">
        <v>9</v>
      </c>
      <c r="D404">
        <v>2</v>
      </c>
      <c r="E404" s="1">
        <v>-14.180000000000001</v>
      </c>
      <c r="F404" t="s">
        <v>34</v>
      </c>
      <c r="G404" t="str">
        <f>_xlfn.XLOOKUP(transakcje[[#This Row],[podkategoria]],parametr[podkategoria],parametr[kategoria])</f>
        <v>opłaty stałe</v>
      </c>
      <c r="H404" t="str">
        <f>_xlfn.XLOOKUP(transakcje[[#This Row],[kategoria]],parametr[kategoria],parametr[typ])</f>
        <v>wydatki</v>
      </c>
      <c r="I404" s="1">
        <f>ABS(transakcje[[#This Row],[kwota]])</f>
        <v>14.180000000000001</v>
      </c>
    </row>
    <row r="405" spans="1:9" x14ac:dyDescent="0.3">
      <c r="A405">
        <v>404</v>
      </c>
      <c r="B405">
        <v>2011</v>
      </c>
      <c r="C405">
        <v>9</v>
      </c>
      <c r="D405">
        <v>2</v>
      </c>
      <c r="E405" s="1">
        <v>-7.9799999999999995</v>
      </c>
      <c r="F405" t="s">
        <v>25</v>
      </c>
      <c r="G405" t="str">
        <f>_xlfn.XLOOKUP(transakcje[[#This Row],[podkategoria]],parametr[podkategoria],parametr[kategoria])</f>
        <v>opłaty stałe</v>
      </c>
      <c r="H405" t="str">
        <f>_xlfn.XLOOKUP(transakcje[[#This Row],[kategoria]],parametr[kategoria],parametr[typ])</f>
        <v>wydatki</v>
      </c>
      <c r="I405" s="1">
        <f>ABS(transakcje[[#This Row],[kwota]])</f>
        <v>7.9799999999999995</v>
      </c>
    </row>
    <row r="406" spans="1:9" x14ac:dyDescent="0.3">
      <c r="A406">
        <v>405</v>
      </c>
      <c r="B406">
        <v>2011</v>
      </c>
      <c r="C406">
        <v>9</v>
      </c>
      <c r="D406">
        <v>2</v>
      </c>
      <c r="E406" s="1">
        <v>-10.398</v>
      </c>
      <c r="F406" t="s">
        <v>26</v>
      </c>
      <c r="G406" t="str">
        <f>_xlfn.XLOOKUP(transakcje[[#This Row],[podkategoria]],parametr[podkategoria],parametr[kategoria])</f>
        <v>życie</v>
      </c>
      <c r="H406" t="str">
        <f>_xlfn.XLOOKUP(transakcje[[#This Row],[kategoria]],parametr[kategoria],parametr[typ])</f>
        <v>wydatki</v>
      </c>
      <c r="I406" s="1">
        <f>ABS(transakcje[[#This Row],[kwota]])</f>
        <v>10.398</v>
      </c>
    </row>
    <row r="407" spans="1:9" x14ac:dyDescent="0.3">
      <c r="A407">
        <v>406</v>
      </c>
      <c r="B407">
        <v>2011</v>
      </c>
      <c r="C407">
        <v>9</v>
      </c>
      <c r="D407">
        <v>3</v>
      </c>
      <c r="E407" s="1">
        <v>-13</v>
      </c>
      <c r="F407" t="s">
        <v>20</v>
      </c>
      <c r="G407" t="str">
        <f>_xlfn.XLOOKUP(transakcje[[#This Row],[podkategoria]],parametr[podkategoria],parametr[kategoria])</f>
        <v>trwałe</v>
      </c>
      <c r="H407" t="str">
        <f>_xlfn.XLOOKUP(transakcje[[#This Row],[kategoria]],parametr[kategoria],parametr[typ])</f>
        <v>wydatki</v>
      </c>
      <c r="I407" s="1">
        <f>ABS(transakcje[[#This Row],[kwota]])</f>
        <v>13</v>
      </c>
    </row>
    <row r="408" spans="1:9" x14ac:dyDescent="0.3">
      <c r="A408">
        <v>407</v>
      </c>
      <c r="B408">
        <v>2011</v>
      </c>
      <c r="C408">
        <v>9</v>
      </c>
      <c r="D408">
        <v>4</v>
      </c>
      <c r="E408" s="1">
        <v>-8.8680000000000003</v>
      </c>
      <c r="F408" t="s">
        <v>26</v>
      </c>
      <c r="G408" t="str">
        <f>_xlfn.XLOOKUP(transakcje[[#This Row],[podkategoria]],parametr[podkategoria],parametr[kategoria])</f>
        <v>życie</v>
      </c>
      <c r="H408" t="str">
        <f>_xlfn.XLOOKUP(transakcje[[#This Row],[kategoria]],parametr[kategoria],parametr[typ])</f>
        <v>wydatki</v>
      </c>
      <c r="I408" s="1">
        <f>ABS(transakcje[[#This Row],[kwota]])</f>
        <v>8.8680000000000003</v>
      </c>
    </row>
    <row r="409" spans="1:9" x14ac:dyDescent="0.3">
      <c r="A409">
        <v>408</v>
      </c>
      <c r="B409">
        <v>2011</v>
      </c>
      <c r="C409">
        <v>9</v>
      </c>
      <c r="D409">
        <v>12</v>
      </c>
      <c r="E409" s="1">
        <v>-16.2</v>
      </c>
      <c r="F409" t="s">
        <v>32</v>
      </c>
      <c r="G409" t="str">
        <f>_xlfn.XLOOKUP(transakcje[[#This Row],[podkategoria]],parametr[podkategoria],parametr[kategoria])</f>
        <v>opłaty stałe</v>
      </c>
      <c r="H409" t="str">
        <f>_xlfn.XLOOKUP(transakcje[[#This Row],[kategoria]],parametr[kategoria],parametr[typ])</f>
        <v>wydatki</v>
      </c>
      <c r="I409" s="1">
        <f>ABS(transakcje[[#This Row],[kwota]])</f>
        <v>16.2</v>
      </c>
    </row>
    <row r="410" spans="1:9" x14ac:dyDescent="0.3">
      <c r="A410">
        <v>409</v>
      </c>
      <c r="B410">
        <v>2011</v>
      </c>
      <c r="C410">
        <v>9</v>
      </c>
      <c r="D410">
        <v>12</v>
      </c>
      <c r="E410" s="1">
        <v>-35.15</v>
      </c>
      <c r="F410" t="s">
        <v>26</v>
      </c>
      <c r="G410" t="str">
        <f>_xlfn.XLOOKUP(transakcje[[#This Row],[podkategoria]],parametr[podkategoria],parametr[kategoria])</f>
        <v>życie</v>
      </c>
      <c r="H410" t="str">
        <f>_xlfn.XLOOKUP(transakcje[[#This Row],[kategoria]],parametr[kategoria],parametr[typ])</f>
        <v>wydatki</v>
      </c>
      <c r="I410" s="1">
        <f>ABS(transakcje[[#This Row],[kwota]])</f>
        <v>35.15</v>
      </c>
    </row>
    <row r="411" spans="1:9" x14ac:dyDescent="0.3">
      <c r="A411">
        <v>410</v>
      </c>
      <c r="B411">
        <v>2011</v>
      </c>
      <c r="C411">
        <v>9</v>
      </c>
      <c r="D411">
        <v>13</v>
      </c>
      <c r="E411" s="1">
        <v>-0.39800000000000002</v>
      </c>
      <c r="F411" t="s">
        <v>14</v>
      </c>
      <c r="G411" t="str">
        <f>_xlfn.XLOOKUP(transakcje[[#This Row],[podkategoria]],parametr[podkategoria],parametr[kategoria])</f>
        <v>opłaty stałe</v>
      </c>
      <c r="H411" t="str">
        <f>_xlfn.XLOOKUP(transakcje[[#This Row],[kategoria]],parametr[kategoria],parametr[typ])</f>
        <v>wydatki</v>
      </c>
      <c r="I411" s="1">
        <f>ABS(transakcje[[#This Row],[kwota]])</f>
        <v>0.39800000000000002</v>
      </c>
    </row>
    <row r="412" spans="1:9" x14ac:dyDescent="0.3">
      <c r="A412">
        <v>411</v>
      </c>
      <c r="B412">
        <v>2011</v>
      </c>
      <c r="C412">
        <v>9</v>
      </c>
      <c r="D412">
        <v>15</v>
      </c>
      <c r="E412" s="1">
        <v>-1.1960000000000002</v>
      </c>
      <c r="F412" t="s">
        <v>14</v>
      </c>
      <c r="G412" t="str">
        <f>_xlfn.XLOOKUP(transakcje[[#This Row],[podkategoria]],parametr[podkategoria],parametr[kategoria])</f>
        <v>opłaty stałe</v>
      </c>
      <c r="H412" t="str">
        <f>_xlfn.XLOOKUP(transakcje[[#This Row],[kategoria]],parametr[kategoria],parametr[typ])</f>
        <v>wydatki</v>
      </c>
      <c r="I412" s="1">
        <f>ABS(transakcje[[#This Row],[kwota]])</f>
        <v>1.1960000000000002</v>
      </c>
    </row>
    <row r="413" spans="1:9" x14ac:dyDescent="0.3">
      <c r="A413">
        <v>412</v>
      </c>
      <c r="B413">
        <v>2011</v>
      </c>
      <c r="C413">
        <v>9</v>
      </c>
      <c r="D413">
        <v>26</v>
      </c>
      <c r="E413" s="1">
        <v>414.03000000000003</v>
      </c>
      <c r="F413" t="s">
        <v>8</v>
      </c>
      <c r="G413" t="str">
        <f>_xlfn.XLOOKUP(transakcje[[#This Row],[podkategoria]],parametr[podkategoria],parametr[kategoria])</f>
        <v>dochody z pracy</v>
      </c>
      <c r="H413" t="str">
        <f>_xlfn.XLOOKUP(transakcje[[#This Row],[kategoria]],parametr[kategoria],parametr[typ])</f>
        <v>dochody</v>
      </c>
      <c r="I413" s="1">
        <f>ABS(transakcje[[#This Row],[kwota]])</f>
        <v>414.03000000000003</v>
      </c>
    </row>
    <row r="414" spans="1:9" x14ac:dyDescent="0.3">
      <c r="A414">
        <v>413</v>
      </c>
      <c r="B414">
        <v>2011</v>
      </c>
      <c r="C414">
        <v>9</v>
      </c>
      <c r="D414">
        <v>29</v>
      </c>
      <c r="E414" s="1">
        <v>-5.6880000000000006</v>
      </c>
      <c r="F414" t="s">
        <v>26</v>
      </c>
      <c r="G414" t="str">
        <f>_xlfn.XLOOKUP(transakcje[[#This Row],[podkategoria]],parametr[podkategoria],parametr[kategoria])</f>
        <v>życie</v>
      </c>
      <c r="H414" t="str">
        <f>_xlfn.XLOOKUP(transakcje[[#This Row],[kategoria]],parametr[kategoria],parametr[typ])</f>
        <v>wydatki</v>
      </c>
      <c r="I414" s="1">
        <f>ABS(transakcje[[#This Row],[kwota]])</f>
        <v>5.6880000000000006</v>
      </c>
    </row>
    <row r="415" spans="1:9" x14ac:dyDescent="0.3">
      <c r="A415">
        <v>414</v>
      </c>
      <c r="B415">
        <v>2011</v>
      </c>
      <c r="C415">
        <v>9</v>
      </c>
      <c r="D415">
        <v>30</v>
      </c>
      <c r="E415" s="1">
        <v>2E-3</v>
      </c>
      <c r="F415" t="s">
        <v>17</v>
      </c>
      <c r="G415" t="str">
        <f>_xlfn.XLOOKUP(transakcje[[#This Row],[podkategoria]],parametr[podkategoria],parametr[kategoria])</f>
        <v>dochody pozostałe</v>
      </c>
      <c r="H415" t="str">
        <f>_xlfn.XLOOKUP(transakcje[[#This Row],[kategoria]],parametr[kategoria],parametr[typ])</f>
        <v>dochody</v>
      </c>
      <c r="I415" s="1">
        <f>ABS(transakcje[[#This Row],[kwota]])</f>
        <v>2E-3</v>
      </c>
    </row>
    <row r="416" spans="1:9" x14ac:dyDescent="0.3">
      <c r="A416">
        <v>415</v>
      </c>
      <c r="B416">
        <v>2011</v>
      </c>
      <c r="C416">
        <v>9</v>
      </c>
      <c r="D416">
        <v>30</v>
      </c>
      <c r="E416" s="1">
        <v>-1.198</v>
      </c>
      <c r="F416" t="s">
        <v>14</v>
      </c>
      <c r="G416" t="str">
        <f>_xlfn.XLOOKUP(transakcje[[#This Row],[podkategoria]],parametr[podkategoria],parametr[kategoria])</f>
        <v>opłaty stałe</v>
      </c>
      <c r="H416" t="str">
        <f>_xlfn.XLOOKUP(transakcje[[#This Row],[kategoria]],parametr[kategoria],parametr[typ])</f>
        <v>wydatki</v>
      </c>
      <c r="I416" s="1">
        <f>ABS(transakcje[[#This Row],[kwota]])</f>
        <v>1.198</v>
      </c>
    </row>
    <row r="417" spans="1:9" x14ac:dyDescent="0.3">
      <c r="A417">
        <v>416</v>
      </c>
      <c r="B417">
        <v>2011</v>
      </c>
      <c r="C417">
        <v>9</v>
      </c>
      <c r="D417">
        <v>30</v>
      </c>
      <c r="E417" s="1">
        <v>-0.7</v>
      </c>
      <c r="F417" t="s">
        <v>14</v>
      </c>
      <c r="G417" t="str">
        <f>_xlfn.XLOOKUP(transakcje[[#This Row],[podkategoria]],parametr[podkategoria],parametr[kategoria])</f>
        <v>opłaty stałe</v>
      </c>
      <c r="H417" t="str">
        <f>_xlfn.XLOOKUP(transakcje[[#This Row],[kategoria]],parametr[kategoria],parametr[typ])</f>
        <v>wydatki</v>
      </c>
      <c r="I417" s="1">
        <f>ABS(transakcje[[#This Row],[kwota]])</f>
        <v>0.7</v>
      </c>
    </row>
    <row r="418" spans="1:9" x14ac:dyDescent="0.3">
      <c r="A418">
        <v>417</v>
      </c>
      <c r="B418">
        <v>2011</v>
      </c>
      <c r="C418">
        <v>10</v>
      </c>
      <c r="D418">
        <v>1</v>
      </c>
      <c r="E418" s="1">
        <v>-74.75800000000001</v>
      </c>
      <c r="F418" t="s">
        <v>31</v>
      </c>
      <c r="G418" t="str">
        <f>_xlfn.XLOOKUP(transakcje[[#This Row],[podkategoria]],parametr[podkategoria],parametr[kategoria])</f>
        <v>opłaty stałe</v>
      </c>
      <c r="H418" t="str">
        <f>_xlfn.XLOOKUP(transakcje[[#This Row],[kategoria]],parametr[kategoria],parametr[typ])</f>
        <v>wydatki</v>
      </c>
      <c r="I418" s="1">
        <f>ABS(transakcje[[#This Row],[kwota]])</f>
        <v>74.75800000000001</v>
      </c>
    </row>
    <row r="419" spans="1:9" x14ac:dyDescent="0.3">
      <c r="A419">
        <v>418</v>
      </c>
      <c r="B419">
        <v>2011</v>
      </c>
      <c r="C419">
        <v>10</v>
      </c>
      <c r="D419">
        <v>1</v>
      </c>
      <c r="E419" s="1">
        <v>-1.6600000000000001</v>
      </c>
      <c r="F419" t="s">
        <v>26</v>
      </c>
      <c r="G419" t="str">
        <f>_xlfn.XLOOKUP(transakcje[[#This Row],[podkategoria]],parametr[podkategoria],parametr[kategoria])</f>
        <v>życie</v>
      </c>
      <c r="H419" t="str">
        <f>_xlfn.XLOOKUP(transakcje[[#This Row],[kategoria]],parametr[kategoria],parametr[typ])</f>
        <v>wydatki</v>
      </c>
      <c r="I419" s="1">
        <f>ABS(transakcje[[#This Row],[kwota]])</f>
        <v>1.6600000000000001</v>
      </c>
    </row>
    <row r="420" spans="1:9" x14ac:dyDescent="0.3">
      <c r="A420">
        <v>419</v>
      </c>
      <c r="B420">
        <v>2011</v>
      </c>
      <c r="C420">
        <v>10</v>
      </c>
      <c r="D420">
        <v>1</v>
      </c>
      <c r="E420" s="1">
        <v>-9.7200000000000006</v>
      </c>
      <c r="F420" t="s">
        <v>23</v>
      </c>
      <c r="G420" t="str">
        <f>_xlfn.XLOOKUP(transakcje[[#This Row],[podkategoria]],parametr[podkategoria],parametr[kategoria])</f>
        <v>opłaty stałe</v>
      </c>
      <c r="H420" t="str">
        <f>_xlfn.XLOOKUP(transakcje[[#This Row],[kategoria]],parametr[kategoria],parametr[typ])</f>
        <v>wydatki</v>
      </c>
      <c r="I420" s="1">
        <f>ABS(transakcje[[#This Row],[kwota]])</f>
        <v>9.7200000000000006</v>
      </c>
    </row>
    <row r="421" spans="1:9" x14ac:dyDescent="0.3">
      <c r="A421">
        <v>420</v>
      </c>
      <c r="B421">
        <v>2011</v>
      </c>
      <c r="C421">
        <v>10</v>
      </c>
      <c r="D421">
        <v>1</v>
      </c>
      <c r="E421" s="1">
        <v>-12.013999999999999</v>
      </c>
      <c r="F421" t="s">
        <v>25</v>
      </c>
      <c r="G421" t="str">
        <f>_xlfn.XLOOKUP(transakcje[[#This Row],[podkategoria]],parametr[podkategoria],parametr[kategoria])</f>
        <v>opłaty stałe</v>
      </c>
      <c r="H421" t="str">
        <f>_xlfn.XLOOKUP(transakcje[[#This Row],[kategoria]],parametr[kategoria],parametr[typ])</f>
        <v>wydatki</v>
      </c>
      <c r="I421" s="1">
        <f>ABS(transakcje[[#This Row],[kwota]])</f>
        <v>12.013999999999999</v>
      </c>
    </row>
    <row r="422" spans="1:9" x14ac:dyDescent="0.3">
      <c r="A422">
        <v>421</v>
      </c>
      <c r="B422">
        <v>2011</v>
      </c>
      <c r="C422">
        <v>10</v>
      </c>
      <c r="D422">
        <v>3</v>
      </c>
      <c r="E422" s="1">
        <v>-15.512</v>
      </c>
      <c r="F422" t="s">
        <v>26</v>
      </c>
      <c r="G422" t="str">
        <f>_xlfn.XLOOKUP(transakcje[[#This Row],[podkategoria]],parametr[podkategoria],parametr[kategoria])</f>
        <v>życie</v>
      </c>
      <c r="H422" t="str">
        <f>_xlfn.XLOOKUP(transakcje[[#This Row],[kategoria]],parametr[kategoria],parametr[typ])</f>
        <v>wydatki</v>
      </c>
      <c r="I422" s="1">
        <f>ABS(transakcje[[#This Row],[kwota]])</f>
        <v>15.512</v>
      </c>
    </row>
    <row r="423" spans="1:9" x14ac:dyDescent="0.3">
      <c r="A423">
        <v>422</v>
      </c>
      <c r="B423">
        <v>2011</v>
      </c>
      <c r="C423">
        <v>10</v>
      </c>
      <c r="D423">
        <v>5</v>
      </c>
      <c r="E423" s="1">
        <v>-6.5340000000000007</v>
      </c>
      <c r="F423" t="s">
        <v>26</v>
      </c>
      <c r="G423" t="str">
        <f>_xlfn.XLOOKUP(transakcje[[#This Row],[podkategoria]],parametr[podkategoria],parametr[kategoria])</f>
        <v>życie</v>
      </c>
      <c r="H423" t="str">
        <f>_xlfn.XLOOKUP(transakcje[[#This Row],[kategoria]],parametr[kategoria],parametr[typ])</f>
        <v>wydatki</v>
      </c>
      <c r="I423" s="1">
        <f>ABS(transakcje[[#This Row],[kwota]])</f>
        <v>6.5340000000000007</v>
      </c>
    </row>
    <row r="424" spans="1:9" x14ac:dyDescent="0.3">
      <c r="A424">
        <v>423</v>
      </c>
      <c r="B424">
        <v>2011</v>
      </c>
      <c r="C424">
        <v>10</v>
      </c>
      <c r="D424">
        <v>7</v>
      </c>
      <c r="E424" s="1">
        <v>-6.032</v>
      </c>
      <c r="F424" t="s">
        <v>35</v>
      </c>
      <c r="G424" t="str">
        <f>_xlfn.XLOOKUP(transakcje[[#This Row],[podkategoria]],parametr[podkategoria],parametr[kategoria])</f>
        <v>opłaty stałe</v>
      </c>
      <c r="H424" t="str">
        <f>_xlfn.XLOOKUP(transakcje[[#This Row],[kategoria]],parametr[kategoria],parametr[typ])</f>
        <v>wydatki</v>
      </c>
      <c r="I424" s="1">
        <f>ABS(transakcje[[#This Row],[kwota]])</f>
        <v>6.032</v>
      </c>
    </row>
    <row r="425" spans="1:9" x14ac:dyDescent="0.3">
      <c r="A425">
        <v>424</v>
      </c>
      <c r="B425">
        <v>2011</v>
      </c>
      <c r="C425">
        <v>10</v>
      </c>
      <c r="D425">
        <v>14</v>
      </c>
      <c r="E425" s="1">
        <v>-11.098000000000001</v>
      </c>
      <c r="F425" t="s">
        <v>26</v>
      </c>
      <c r="G425" t="str">
        <f>_xlfn.XLOOKUP(transakcje[[#This Row],[podkategoria]],parametr[podkategoria],parametr[kategoria])</f>
        <v>życie</v>
      </c>
      <c r="H425" t="str">
        <f>_xlfn.XLOOKUP(transakcje[[#This Row],[kategoria]],parametr[kategoria],parametr[typ])</f>
        <v>wydatki</v>
      </c>
      <c r="I425" s="1">
        <f>ABS(transakcje[[#This Row],[kwota]])</f>
        <v>11.098000000000001</v>
      </c>
    </row>
    <row r="426" spans="1:9" x14ac:dyDescent="0.3">
      <c r="A426">
        <v>425</v>
      </c>
      <c r="B426">
        <v>2011</v>
      </c>
      <c r="C426">
        <v>10</v>
      </c>
      <c r="D426">
        <v>15</v>
      </c>
      <c r="E426" s="1">
        <v>-1.1960000000000002</v>
      </c>
      <c r="F426" t="s">
        <v>14</v>
      </c>
      <c r="G426" t="str">
        <f>_xlfn.XLOOKUP(transakcje[[#This Row],[podkategoria]],parametr[podkategoria],parametr[kategoria])</f>
        <v>opłaty stałe</v>
      </c>
      <c r="H426" t="str">
        <f>_xlfn.XLOOKUP(transakcje[[#This Row],[kategoria]],parametr[kategoria],parametr[typ])</f>
        <v>wydatki</v>
      </c>
      <c r="I426" s="1">
        <f>ABS(transakcje[[#This Row],[kwota]])</f>
        <v>1.1960000000000002</v>
      </c>
    </row>
    <row r="427" spans="1:9" x14ac:dyDescent="0.3">
      <c r="A427">
        <v>426</v>
      </c>
      <c r="B427">
        <v>2011</v>
      </c>
      <c r="C427">
        <v>10</v>
      </c>
      <c r="D427">
        <v>17</v>
      </c>
      <c r="E427" s="1">
        <v>-20.006</v>
      </c>
      <c r="F427" t="s">
        <v>26</v>
      </c>
      <c r="G427" t="str">
        <f>_xlfn.XLOOKUP(transakcje[[#This Row],[podkategoria]],parametr[podkategoria],parametr[kategoria])</f>
        <v>życie</v>
      </c>
      <c r="H427" t="str">
        <f>_xlfn.XLOOKUP(transakcje[[#This Row],[kategoria]],parametr[kategoria],parametr[typ])</f>
        <v>wydatki</v>
      </c>
      <c r="I427" s="1">
        <f>ABS(transakcje[[#This Row],[kwota]])</f>
        <v>20.006</v>
      </c>
    </row>
    <row r="428" spans="1:9" x14ac:dyDescent="0.3">
      <c r="A428">
        <v>427</v>
      </c>
      <c r="B428">
        <v>2011</v>
      </c>
      <c r="C428">
        <v>10</v>
      </c>
      <c r="D428">
        <v>18</v>
      </c>
      <c r="E428" s="1">
        <v>-0.79600000000000004</v>
      </c>
      <c r="F428" t="s">
        <v>14</v>
      </c>
      <c r="G428" t="str">
        <f>_xlfn.XLOOKUP(transakcje[[#This Row],[podkategoria]],parametr[podkategoria],parametr[kategoria])</f>
        <v>opłaty stałe</v>
      </c>
      <c r="H428" t="str">
        <f>_xlfn.XLOOKUP(transakcje[[#This Row],[kategoria]],parametr[kategoria],parametr[typ])</f>
        <v>wydatki</v>
      </c>
      <c r="I428" s="1">
        <f>ABS(transakcje[[#This Row],[kwota]])</f>
        <v>0.79600000000000004</v>
      </c>
    </row>
    <row r="429" spans="1:9" x14ac:dyDescent="0.3">
      <c r="A429">
        <v>428</v>
      </c>
      <c r="B429">
        <v>2011</v>
      </c>
      <c r="C429">
        <v>10</v>
      </c>
      <c r="D429">
        <v>20</v>
      </c>
      <c r="E429" s="1">
        <v>-4.3140000000000001</v>
      </c>
      <c r="F429" t="s">
        <v>26</v>
      </c>
      <c r="G429" t="str">
        <f>_xlfn.XLOOKUP(transakcje[[#This Row],[podkategoria]],parametr[podkategoria],parametr[kategoria])</f>
        <v>życie</v>
      </c>
      <c r="H429" t="str">
        <f>_xlfn.XLOOKUP(transakcje[[#This Row],[kategoria]],parametr[kategoria],parametr[typ])</f>
        <v>wydatki</v>
      </c>
      <c r="I429" s="1">
        <f>ABS(transakcje[[#This Row],[kwota]])</f>
        <v>4.3140000000000001</v>
      </c>
    </row>
    <row r="430" spans="1:9" x14ac:dyDescent="0.3">
      <c r="A430">
        <v>429</v>
      </c>
      <c r="B430">
        <v>2011</v>
      </c>
      <c r="C430">
        <v>10</v>
      </c>
      <c r="D430">
        <v>25</v>
      </c>
      <c r="E430" s="1">
        <v>414.03000000000003</v>
      </c>
      <c r="F430" t="s">
        <v>8</v>
      </c>
      <c r="G430" t="str">
        <f>_xlfn.XLOOKUP(transakcje[[#This Row],[podkategoria]],parametr[podkategoria],parametr[kategoria])</f>
        <v>dochody z pracy</v>
      </c>
      <c r="H430" t="str">
        <f>_xlfn.XLOOKUP(transakcje[[#This Row],[kategoria]],parametr[kategoria],parametr[typ])</f>
        <v>dochody</v>
      </c>
      <c r="I430" s="1">
        <f>ABS(transakcje[[#This Row],[kwota]])</f>
        <v>414.03000000000003</v>
      </c>
    </row>
    <row r="431" spans="1:9" x14ac:dyDescent="0.3">
      <c r="A431">
        <v>430</v>
      </c>
      <c r="B431">
        <v>2011</v>
      </c>
      <c r="C431">
        <v>10</v>
      </c>
      <c r="D431">
        <v>28</v>
      </c>
      <c r="E431" s="1">
        <v>-16.2</v>
      </c>
      <c r="F431" t="s">
        <v>32</v>
      </c>
      <c r="G431" t="str">
        <f>_xlfn.XLOOKUP(transakcje[[#This Row],[podkategoria]],parametr[podkategoria],parametr[kategoria])</f>
        <v>opłaty stałe</v>
      </c>
      <c r="H431" t="str">
        <f>_xlfn.XLOOKUP(transakcje[[#This Row],[kategoria]],parametr[kategoria],parametr[typ])</f>
        <v>wydatki</v>
      </c>
      <c r="I431" s="1">
        <f>ABS(transakcje[[#This Row],[kwota]])</f>
        <v>16.2</v>
      </c>
    </row>
    <row r="432" spans="1:9" x14ac:dyDescent="0.3">
      <c r="A432">
        <v>431</v>
      </c>
      <c r="B432">
        <v>2011</v>
      </c>
      <c r="C432">
        <v>10</v>
      </c>
      <c r="D432">
        <v>28</v>
      </c>
      <c r="E432" s="1">
        <v>-8.1900000000000013</v>
      </c>
      <c r="F432" t="s">
        <v>26</v>
      </c>
      <c r="G432" t="str">
        <f>_xlfn.XLOOKUP(transakcje[[#This Row],[podkategoria]],parametr[podkategoria],parametr[kategoria])</f>
        <v>życie</v>
      </c>
      <c r="H432" t="str">
        <f>_xlfn.XLOOKUP(transakcje[[#This Row],[kategoria]],parametr[kategoria],parametr[typ])</f>
        <v>wydatki</v>
      </c>
      <c r="I432" s="1">
        <f>ABS(transakcje[[#This Row],[kwota]])</f>
        <v>8.1900000000000013</v>
      </c>
    </row>
    <row r="433" spans="1:9" x14ac:dyDescent="0.3">
      <c r="A433">
        <v>432</v>
      </c>
      <c r="B433">
        <v>2011</v>
      </c>
      <c r="C433">
        <v>10</v>
      </c>
      <c r="D433">
        <v>31</v>
      </c>
      <c r="E433" s="1">
        <v>2E-3</v>
      </c>
      <c r="F433" t="s">
        <v>17</v>
      </c>
      <c r="G433" t="str">
        <f>_xlfn.XLOOKUP(transakcje[[#This Row],[podkategoria]],parametr[podkategoria],parametr[kategoria])</f>
        <v>dochody pozostałe</v>
      </c>
      <c r="H433" t="str">
        <f>_xlfn.XLOOKUP(transakcje[[#This Row],[kategoria]],parametr[kategoria],parametr[typ])</f>
        <v>dochody</v>
      </c>
      <c r="I433" s="1">
        <f>ABS(transakcje[[#This Row],[kwota]])</f>
        <v>2E-3</v>
      </c>
    </row>
    <row r="434" spans="1:9" x14ac:dyDescent="0.3">
      <c r="A434">
        <v>433</v>
      </c>
      <c r="B434">
        <v>2011</v>
      </c>
      <c r="C434">
        <v>10</v>
      </c>
      <c r="D434">
        <v>31</v>
      </c>
      <c r="E434" s="1">
        <v>-1.198</v>
      </c>
      <c r="F434" t="s">
        <v>14</v>
      </c>
      <c r="G434" t="str">
        <f>_xlfn.XLOOKUP(transakcje[[#This Row],[podkategoria]],parametr[podkategoria],parametr[kategoria])</f>
        <v>opłaty stałe</v>
      </c>
      <c r="H434" t="str">
        <f>_xlfn.XLOOKUP(transakcje[[#This Row],[kategoria]],parametr[kategoria],parametr[typ])</f>
        <v>wydatki</v>
      </c>
      <c r="I434" s="1">
        <f>ABS(transakcje[[#This Row],[kwota]])</f>
        <v>1.198</v>
      </c>
    </row>
    <row r="435" spans="1:9" x14ac:dyDescent="0.3">
      <c r="A435">
        <v>434</v>
      </c>
      <c r="B435">
        <v>2011</v>
      </c>
      <c r="C435">
        <v>10</v>
      </c>
      <c r="D435">
        <v>31</v>
      </c>
      <c r="E435" s="1">
        <v>-0.3</v>
      </c>
      <c r="F435" t="s">
        <v>14</v>
      </c>
      <c r="G435" t="str">
        <f>_xlfn.XLOOKUP(transakcje[[#This Row],[podkategoria]],parametr[podkategoria],parametr[kategoria])</f>
        <v>opłaty stałe</v>
      </c>
      <c r="H435" t="str">
        <f>_xlfn.XLOOKUP(transakcje[[#This Row],[kategoria]],parametr[kategoria],parametr[typ])</f>
        <v>wydatki</v>
      </c>
      <c r="I435" s="1">
        <f>ABS(transakcje[[#This Row],[kwota]])</f>
        <v>0.3</v>
      </c>
    </row>
    <row r="436" spans="1:9" x14ac:dyDescent="0.3">
      <c r="A436">
        <v>435</v>
      </c>
      <c r="B436">
        <v>2011</v>
      </c>
      <c r="C436">
        <v>11</v>
      </c>
      <c r="D436">
        <v>1</v>
      </c>
      <c r="E436" s="1">
        <v>-74.75800000000001</v>
      </c>
      <c r="F436" t="s">
        <v>31</v>
      </c>
      <c r="G436" t="str">
        <f>_xlfn.XLOOKUP(transakcje[[#This Row],[podkategoria]],parametr[podkategoria],parametr[kategoria])</f>
        <v>opłaty stałe</v>
      </c>
      <c r="H436" t="str">
        <f>_xlfn.XLOOKUP(transakcje[[#This Row],[kategoria]],parametr[kategoria],parametr[typ])</f>
        <v>wydatki</v>
      </c>
      <c r="I436" s="1">
        <f>ABS(transakcje[[#This Row],[kwota]])</f>
        <v>74.75800000000001</v>
      </c>
    </row>
    <row r="437" spans="1:9" x14ac:dyDescent="0.3">
      <c r="A437">
        <v>436</v>
      </c>
      <c r="B437">
        <v>2011</v>
      </c>
      <c r="C437">
        <v>11</v>
      </c>
      <c r="D437">
        <v>1</v>
      </c>
      <c r="E437" s="1">
        <v>-9.7200000000000006</v>
      </c>
      <c r="F437" t="s">
        <v>23</v>
      </c>
      <c r="G437" t="str">
        <f>_xlfn.XLOOKUP(transakcje[[#This Row],[podkategoria]],parametr[podkategoria],parametr[kategoria])</f>
        <v>opłaty stałe</v>
      </c>
      <c r="H437" t="str">
        <f>_xlfn.XLOOKUP(transakcje[[#This Row],[kategoria]],parametr[kategoria],parametr[typ])</f>
        <v>wydatki</v>
      </c>
      <c r="I437" s="1">
        <f>ABS(transakcje[[#This Row],[kwota]])</f>
        <v>9.7200000000000006</v>
      </c>
    </row>
    <row r="438" spans="1:9" x14ac:dyDescent="0.3">
      <c r="A438">
        <v>437</v>
      </c>
      <c r="B438">
        <v>2011</v>
      </c>
      <c r="C438">
        <v>11</v>
      </c>
      <c r="D438">
        <v>1</v>
      </c>
      <c r="E438" s="1">
        <v>-16.922000000000001</v>
      </c>
      <c r="F438" t="s">
        <v>34</v>
      </c>
      <c r="G438" t="str">
        <f>_xlfn.XLOOKUP(transakcje[[#This Row],[podkategoria]],parametr[podkategoria],parametr[kategoria])</f>
        <v>opłaty stałe</v>
      </c>
      <c r="H438" t="str">
        <f>_xlfn.XLOOKUP(transakcje[[#This Row],[kategoria]],parametr[kategoria],parametr[typ])</f>
        <v>wydatki</v>
      </c>
      <c r="I438" s="1">
        <f>ABS(transakcje[[#This Row],[kwota]])</f>
        <v>16.922000000000001</v>
      </c>
    </row>
    <row r="439" spans="1:9" x14ac:dyDescent="0.3">
      <c r="A439">
        <v>438</v>
      </c>
      <c r="B439">
        <v>2011</v>
      </c>
      <c r="C439">
        <v>11</v>
      </c>
      <c r="D439">
        <v>1</v>
      </c>
      <c r="E439" s="1">
        <v>-9.98</v>
      </c>
      <c r="F439" t="s">
        <v>25</v>
      </c>
      <c r="G439" t="str">
        <f>_xlfn.XLOOKUP(transakcje[[#This Row],[podkategoria]],parametr[podkategoria],parametr[kategoria])</f>
        <v>opłaty stałe</v>
      </c>
      <c r="H439" t="str">
        <f>_xlfn.XLOOKUP(transakcje[[#This Row],[kategoria]],parametr[kategoria],parametr[typ])</f>
        <v>wydatki</v>
      </c>
      <c r="I439" s="1">
        <f>ABS(transakcje[[#This Row],[kwota]])</f>
        <v>9.98</v>
      </c>
    </row>
    <row r="440" spans="1:9" x14ac:dyDescent="0.3">
      <c r="A440">
        <v>439</v>
      </c>
      <c r="B440">
        <v>2011</v>
      </c>
      <c r="C440">
        <v>11</v>
      </c>
      <c r="D440">
        <v>1</v>
      </c>
      <c r="E440" s="1">
        <v>-46.4</v>
      </c>
      <c r="F440" t="s">
        <v>30</v>
      </c>
      <c r="G440" t="str">
        <f>_xlfn.XLOOKUP(transakcje[[#This Row],[podkategoria]],parametr[podkategoria],parametr[kategoria])</f>
        <v>opłaty stałe</v>
      </c>
      <c r="H440" t="str">
        <f>_xlfn.XLOOKUP(transakcje[[#This Row],[kategoria]],parametr[kategoria],parametr[typ])</f>
        <v>wydatki</v>
      </c>
      <c r="I440" s="1">
        <f>ABS(transakcje[[#This Row],[kwota]])</f>
        <v>46.4</v>
      </c>
    </row>
    <row r="441" spans="1:9" x14ac:dyDescent="0.3">
      <c r="A441">
        <v>440</v>
      </c>
      <c r="B441">
        <v>2011</v>
      </c>
      <c r="C441">
        <v>11</v>
      </c>
      <c r="D441">
        <v>2</v>
      </c>
      <c r="E441" s="1">
        <v>-26.673999999999999</v>
      </c>
      <c r="F441" t="s">
        <v>26</v>
      </c>
      <c r="G441" t="str">
        <f>_xlfn.XLOOKUP(transakcje[[#This Row],[podkategoria]],parametr[podkategoria],parametr[kategoria])</f>
        <v>życie</v>
      </c>
      <c r="H441" t="str">
        <f>_xlfn.XLOOKUP(transakcje[[#This Row],[kategoria]],parametr[kategoria],parametr[typ])</f>
        <v>wydatki</v>
      </c>
      <c r="I441" s="1">
        <f>ABS(transakcje[[#This Row],[kwota]])</f>
        <v>26.673999999999999</v>
      </c>
    </row>
    <row r="442" spans="1:9" x14ac:dyDescent="0.3">
      <c r="A442">
        <v>441</v>
      </c>
      <c r="B442">
        <v>2011</v>
      </c>
      <c r="C442">
        <v>11</v>
      </c>
      <c r="D442">
        <v>7</v>
      </c>
      <c r="E442" s="1">
        <v>-16.55</v>
      </c>
      <c r="F442" t="s">
        <v>26</v>
      </c>
      <c r="G442" t="str">
        <f>_xlfn.XLOOKUP(transakcje[[#This Row],[podkategoria]],parametr[podkategoria],parametr[kategoria])</f>
        <v>życie</v>
      </c>
      <c r="H442" t="str">
        <f>_xlfn.XLOOKUP(transakcje[[#This Row],[kategoria]],parametr[kategoria],parametr[typ])</f>
        <v>wydatki</v>
      </c>
      <c r="I442" s="1">
        <f>ABS(transakcje[[#This Row],[kwota]])</f>
        <v>16.55</v>
      </c>
    </row>
    <row r="443" spans="1:9" x14ac:dyDescent="0.3">
      <c r="A443">
        <v>442</v>
      </c>
      <c r="B443">
        <v>2011</v>
      </c>
      <c r="C443">
        <v>11</v>
      </c>
      <c r="D443">
        <v>8</v>
      </c>
      <c r="E443" s="1">
        <v>-12.202</v>
      </c>
      <c r="F443" t="s">
        <v>26</v>
      </c>
      <c r="G443" t="str">
        <f>_xlfn.XLOOKUP(transakcje[[#This Row],[podkategoria]],parametr[podkategoria],parametr[kategoria])</f>
        <v>życie</v>
      </c>
      <c r="H443" t="str">
        <f>_xlfn.XLOOKUP(transakcje[[#This Row],[kategoria]],parametr[kategoria],parametr[typ])</f>
        <v>wydatki</v>
      </c>
      <c r="I443" s="1">
        <f>ABS(transakcje[[#This Row],[kwota]])</f>
        <v>12.202</v>
      </c>
    </row>
    <row r="444" spans="1:9" x14ac:dyDescent="0.3">
      <c r="A444">
        <v>443</v>
      </c>
      <c r="B444">
        <v>2011</v>
      </c>
      <c r="C444">
        <v>11</v>
      </c>
      <c r="D444">
        <v>8</v>
      </c>
      <c r="E444" s="1">
        <v>-4.4320000000000004</v>
      </c>
      <c r="F444" t="s">
        <v>26</v>
      </c>
      <c r="G444" t="str">
        <f>_xlfn.XLOOKUP(transakcje[[#This Row],[podkategoria]],parametr[podkategoria],parametr[kategoria])</f>
        <v>życie</v>
      </c>
      <c r="H444" t="str">
        <f>_xlfn.XLOOKUP(transakcje[[#This Row],[kategoria]],parametr[kategoria],parametr[typ])</f>
        <v>wydatki</v>
      </c>
      <c r="I444" s="1">
        <f>ABS(transakcje[[#This Row],[kwota]])</f>
        <v>4.4320000000000004</v>
      </c>
    </row>
    <row r="445" spans="1:9" x14ac:dyDescent="0.3">
      <c r="A445">
        <v>444</v>
      </c>
      <c r="B445">
        <v>2011</v>
      </c>
      <c r="C445">
        <v>11</v>
      </c>
      <c r="D445">
        <v>9</v>
      </c>
      <c r="E445" s="1">
        <v>-5.4</v>
      </c>
      <c r="F445" t="s">
        <v>26</v>
      </c>
      <c r="G445" t="str">
        <f>_xlfn.XLOOKUP(transakcje[[#This Row],[podkategoria]],parametr[podkategoria],parametr[kategoria])</f>
        <v>życie</v>
      </c>
      <c r="H445" t="str">
        <f>_xlfn.XLOOKUP(transakcje[[#This Row],[kategoria]],parametr[kategoria],parametr[typ])</f>
        <v>wydatki</v>
      </c>
      <c r="I445" s="1">
        <f>ABS(transakcje[[#This Row],[kwota]])</f>
        <v>5.4</v>
      </c>
    </row>
    <row r="446" spans="1:9" x14ac:dyDescent="0.3">
      <c r="A446">
        <v>445</v>
      </c>
      <c r="B446">
        <v>2011</v>
      </c>
      <c r="C446">
        <v>11</v>
      </c>
      <c r="D446">
        <v>10</v>
      </c>
      <c r="E446" s="1">
        <v>104.58399999999999</v>
      </c>
      <c r="F446" t="s">
        <v>19</v>
      </c>
      <c r="G446" t="str">
        <f>_xlfn.XLOOKUP(transakcje[[#This Row],[podkategoria]],parametr[podkategoria],parametr[kategoria])</f>
        <v>dochody z pracy</v>
      </c>
      <c r="H446" t="str">
        <f>_xlfn.XLOOKUP(transakcje[[#This Row],[kategoria]],parametr[kategoria],parametr[typ])</f>
        <v>dochody</v>
      </c>
      <c r="I446" s="1">
        <f>ABS(transakcje[[#This Row],[kwota]])</f>
        <v>104.58399999999999</v>
      </c>
    </row>
    <row r="447" spans="1:9" x14ac:dyDescent="0.3">
      <c r="A447">
        <v>446</v>
      </c>
      <c r="B447">
        <v>2011</v>
      </c>
      <c r="C447">
        <v>11</v>
      </c>
      <c r="D447">
        <v>11</v>
      </c>
      <c r="E447" s="1">
        <v>-1.6600000000000001</v>
      </c>
      <c r="F447" t="s">
        <v>26</v>
      </c>
      <c r="G447" t="str">
        <f>_xlfn.XLOOKUP(transakcje[[#This Row],[podkategoria]],parametr[podkategoria],parametr[kategoria])</f>
        <v>życie</v>
      </c>
      <c r="H447" t="str">
        <f>_xlfn.XLOOKUP(transakcje[[#This Row],[kategoria]],parametr[kategoria],parametr[typ])</f>
        <v>wydatki</v>
      </c>
      <c r="I447" s="1">
        <f>ABS(transakcje[[#This Row],[kwota]])</f>
        <v>1.6600000000000001</v>
      </c>
    </row>
    <row r="448" spans="1:9" x14ac:dyDescent="0.3">
      <c r="A448">
        <v>447</v>
      </c>
      <c r="B448">
        <v>2011</v>
      </c>
      <c r="C448">
        <v>11</v>
      </c>
      <c r="D448">
        <v>14</v>
      </c>
      <c r="E448" s="1">
        <v>-11.824</v>
      </c>
      <c r="F448" t="s">
        <v>26</v>
      </c>
      <c r="G448" t="str">
        <f>_xlfn.XLOOKUP(transakcje[[#This Row],[podkategoria]],parametr[podkategoria],parametr[kategoria])</f>
        <v>życie</v>
      </c>
      <c r="H448" t="str">
        <f>_xlfn.XLOOKUP(transakcje[[#This Row],[kategoria]],parametr[kategoria],parametr[typ])</f>
        <v>wydatki</v>
      </c>
      <c r="I448" s="1">
        <f>ABS(transakcje[[#This Row],[kwota]])</f>
        <v>11.824</v>
      </c>
    </row>
    <row r="449" spans="1:9" x14ac:dyDescent="0.3">
      <c r="A449">
        <v>448</v>
      </c>
      <c r="B449">
        <v>2011</v>
      </c>
      <c r="C449">
        <v>11</v>
      </c>
      <c r="D449">
        <v>15</v>
      </c>
      <c r="E449" s="1">
        <v>2E-3</v>
      </c>
      <c r="F449" t="s">
        <v>17</v>
      </c>
      <c r="G449" t="str">
        <f>_xlfn.XLOOKUP(transakcje[[#This Row],[podkategoria]],parametr[podkategoria],parametr[kategoria])</f>
        <v>dochody pozostałe</v>
      </c>
      <c r="H449" t="str">
        <f>_xlfn.XLOOKUP(transakcje[[#This Row],[kategoria]],parametr[kategoria],parametr[typ])</f>
        <v>dochody</v>
      </c>
      <c r="I449" s="1">
        <f>ABS(transakcje[[#This Row],[kwota]])</f>
        <v>2E-3</v>
      </c>
    </row>
    <row r="450" spans="1:9" x14ac:dyDescent="0.3">
      <c r="A450">
        <v>449</v>
      </c>
      <c r="B450">
        <v>2011</v>
      </c>
      <c r="C450">
        <v>11</v>
      </c>
      <c r="D450">
        <v>15</v>
      </c>
      <c r="E450" s="1">
        <v>-1.1960000000000002</v>
      </c>
      <c r="F450" t="s">
        <v>14</v>
      </c>
      <c r="G450" t="str">
        <f>_xlfn.XLOOKUP(transakcje[[#This Row],[podkategoria]],parametr[podkategoria],parametr[kategoria])</f>
        <v>opłaty stałe</v>
      </c>
      <c r="H450" t="str">
        <f>_xlfn.XLOOKUP(transakcje[[#This Row],[kategoria]],parametr[kategoria],parametr[typ])</f>
        <v>wydatki</v>
      </c>
      <c r="I450" s="1">
        <f>ABS(transakcje[[#This Row],[kwota]])</f>
        <v>1.1960000000000002</v>
      </c>
    </row>
    <row r="451" spans="1:9" x14ac:dyDescent="0.3">
      <c r="A451">
        <v>450</v>
      </c>
      <c r="B451">
        <v>2011</v>
      </c>
      <c r="C451">
        <v>11</v>
      </c>
      <c r="D451">
        <v>16</v>
      </c>
      <c r="E451" s="1">
        <v>-0.39800000000000002</v>
      </c>
      <c r="F451" t="s">
        <v>14</v>
      </c>
      <c r="G451" t="str">
        <f>_xlfn.XLOOKUP(transakcje[[#This Row],[podkategoria]],parametr[podkategoria],parametr[kategoria])</f>
        <v>opłaty stałe</v>
      </c>
      <c r="H451" t="str">
        <f>_xlfn.XLOOKUP(transakcje[[#This Row],[kategoria]],parametr[kategoria],parametr[typ])</f>
        <v>wydatki</v>
      </c>
      <c r="I451" s="1">
        <f>ABS(transakcje[[#This Row],[kwota]])</f>
        <v>0.39800000000000002</v>
      </c>
    </row>
    <row r="452" spans="1:9" x14ac:dyDescent="0.3">
      <c r="A452">
        <v>451</v>
      </c>
      <c r="B452">
        <v>2011</v>
      </c>
      <c r="C452">
        <v>11</v>
      </c>
      <c r="D452">
        <v>16</v>
      </c>
      <c r="E452" s="1">
        <v>-2.5979999999999999</v>
      </c>
      <c r="F452" t="s">
        <v>26</v>
      </c>
      <c r="G452" t="str">
        <f>_xlfn.XLOOKUP(transakcje[[#This Row],[podkategoria]],parametr[podkategoria],parametr[kategoria])</f>
        <v>życie</v>
      </c>
      <c r="H452" t="str">
        <f>_xlfn.XLOOKUP(transakcje[[#This Row],[kategoria]],parametr[kategoria],parametr[typ])</f>
        <v>wydatki</v>
      </c>
      <c r="I452" s="1">
        <f>ABS(transakcje[[#This Row],[kwota]])</f>
        <v>2.5979999999999999</v>
      </c>
    </row>
    <row r="453" spans="1:9" x14ac:dyDescent="0.3">
      <c r="A453">
        <v>452</v>
      </c>
      <c r="B453">
        <v>2011</v>
      </c>
      <c r="C453">
        <v>11</v>
      </c>
      <c r="D453">
        <v>16</v>
      </c>
      <c r="E453" s="1">
        <v>-2.7920000000000003</v>
      </c>
      <c r="F453" t="s">
        <v>26</v>
      </c>
      <c r="G453" t="str">
        <f>_xlfn.XLOOKUP(transakcje[[#This Row],[podkategoria]],parametr[podkategoria],parametr[kategoria])</f>
        <v>życie</v>
      </c>
      <c r="H453" t="str">
        <f>_xlfn.XLOOKUP(transakcje[[#This Row],[kategoria]],parametr[kategoria],parametr[typ])</f>
        <v>wydatki</v>
      </c>
      <c r="I453" s="1">
        <f>ABS(transakcje[[#This Row],[kwota]])</f>
        <v>2.7920000000000003</v>
      </c>
    </row>
    <row r="454" spans="1:9" x14ac:dyDescent="0.3">
      <c r="A454">
        <v>453</v>
      </c>
      <c r="B454">
        <v>2011</v>
      </c>
      <c r="C454">
        <v>11</v>
      </c>
      <c r="D454">
        <v>22</v>
      </c>
      <c r="E454" s="1">
        <v>-0.318</v>
      </c>
      <c r="F454" t="s">
        <v>14</v>
      </c>
      <c r="G454" t="str">
        <f>_xlfn.XLOOKUP(transakcje[[#This Row],[podkategoria]],parametr[podkategoria],parametr[kategoria])</f>
        <v>opłaty stałe</v>
      </c>
      <c r="H454" t="str">
        <f>_xlfn.XLOOKUP(transakcje[[#This Row],[kategoria]],parametr[kategoria],parametr[typ])</f>
        <v>wydatki</v>
      </c>
      <c r="I454" s="1">
        <f>ABS(transakcje[[#This Row],[kwota]])</f>
        <v>0.318</v>
      </c>
    </row>
    <row r="455" spans="1:9" x14ac:dyDescent="0.3">
      <c r="A455">
        <v>454</v>
      </c>
      <c r="B455">
        <v>2011</v>
      </c>
      <c r="C455">
        <v>11</v>
      </c>
      <c r="D455">
        <v>25</v>
      </c>
      <c r="E455" s="1">
        <v>417.81400000000002</v>
      </c>
      <c r="F455" t="s">
        <v>8</v>
      </c>
      <c r="G455" t="str">
        <f>_xlfn.XLOOKUP(transakcje[[#This Row],[podkategoria]],parametr[podkategoria],parametr[kategoria])</f>
        <v>dochody z pracy</v>
      </c>
      <c r="H455" t="str">
        <f>_xlfn.XLOOKUP(transakcje[[#This Row],[kategoria]],parametr[kategoria],parametr[typ])</f>
        <v>dochody</v>
      </c>
      <c r="I455" s="1">
        <f>ABS(transakcje[[#This Row],[kwota]])</f>
        <v>417.81400000000002</v>
      </c>
    </row>
    <row r="456" spans="1:9" x14ac:dyDescent="0.3">
      <c r="A456">
        <v>455</v>
      </c>
      <c r="B456">
        <v>2011</v>
      </c>
      <c r="C456">
        <v>11</v>
      </c>
      <c r="D456">
        <v>25</v>
      </c>
      <c r="E456" s="1">
        <v>-2.294</v>
      </c>
      <c r="F456" t="s">
        <v>26</v>
      </c>
      <c r="G456" t="str">
        <f>_xlfn.XLOOKUP(transakcje[[#This Row],[podkategoria]],parametr[podkategoria],parametr[kategoria])</f>
        <v>życie</v>
      </c>
      <c r="H456" t="str">
        <f>_xlfn.XLOOKUP(transakcje[[#This Row],[kategoria]],parametr[kategoria],parametr[typ])</f>
        <v>wydatki</v>
      </c>
      <c r="I456" s="1">
        <f>ABS(transakcje[[#This Row],[kwota]])</f>
        <v>2.294</v>
      </c>
    </row>
    <row r="457" spans="1:9" x14ac:dyDescent="0.3">
      <c r="A457">
        <v>456</v>
      </c>
      <c r="B457">
        <v>2011</v>
      </c>
      <c r="C457">
        <v>11</v>
      </c>
      <c r="D457">
        <v>25</v>
      </c>
      <c r="E457" s="1">
        <v>-1.452</v>
      </c>
      <c r="F457" t="s">
        <v>26</v>
      </c>
      <c r="G457" t="str">
        <f>_xlfn.XLOOKUP(transakcje[[#This Row],[podkategoria]],parametr[podkategoria],parametr[kategoria])</f>
        <v>życie</v>
      </c>
      <c r="H457" t="str">
        <f>_xlfn.XLOOKUP(transakcje[[#This Row],[kategoria]],parametr[kategoria],parametr[typ])</f>
        <v>wydatki</v>
      </c>
      <c r="I457" s="1">
        <f>ABS(transakcje[[#This Row],[kwota]])</f>
        <v>1.452</v>
      </c>
    </row>
    <row r="458" spans="1:9" x14ac:dyDescent="0.3">
      <c r="A458">
        <v>457</v>
      </c>
      <c r="B458">
        <v>2011</v>
      </c>
      <c r="C458">
        <v>11</v>
      </c>
      <c r="D458">
        <v>27</v>
      </c>
      <c r="E458" s="1">
        <v>-16.46</v>
      </c>
      <c r="F458" t="s">
        <v>26</v>
      </c>
      <c r="G458" t="str">
        <f>_xlfn.XLOOKUP(transakcje[[#This Row],[podkategoria]],parametr[podkategoria],parametr[kategoria])</f>
        <v>życie</v>
      </c>
      <c r="H458" t="str">
        <f>_xlfn.XLOOKUP(transakcje[[#This Row],[kategoria]],parametr[kategoria],parametr[typ])</f>
        <v>wydatki</v>
      </c>
      <c r="I458" s="1">
        <f>ABS(transakcje[[#This Row],[kwota]])</f>
        <v>16.46</v>
      </c>
    </row>
    <row r="459" spans="1:9" x14ac:dyDescent="0.3">
      <c r="A459">
        <v>458</v>
      </c>
      <c r="B459">
        <v>2011</v>
      </c>
      <c r="C459">
        <v>11</v>
      </c>
      <c r="D459">
        <v>28</v>
      </c>
      <c r="E459" s="1">
        <v>-2E-3</v>
      </c>
      <c r="F459" t="s">
        <v>14</v>
      </c>
      <c r="G459" t="str">
        <f>_xlfn.XLOOKUP(transakcje[[#This Row],[podkategoria]],parametr[podkategoria],parametr[kategoria])</f>
        <v>opłaty stałe</v>
      </c>
      <c r="H459" t="str">
        <f>_xlfn.XLOOKUP(transakcje[[#This Row],[kategoria]],parametr[kategoria],parametr[typ])</f>
        <v>wydatki</v>
      </c>
      <c r="I459" s="1">
        <f>ABS(transakcje[[#This Row],[kwota]])</f>
        <v>2E-3</v>
      </c>
    </row>
    <row r="460" spans="1:9" x14ac:dyDescent="0.3">
      <c r="A460">
        <v>459</v>
      </c>
      <c r="B460">
        <v>2011</v>
      </c>
      <c r="C460">
        <v>11</v>
      </c>
      <c r="D460">
        <v>29</v>
      </c>
      <c r="E460" s="1">
        <v>-32.4</v>
      </c>
      <c r="F460" t="s">
        <v>32</v>
      </c>
      <c r="G460" t="str">
        <f>_xlfn.XLOOKUP(transakcje[[#This Row],[podkategoria]],parametr[podkategoria],parametr[kategoria])</f>
        <v>opłaty stałe</v>
      </c>
      <c r="H460" t="str">
        <f>_xlfn.XLOOKUP(transakcje[[#This Row],[kategoria]],parametr[kategoria],parametr[typ])</f>
        <v>wydatki</v>
      </c>
      <c r="I460" s="1">
        <f>ABS(transakcje[[#This Row],[kwota]])</f>
        <v>32.4</v>
      </c>
    </row>
    <row r="461" spans="1:9" x14ac:dyDescent="0.3">
      <c r="A461">
        <v>460</v>
      </c>
      <c r="B461">
        <v>2011</v>
      </c>
      <c r="C461">
        <v>11</v>
      </c>
      <c r="D461">
        <v>30</v>
      </c>
      <c r="E461" s="1">
        <v>2E-3</v>
      </c>
      <c r="F461" t="s">
        <v>17</v>
      </c>
      <c r="G461" t="str">
        <f>_xlfn.XLOOKUP(transakcje[[#This Row],[podkategoria]],parametr[podkategoria],parametr[kategoria])</f>
        <v>dochody pozostałe</v>
      </c>
      <c r="H461" t="str">
        <f>_xlfn.XLOOKUP(transakcje[[#This Row],[kategoria]],parametr[kategoria],parametr[typ])</f>
        <v>dochody</v>
      </c>
      <c r="I461" s="1">
        <f>ABS(transakcje[[#This Row],[kwota]])</f>
        <v>2E-3</v>
      </c>
    </row>
    <row r="462" spans="1:9" x14ac:dyDescent="0.3">
      <c r="A462">
        <v>461</v>
      </c>
      <c r="B462">
        <v>2011</v>
      </c>
      <c r="C462">
        <v>11</v>
      </c>
      <c r="D462">
        <v>30</v>
      </c>
      <c r="E462" s="1">
        <v>-1.198</v>
      </c>
      <c r="F462" t="s">
        <v>14</v>
      </c>
      <c r="G462" t="str">
        <f>_xlfn.XLOOKUP(transakcje[[#This Row],[podkategoria]],parametr[podkategoria],parametr[kategoria])</f>
        <v>opłaty stałe</v>
      </c>
      <c r="H462" t="str">
        <f>_xlfn.XLOOKUP(transakcje[[#This Row],[kategoria]],parametr[kategoria],parametr[typ])</f>
        <v>wydatki</v>
      </c>
      <c r="I462" s="1">
        <f>ABS(transakcje[[#This Row],[kwota]])</f>
        <v>1.198</v>
      </c>
    </row>
    <row r="463" spans="1:9" x14ac:dyDescent="0.3">
      <c r="A463">
        <v>462</v>
      </c>
      <c r="B463">
        <v>2011</v>
      </c>
      <c r="C463">
        <v>11</v>
      </c>
      <c r="D463">
        <v>30</v>
      </c>
      <c r="E463" s="1">
        <v>-0.6</v>
      </c>
      <c r="F463" t="s">
        <v>14</v>
      </c>
      <c r="G463" t="str">
        <f>_xlfn.XLOOKUP(transakcje[[#This Row],[podkategoria]],parametr[podkategoria],parametr[kategoria])</f>
        <v>opłaty stałe</v>
      </c>
      <c r="H463" t="str">
        <f>_xlfn.XLOOKUP(transakcje[[#This Row],[kategoria]],parametr[kategoria],parametr[typ])</f>
        <v>wydatki</v>
      </c>
      <c r="I463" s="1">
        <f>ABS(transakcje[[#This Row],[kwota]])</f>
        <v>0.6</v>
      </c>
    </row>
    <row r="464" spans="1:9" x14ac:dyDescent="0.3">
      <c r="A464">
        <v>463</v>
      </c>
      <c r="B464">
        <v>2011</v>
      </c>
      <c r="C464">
        <v>11</v>
      </c>
      <c r="D464">
        <v>30</v>
      </c>
      <c r="E464" s="1">
        <v>-9.5960000000000001</v>
      </c>
      <c r="F464" t="s">
        <v>26</v>
      </c>
      <c r="G464" t="str">
        <f>_xlfn.XLOOKUP(transakcje[[#This Row],[podkategoria]],parametr[podkategoria],parametr[kategoria])</f>
        <v>życie</v>
      </c>
      <c r="H464" t="str">
        <f>_xlfn.XLOOKUP(transakcje[[#This Row],[kategoria]],parametr[kategoria],parametr[typ])</f>
        <v>wydatki</v>
      </c>
      <c r="I464" s="1">
        <f>ABS(transakcje[[#This Row],[kwota]])</f>
        <v>9.5960000000000001</v>
      </c>
    </row>
    <row r="465" spans="1:9" x14ac:dyDescent="0.3">
      <c r="A465">
        <v>464</v>
      </c>
      <c r="B465">
        <v>2011</v>
      </c>
      <c r="C465">
        <v>11</v>
      </c>
      <c r="D465">
        <v>30</v>
      </c>
      <c r="E465" s="1">
        <v>-11.842000000000001</v>
      </c>
      <c r="F465" t="s">
        <v>26</v>
      </c>
      <c r="G465" t="str">
        <f>_xlfn.XLOOKUP(transakcje[[#This Row],[podkategoria]],parametr[podkategoria],parametr[kategoria])</f>
        <v>życie</v>
      </c>
      <c r="H465" t="str">
        <f>_xlfn.XLOOKUP(transakcje[[#This Row],[kategoria]],parametr[kategoria],parametr[typ])</f>
        <v>wydatki</v>
      </c>
      <c r="I465" s="1">
        <f>ABS(transakcje[[#This Row],[kwota]])</f>
        <v>11.842000000000001</v>
      </c>
    </row>
    <row r="466" spans="1:9" x14ac:dyDescent="0.3">
      <c r="A466">
        <v>465</v>
      </c>
      <c r="B466">
        <v>2011</v>
      </c>
      <c r="C466">
        <v>12</v>
      </c>
      <c r="D466">
        <v>3</v>
      </c>
      <c r="E466" s="1">
        <v>-70.957999999999998</v>
      </c>
      <c r="F466" t="s">
        <v>31</v>
      </c>
      <c r="G466" t="str">
        <f>_xlfn.XLOOKUP(transakcje[[#This Row],[podkategoria]],parametr[podkategoria],parametr[kategoria])</f>
        <v>opłaty stałe</v>
      </c>
      <c r="H466" t="str">
        <f>_xlfn.XLOOKUP(transakcje[[#This Row],[kategoria]],parametr[kategoria],parametr[typ])</f>
        <v>wydatki</v>
      </c>
      <c r="I466" s="1">
        <f>ABS(transakcje[[#This Row],[kwota]])</f>
        <v>70.957999999999998</v>
      </c>
    </row>
    <row r="467" spans="1:9" x14ac:dyDescent="0.3">
      <c r="A467">
        <v>466</v>
      </c>
      <c r="B467">
        <v>2011</v>
      </c>
      <c r="C467">
        <v>12</v>
      </c>
      <c r="D467">
        <v>3</v>
      </c>
      <c r="E467" s="1">
        <v>-6.63</v>
      </c>
      <c r="F467" t="s">
        <v>35</v>
      </c>
      <c r="G467" t="str">
        <f>_xlfn.XLOOKUP(transakcje[[#This Row],[podkategoria]],parametr[podkategoria],parametr[kategoria])</f>
        <v>opłaty stałe</v>
      </c>
      <c r="H467" t="str">
        <f>_xlfn.XLOOKUP(transakcje[[#This Row],[kategoria]],parametr[kategoria],parametr[typ])</f>
        <v>wydatki</v>
      </c>
      <c r="I467" s="1">
        <f>ABS(transakcje[[#This Row],[kwota]])</f>
        <v>6.63</v>
      </c>
    </row>
    <row r="468" spans="1:9" x14ac:dyDescent="0.3">
      <c r="A468">
        <v>467</v>
      </c>
      <c r="B468">
        <v>2011</v>
      </c>
      <c r="C468">
        <v>12</v>
      </c>
      <c r="D468">
        <v>3</v>
      </c>
      <c r="E468" s="1">
        <v>-9.7200000000000006</v>
      </c>
      <c r="F468" t="s">
        <v>23</v>
      </c>
      <c r="G468" t="str">
        <f>_xlfn.XLOOKUP(transakcje[[#This Row],[podkategoria]],parametr[podkategoria],parametr[kategoria])</f>
        <v>opłaty stałe</v>
      </c>
      <c r="H468" t="str">
        <f>_xlfn.XLOOKUP(transakcje[[#This Row],[kategoria]],parametr[kategoria],parametr[typ])</f>
        <v>wydatki</v>
      </c>
      <c r="I468" s="1">
        <f>ABS(transakcje[[#This Row],[kwota]])</f>
        <v>9.7200000000000006</v>
      </c>
    </row>
    <row r="469" spans="1:9" x14ac:dyDescent="0.3">
      <c r="A469">
        <v>468</v>
      </c>
      <c r="B469">
        <v>2011</v>
      </c>
      <c r="C469">
        <v>12</v>
      </c>
      <c r="D469">
        <v>3</v>
      </c>
      <c r="E469" s="1">
        <v>-9.98</v>
      </c>
      <c r="F469" t="s">
        <v>25</v>
      </c>
      <c r="G469" t="str">
        <f>_xlfn.XLOOKUP(transakcje[[#This Row],[podkategoria]],parametr[podkategoria],parametr[kategoria])</f>
        <v>opłaty stałe</v>
      </c>
      <c r="H469" t="str">
        <f>_xlfn.XLOOKUP(transakcje[[#This Row],[kategoria]],parametr[kategoria],parametr[typ])</f>
        <v>wydatki</v>
      </c>
      <c r="I469" s="1">
        <f>ABS(transakcje[[#This Row],[kwota]])</f>
        <v>9.98</v>
      </c>
    </row>
    <row r="470" spans="1:9" x14ac:dyDescent="0.3">
      <c r="A470">
        <v>469</v>
      </c>
      <c r="B470">
        <v>2011</v>
      </c>
      <c r="C470">
        <v>12</v>
      </c>
      <c r="D470">
        <v>9</v>
      </c>
      <c r="E470" s="1">
        <v>-7.9819999999999993</v>
      </c>
      <c r="F470" t="s">
        <v>26</v>
      </c>
      <c r="G470" t="str">
        <f>_xlfn.XLOOKUP(transakcje[[#This Row],[podkategoria]],parametr[podkategoria],parametr[kategoria])</f>
        <v>życie</v>
      </c>
      <c r="H470" t="str">
        <f>_xlfn.XLOOKUP(transakcje[[#This Row],[kategoria]],parametr[kategoria],parametr[typ])</f>
        <v>wydatki</v>
      </c>
      <c r="I470" s="1">
        <f>ABS(transakcje[[#This Row],[kwota]])</f>
        <v>7.9819999999999993</v>
      </c>
    </row>
    <row r="471" spans="1:9" x14ac:dyDescent="0.3">
      <c r="A471">
        <v>470</v>
      </c>
      <c r="B471">
        <v>2011</v>
      </c>
      <c r="C471">
        <v>12</v>
      </c>
      <c r="D471">
        <v>13</v>
      </c>
      <c r="E471" s="1">
        <v>-40</v>
      </c>
      <c r="F471" t="s">
        <v>26</v>
      </c>
      <c r="G471" t="str">
        <f>_xlfn.XLOOKUP(transakcje[[#This Row],[podkategoria]],parametr[podkategoria],parametr[kategoria])</f>
        <v>życie</v>
      </c>
      <c r="H471" t="str">
        <f>_xlfn.XLOOKUP(transakcje[[#This Row],[kategoria]],parametr[kategoria],parametr[typ])</f>
        <v>wydatki</v>
      </c>
      <c r="I471" s="1">
        <f>ABS(transakcje[[#This Row],[kwota]])</f>
        <v>40</v>
      </c>
    </row>
    <row r="472" spans="1:9" x14ac:dyDescent="0.3">
      <c r="A472">
        <v>471</v>
      </c>
      <c r="B472">
        <v>2011</v>
      </c>
      <c r="C472">
        <v>12</v>
      </c>
      <c r="D472">
        <v>13</v>
      </c>
      <c r="E472" s="1">
        <v>79.515999999999991</v>
      </c>
      <c r="F472" t="s">
        <v>19</v>
      </c>
      <c r="G472" t="str">
        <f>_xlfn.XLOOKUP(transakcje[[#This Row],[podkategoria]],parametr[podkategoria],parametr[kategoria])</f>
        <v>dochody z pracy</v>
      </c>
      <c r="H472" t="str">
        <f>_xlfn.XLOOKUP(transakcje[[#This Row],[kategoria]],parametr[kategoria],parametr[typ])</f>
        <v>dochody</v>
      </c>
      <c r="I472" s="1">
        <f>ABS(transakcje[[#This Row],[kwota]])</f>
        <v>79.515999999999991</v>
      </c>
    </row>
    <row r="473" spans="1:9" x14ac:dyDescent="0.3">
      <c r="A473">
        <v>472</v>
      </c>
      <c r="B473">
        <v>2011</v>
      </c>
      <c r="C473">
        <v>12</v>
      </c>
      <c r="D473">
        <v>13</v>
      </c>
      <c r="E473" s="1">
        <v>-0.39800000000000002</v>
      </c>
      <c r="F473" t="s">
        <v>14</v>
      </c>
      <c r="G473" t="str">
        <f>_xlfn.XLOOKUP(transakcje[[#This Row],[podkategoria]],parametr[podkategoria],parametr[kategoria])</f>
        <v>opłaty stałe</v>
      </c>
      <c r="H473" t="str">
        <f>_xlfn.XLOOKUP(transakcje[[#This Row],[kategoria]],parametr[kategoria],parametr[typ])</f>
        <v>wydatki</v>
      </c>
      <c r="I473" s="1">
        <f>ABS(transakcje[[#This Row],[kwota]])</f>
        <v>0.39800000000000002</v>
      </c>
    </row>
    <row r="474" spans="1:9" x14ac:dyDescent="0.3">
      <c r="A474">
        <v>473</v>
      </c>
      <c r="B474">
        <v>2011</v>
      </c>
      <c r="C474">
        <v>12</v>
      </c>
      <c r="D474">
        <v>14</v>
      </c>
      <c r="E474" s="1">
        <v>-5.0659999999999998</v>
      </c>
      <c r="F474" t="s">
        <v>26</v>
      </c>
      <c r="G474" t="str">
        <f>_xlfn.XLOOKUP(transakcje[[#This Row],[podkategoria]],parametr[podkategoria],parametr[kategoria])</f>
        <v>życie</v>
      </c>
      <c r="H474" t="str">
        <f>_xlfn.XLOOKUP(transakcje[[#This Row],[kategoria]],parametr[kategoria],parametr[typ])</f>
        <v>wydatki</v>
      </c>
      <c r="I474" s="1">
        <f>ABS(transakcje[[#This Row],[kwota]])</f>
        <v>5.0659999999999998</v>
      </c>
    </row>
    <row r="475" spans="1:9" x14ac:dyDescent="0.3">
      <c r="A475">
        <v>474</v>
      </c>
      <c r="B475">
        <v>2011</v>
      </c>
      <c r="C475">
        <v>12</v>
      </c>
      <c r="D475">
        <v>14</v>
      </c>
      <c r="E475" s="1">
        <v>-1.9100000000000001</v>
      </c>
      <c r="F475" t="s">
        <v>26</v>
      </c>
      <c r="G475" t="str">
        <f>_xlfn.XLOOKUP(transakcje[[#This Row],[podkategoria]],parametr[podkategoria],parametr[kategoria])</f>
        <v>życie</v>
      </c>
      <c r="H475" t="str">
        <f>_xlfn.XLOOKUP(transakcje[[#This Row],[kategoria]],parametr[kategoria],parametr[typ])</f>
        <v>wydatki</v>
      </c>
      <c r="I475" s="1">
        <f>ABS(transakcje[[#This Row],[kwota]])</f>
        <v>1.9100000000000001</v>
      </c>
    </row>
    <row r="476" spans="1:9" x14ac:dyDescent="0.3">
      <c r="A476">
        <v>475</v>
      </c>
      <c r="B476">
        <v>2011</v>
      </c>
      <c r="C476">
        <v>12</v>
      </c>
      <c r="D476">
        <v>15</v>
      </c>
      <c r="E476" s="1">
        <v>-0.8</v>
      </c>
      <c r="F476" t="s">
        <v>14</v>
      </c>
      <c r="G476" t="str">
        <f>_xlfn.XLOOKUP(transakcje[[#This Row],[podkategoria]],parametr[podkategoria],parametr[kategoria])</f>
        <v>opłaty stałe</v>
      </c>
      <c r="H476" t="str">
        <f>_xlfn.XLOOKUP(transakcje[[#This Row],[kategoria]],parametr[kategoria],parametr[typ])</f>
        <v>wydatki</v>
      </c>
      <c r="I476" s="1">
        <f>ABS(transakcje[[#This Row],[kwota]])</f>
        <v>0.8</v>
      </c>
    </row>
    <row r="477" spans="1:9" x14ac:dyDescent="0.3">
      <c r="A477">
        <v>476</v>
      </c>
      <c r="B477">
        <v>2011</v>
      </c>
      <c r="C477">
        <v>12</v>
      </c>
      <c r="D477">
        <v>19</v>
      </c>
      <c r="E477" s="1">
        <v>-4.8179999999999996</v>
      </c>
      <c r="F477" t="s">
        <v>26</v>
      </c>
      <c r="G477" t="str">
        <f>_xlfn.XLOOKUP(transakcje[[#This Row],[podkategoria]],parametr[podkategoria],parametr[kategoria])</f>
        <v>życie</v>
      </c>
      <c r="H477" t="str">
        <f>_xlfn.XLOOKUP(transakcje[[#This Row],[kategoria]],parametr[kategoria],parametr[typ])</f>
        <v>wydatki</v>
      </c>
      <c r="I477" s="1">
        <f>ABS(transakcje[[#This Row],[kwota]])</f>
        <v>4.8179999999999996</v>
      </c>
    </row>
    <row r="478" spans="1:9" x14ac:dyDescent="0.3">
      <c r="A478">
        <v>477</v>
      </c>
      <c r="B478">
        <v>2011</v>
      </c>
      <c r="C478">
        <v>12</v>
      </c>
      <c r="D478">
        <v>19</v>
      </c>
      <c r="E478" s="1">
        <v>-21.8</v>
      </c>
      <c r="F478" t="s">
        <v>26</v>
      </c>
      <c r="G478" t="str">
        <f>_xlfn.XLOOKUP(transakcje[[#This Row],[podkategoria]],parametr[podkategoria],parametr[kategoria])</f>
        <v>życie</v>
      </c>
      <c r="H478" t="str">
        <f>_xlfn.XLOOKUP(transakcje[[#This Row],[kategoria]],parametr[kategoria],parametr[typ])</f>
        <v>wydatki</v>
      </c>
      <c r="I478" s="1">
        <f>ABS(transakcje[[#This Row],[kwota]])</f>
        <v>21.8</v>
      </c>
    </row>
    <row r="479" spans="1:9" x14ac:dyDescent="0.3">
      <c r="A479">
        <v>478</v>
      </c>
      <c r="B479">
        <v>2011</v>
      </c>
      <c r="C479">
        <v>12</v>
      </c>
      <c r="D479">
        <v>19</v>
      </c>
      <c r="E479" s="1">
        <v>417.81400000000002</v>
      </c>
      <c r="F479" t="s">
        <v>8</v>
      </c>
      <c r="G479" t="str">
        <f>_xlfn.XLOOKUP(transakcje[[#This Row],[podkategoria]],parametr[podkategoria],parametr[kategoria])</f>
        <v>dochody z pracy</v>
      </c>
      <c r="H479" t="str">
        <f>_xlfn.XLOOKUP(transakcje[[#This Row],[kategoria]],parametr[kategoria],parametr[typ])</f>
        <v>dochody</v>
      </c>
      <c r="I479" s="1">
        <f>ABS(transakcje[[#This Row],[kwota]])</f>
        <v>417.81400000000002</v>
      </c>
    </row>
    <row r="480" spans="1:9" x14ac:dyDescent="0.3">
      <c r="A480">
        <v>479</v>
      </c>
      <c r="B480">
        <v>2011</v>
      </c>
      <c r="C480">
        <v>12</v>
      </c>
      <c r="D480">
        <v>20</v>
      </c>
      <c r="E480" s="1">
        <v>-8.8000000000000007</v>
      </c>
      <c r="F480" t="s">
        <v>26</v>
      </c>
      <c r="G480" t="str">
        <f>_xlfn.XLOOKUP(transakcje[[#This Row],[podkategoria]],parametr[podkategoria],parametr[kategoria])</f>
        <v>życie</v>
      </c>
      <c r="H480" t="str">
        <f>_xlfn.XLOOKUP(transakcje[[#This Row],[kategoria]],parametr[kategoria],parametr[typ])</f>
        <v>wydatki</v>
      </c>
      <c r="I480" s="1">
        <f>ABS(transakcje[[#This Row],[kwota]])</f>
        <v>8.8000000000000007</v>
      </c>
    </row>
    <row r="481" spans="1:9" x14ac:dyDescent="0.3">
      <c r="A481">
        <v>480</v>
      </c>
      <c r="B481">
        <v>2011</v>
      </c>
      <c r="C481">
        <v>12</v>
      </c>
      <c r="D481">
        <v>23</v>
      </c>
      <c r="E481" s="1">
        <v>29.794</v>
      </c>
      <c r="F481" t="s">
        <v>19</v>
      </c>
      <c r="G481" t="str">
        <f>_xlfn.XLOOKUP(transakcje[[#This Row],[podkategoria]],parametr[podkategoria],parametr[kategoria])</f>
        <v>dochody z pracy</v>
      </c>
      <c r="H481" t="str">
        <f>_xlfn.XLOOKUP(transakcje[[#This Row],[kategoria]],parametr[kategoria],parametr[typ])</f>
        <v>dochody</v>
      </c>
      <c r="I481" s="1">
        <f>ABS(transakcje[[#This Row],[kwota]])</f>
        <v>29.794</v>
      </c>
    </row>
    <row r="482" spans="1:9" x14ac:dyDescent="0.3">
      <c r="A482">
        <v>481</v>
      </c>
      <c r="B482">
        <v>2011</v>
      </c>
      <c r="C482">
        <v>12</v>
      </c>
      <c r="D482">
        <v>31</v>
      </c>
      <c r="E482" s="1">
        <v>2E-3</v>
      </c>
      <c r="F482" t="s">
        <v>17</v>
      </c>
      <c r="G482" t="str">
        <f>_xlfn.XLOOKUP(transakcje[[#This Row],[podkategoria]],parametr[podkategoria],parametr[kategoria])</f>
        <v>dochody pozostałe</v>
      </c>
      <c r="H482" t="str">
        <f>_xlfn.XLOOKUP(transakcje[[#This Row],[kategoria]],parametr[kategoria],parametr[typ])</f>
        <v>dochody</v>
      </c>
      <c r="I482" s="1">
        <f>ABS(transakcje[[#This Row],[kwota]])</f>
        <v>2E-3</v>
      </c>
    </row>
    <row r="483" spans="1:9" x14ac:dyDescent="0.3">
      <c r="A483">
        <v>482</v>
      </c>
      <c r="B483">
        <v>2011</v>
      </c>
      <c r="C483">
        <v>12</v>
      </c>
      <c r="D483">
        <v>31</v>
      </c>
      <c r="E483" s="1">
        <v>-1.198</v>
      </c>
      <c r="F483" t="s">
        <v>14</v>
      </c>
      <c r="G483" t="str">
        <f>_xlfn.XLOOKUP(transakcje[[#This Row],[podkategoria]],parametr[podkategoria],parametr[kategoria])</f>
        <v>opłaty stałe</v>
      </c>
      <c r="H483" t="str">
        <f>_xlfn.XLOOKUP(transakcje[[#This Row],[kategoria]],parametr[kategoria],parametr[typ])</f>
        <v>wydatki</v>
      </c>
      <c r="I483" s="1">
        <f>ABS(transakcje[[#This Row],[kwota]])</f>
        <v>1.198</v>
      </c>
    </row>
    <row r="484" spans="1:9" x14ac:dyDescent="0.3">
      <c r="A484">
        <v>483</v>
      </c>
      <c r="B484">
        <v>2011</v>
      </c>
      <c r="C484">
        <v>12</v>
      </c>
      <c r="D484">
        <v>31</v>
      </c>
      <c r="E484" s="1">
        <v>-0.4</v>
      </c>
      <c r="F484" t="s">
        <v>14</v>
      </c>
      <c r="G484" t="str">
        <f>_xlfn.XLOOKUP(transakcje[[#This Row],[podkategoria]],parametr[podkategoria],parametr[kategoria])</f>
        <v>opłaty stałe</v>
      </c>
      <c r="H484" t="str">
        <f>_xlfn.XLOOKUP(transakcje[[#This Row],[kategoria]],parametr[kategoria],parametr[typ])</f>
        <v>wydatki</v>
      </c>
      <c r="I484" s="1">
        <f>ABS(transakcje[[#This Row],[kwota]])</f>
        <v>0.4</v>
      </c>
    </row>
    <row r="485" spans="1:9" x14ac:dyDescent="0.3">
      <c r="A485">
        <v>484</v>
      </c>
      <c r="B485">
        <v>2012</v>
      </c>
      <c r="C485">
        <v>1</v>
      </c>
      <c r="D485">
        <v>4</v>
      </c>
      <c r="E485" s="1">
        <v>-6.63</v>
      </c>
      <c r="F485" t="s">
        <v>35</v>
      </c>
      <c r="G485" t="str">
        <f>_xlfn.XLOOKUP(transakcje[[#This Row],[podkategoria]],parametr[podkategoria],parametr[kategoria])</f>
        <v>opłaty stałe</v>
      </c>
      <c r="H485" t="str">
        <f>_xlfn.XLOOKUP(transakcje[[#This Row],[kategoria]],parametr[kategoria],parametr[typ])</f>
        <v>wydatki</v>
      </c>
      <c r="I485" s="1">
        <f>ABS(transakcje[[#This Row],[kwota]])</f>
        <v>6.63</v>
      </c>
    </row>
    <row r="486" spans="1:9" x14ac:dyDescent="0.3">
      <c r="A486">
        <v>485</v>
      </c>
      <c r="B486">
        <v>2012</v>
      </c>
      <c r="C486">
        <v>1</v>
      </c>
      <c r="D486">
        <v>5</v>
      </c>
      <c r="E486" s="1">
        <v>-73</v>
      </c>
      <c r="F486" t="s">
        <v>24</v>
      </c>
      <c r="G486" t="str">
        <f>_xlfn.XLOOKUP(transakcje[[#This Row],[podkategoria]],parametr[podkategoria],parametr[kategoria])</f>
        <v>trwałe</v>
      </c>
      <c r="H486" t="str">
        <f>_xlfn.XLOOKUP(transakcje[[#This Row],[kategoria]],parametr[kategoria],parametr[typ])</f>
        <v>wydatki</v>
      </c>
      <c r="I486" s="1">
        <f>ABS(transakcje[[#This Row],[kwota]])</f>
        <v>73</v>
      </c>
    </row>
    <row r="487" spans="1:9" x14ac:dyDescent="0.3">
      <c r="A487">
        <v>486</v>
      </c>
      <c r="B487">
        <v>2012</v>
      </c>
      <c r="C487">
        <v>1</v>
      </c>
      <c r="D487">
        <v>6</v>
      </c>
      <c r="E487" s="1">
        <v>-9.7200000000000006</v>
      </c>
      <c r="F487" t="s">
        <v>23</v>
      </c>
      <c r="G487" t="str">
        <f>_xlfn.XLOOKUP(transakcje[[#This Row],[podkategoria]],parametr[podkategoria],parametr[kategoria])</f>
        <v>opłaty stałe</v>
      </c>
      <c r="H487" t="str">
        <f>_xlfn.XLOOKUP(transakcje[[#This Row],[kategoria]],parametr[kategoria],parametr[typ])</f>
        <v>wydatki</v>
      </c>
      <c r="I487" s="1">
        <f>ABS(transakcje[[#This Row],[kwota]])</f>
        <v>9.7200000000000006</v>
      </c>
    </row>
    <row r="488" spans="1:9" x14ac:dyDescent="0.3">
      <c r="A488">
        <v>487</v>
      </c>
      <c r="B488">
        <v>2012</v>
      </c>
      <c r="C488">
        <v>1</v>
      </c>
      <c r="D488">
        <v>6</v>
      </c>
      <c r="E488" s="1">
        <v>-17.558</v>
      </c>
      <c r="F488" t="s">
        <v>34</v>
      </c>
      <c r="G488" t="str">
        <f>_xlfn.XLOOKUP(transakcje[[#This Row],[podkategoria]],parametr[podkategoria],parametr[kategoria])</f>
        <v>opłaty stałe</v>
      </c>
      <c r="H488" t="str">
        <f>_xlfn.XLOOKUP(transakcje[[#This Row],[kategoria]],parametr[kategoria],parametr[typ])</f>
        <v>wydatki</v>
      </c>
      <c r="I488" s="1">
        <f>ABS(transakcje[[#This Row],[kwota]])</f>
        <v>17.558</v>
      </c>
    </row>
    <row r="489" spans="1:9" x14ac:dyDescent="0.3">
      <c r="A489">
        <v>488</v>
      </c>
      <c r="B489">
        <v>2012</v>
      </c>
      <c r="C489">
        <v>1</v>
      </c>
      <c r="D489">
        <v>6</v>
      </c>
      <c r="E489" s="1">
        <v>-9.98</v>
      </c>
      <c r="F489" t="s">
        <v>25</v>
      </c>
      <c r="G489" t="str">
        <f>_xlfn.XLOOKUP(transakcje[[#This Row],[podkategoria]],parametr[podkategoria],parametr[kategoria])</f>
        <v>opłaty stałe</v>
      </c>
      <c r="H489" t="str">
        <f>_xlfn.XLOOKUP(transakcje[[#This Row],[kategoria]],parametr[kategoria],parametr[typ])</f>
        <v>wydatki</v>
      </c>
      <c r="I489" s="1">
        <f>ABS(transakcje[[#This Row],[kwota]])</f>
        <v>9.98</v>
      </c>
    </row>
    <row r="490" spans="1:9" x14ac:dyDescent="0.3">
      <c r="A490">
        <v>489</v>
      </c>
      <c r="B490">
        <v>2012</v>
      </c>
      <c r="C490">
        <v>1</v>
      </c>
      <c r="D490">
        <v>15</v>
      </c>
      <c r="E490" s="1">
        <v>-0.8</v>
      </c>
      <c r="F490" t="s">
        <v>14</v>
      </c>
      <c r="G490" t="str">
        <f>_xlfn.XLOOKUP(transakcje[[#This Row],[podkategoria]],parametr[podkategoria],parametr[kategoria])</f>
        <v>opłaty stałe</v>
      </c>
      <c r="H490" t="str">
        <f>_xlfn.XLOOKUP(transakcje[[#This Row],[kategoria]],parametr[kategoria],parametr[typ])</f>
        <v>wydatki</v>
      </c>
      <c r="I490" s="1">
        <f>ABS(transakcje[[#This Row],[kwota]])</f>
        <v>0.8</v>
      </c>
    </row>
    <row r="491" spans="1:9" x14ac:dyDescent="0.3">
      <c r="A491">
        <v>490</v>
      </c>
      <c r="B491">
        <v>2012</v>
      </c>
      <c r="C491">
        <v>1</v>
      </c>
      <c r="D491">
        <v>17</v>
      </c>
      <c r="E491" s="1">
        <v>-0.39800000000000002</v>
      </c>
      <c r="F491" t="s">
        <v>14</v>
      </c>
      <c r="G491" t="str">
        <f>_xlfn.XLOOKUP(transakcje[[#This Row],[podkategoria]],parametr[podkategoria],parametr[kategoria])</f>
        <v>opłaty stałe</v>
      </c>
      <c r="H491" t="str">
        <f>_xlfn.XLOOKUP(transakcje[[#This Row],[kategoria]],parametr[kategoria],parametr[typ])</f>
        <v>wydatki</v>
      </c>
      <c r="I491" s="1">
        <f>ABS(transakcje[[#This Row],[kwota]])</f>
        <v>0.39800000000000002</v>
      </c>
    </row>
    <row r="492" spans="1:9" x14ac:dyDescent="0.3">
      <c r="A492">
        <v>491</v>
      </c>
      <c r="B492">
        <v>2012</v>
      </c>
      <c r="C492">
        <v>1</v>
      </c>
      <c r="D492">
        <v>25</v>
      </c>
      <c r="E492" s="1">
        <v>417.81200000000001</v>
      </c>
      <c r="F492" t="s">
        <v>8</v>
      </c>
      <c r="G492" t="str">
        <f>_xlfn.XLOOKUP(transakcje[[#This Row],[podkategoria]],parametr[podkategoria],parametr[kategoria])</f>
        <v>dochody z pracy</v>
      </c>
      <c r="H492" t="str">
        <f>_xlfn.XLOOKUP(transakcje[[#This Row],[kategoria]],parametr[kategoria],parametr[typ])</f>
        <v>dochody</v>
      </c>
      <c r="I492" s="1">
        <f>ABS(transakcje[[#This Row],[kwota]])</f>
        <v>417.81200000000001</v>
      </c>
    </row>
    <row r="493" spans="1:9" x14ac:dyDescent="0.3">
      <c r="A493">
        <v>492</v>
      </c>
      <c r="B493">
        <v>2012</v>
      </c>
      <c r="C493">
        <v>1</v>
      </c>
      <c r="D493">
        <v>27</v>
      </c>
      <c r="E493" s="1">
        <v>-8.6879999999999988</v>
      </c>
      <c r="F493" t="s">
        <v>26</v>
      </c>
      <c r="G493" t="str">
        <f>_xlfn.XLOOKUP(transakcje[[#This Row],[podkategoria]],parametr[podkategoria],parametr[kategoria])</f>
        <v>życie</v>
      </c>
      <c r="H493" t="str">
        <f>_xlfn.XLOOKUP(transakcje[[#This Row],[kategoria]],parametr[kategoria],parametr[typ])</f>
        <v>wydatki</v>
      </c>
      <c r="I493" s="1">
        <f>ABS(transakcje[[#This Row],[kwota]])</f>
        <v>8.6879999999999988</v>
      </c>
    </row>
    <row r="494" spans="1:9" x14ac:dyDescent="0.3">
      <c r="A494">
        <v>493</v>
      </c>
      <c r="B494">
        <v>2012</v>
      </c>
      <c r="C494">
        <v>1</v>
      </c>
      <c r="D494">
        <v>28</v>
      </c>
      <c r="E494" s="1">
        <v>-15.8</v>
      </c>
      <c r="F494" t="s">
        <v>20</v>
      </c>
      <c r="G494" t="str">
        <f>_xlfn.XLOOKUP(transakcje[[#This Row],[podkategoria]],parametr[podkategoria],parametr[kategoria])</f>
        <v>trwałe</v>
      </c>
      <c r="H494" t="str">
        <f>_xlfn.XLOOKUP(transakcje[[#This Row],[kategoria]],parametr[kategoria],parametr[typ])</f>
        <v>wydatki</v>
      </c>
      <c r="I494" s="1">
        <f>ABS(transakcje[[#This Row],[kwota]])</f>
        <v>15.8</v>
      </c>
    </row>
    <row r="495" spans="1:9" x14ac:dyDescent="0.3">
      <c r="A495">
        <v>494</v>
      </c>
      <c r="B495">
        <v>2012</v>
      </c>
      <c r="C495">
        <v>1</v>
      </c>
      <c r="D495">
        <v>28</v>
      </c>
      <c r="E495" s="1">
        <v>-46.966000000000001</v>
      </c>
      <c r="F495" t="s">
        <v>20</v>
      </c>
      <c r="G495" t="str">
        <f>_xlfn.XLOOKUP(transakcje[[#This Row],[podkategoria]],parametr[podkategoria],parametr[kategoria])</f>
        <v>trwałe</v>
      </c>
      <c r="H495" t="str">
        <f>_xlfn.XLOOKUP(transakcje[[#This Row],[kategoria]],parametr[kategoria],parametr[typ])</f>
        <v>wydatki</v>
      </c>
      <c r="I495" s="1">
        <f>ABS(transakcje[[#This Row],[kwota]])</f>
        <v>46.966000000000001</v>
      </c>
    </row>
    <row r="496" spans="1:9" x14ac:dyDescent="0.3">
      <c r="A496">
        <v>495</v>
      </c>
      <c r="B496">
        <v>2012</v>
      </c>
      <c r="C496">
        <v>1</v>
      </c>
      <c r="D496">
        <v>28</v>
      </c>
      <c r="E496" s="1">
        <v>-28.8</v>
      </c>
      <c r="F496" t="s">
        <v>20</v>
      </c>
      <c r="G496" t="str">
        <f>_xlfn.XLOOKUP(transakcje[[#This Row],[podkategoria]],parametr[podkategoria],parametr[kategoria])</f>
        <v>trwałe</v>
      </c>
      <c r="H496" t="str">
        <f>_xlfn.XLOOKUP(transakcje[[#This Row],[kategoria]],parametr[kategoria],parametr[typ])</f>
        <v>wydatki</v>
      </c>
      <c r="I496" s="1">
        <f>ABS(transakcje[[#This Row],[kwota]])</f>
        <v>28.8</v>
      </c>
    </row>
    <row r="497" spans="1:9" x14ac:dyDescent="0.3">
      <c r="A497">
        <v>496</v>
      </c>
      <c r="B497">
        <v>2012</v>
      </c>
      <c r="C497">
        <v>1</v>
      </c>
      <c r="D497">
        <v>30</v>
      </c>
      <c r="E497" s="1">
        <v>-45.2</v>
      </c>
      <c r="F497" t="s">
        <v>26</v>
      </c>
      <c r="G497" t="str">
        <f>_xlfn.XLOOKUP(transakcje[[#This Row],[podkategoria]],parametr[podkategoria],parametr[kategoria])</f>
        <v>życie</v>
      </c>
      <c r="H497" t="str">
        <f>_xlfn.XLOOKUP(transakcje[[#This Row],[kategoria]],parametr[kategoria],parametr[typ])</f>
        <v>wydatki</v>
      </c>
      <c r="I497" s="1">
        <f>ABS(transakcje[[#This Row],[kwota]])</f>
        <v>45.2</v>
      </c>
    </row>
    <row r="498" spans="1:9" x14ac:dyDescent="0.3">
      <c r="A498">
        <v>497</v>
      </c>
      <c r="B498">
        <v>2012</v>
      </c>
      <c r="C498">
        <v>1</v>
      </c>
      <c r="D498">
        <v>30</v>
      </c>
      <c r="E498" s="1">
        <v>-64.8</v>
      </c>
      <c r="F498" t="s">
        <v>32</v>
      </c>
      <c r="G498" t="str">
        <f>_xlfn.XLOOKUP(transakcje[[#This Row],[podkategoria]],parametr[podkategoria],parametr[kategoria])</f>
        <v>opłaty stałe</v>
      </c>
      <c r="H498" t="str">
        <f>_xlfn.XLOOKUP(transakcje[[#This Row],[kategoria]],parametr[kategoria],parametr[typ])</f>
        <v>wydatki</v>
      </c>
      <c r="I498" s="1">
        <f>ABS(transakcje[[#This Row],[kwota]])</f>
        <v>64.8</v>
      </c>
    </row>
    <row r="499" spans="1:9" x14ac:dyDescent="0.3">
      <c r="A499">
        <v>498</v>
      </c>
      <c r="B499">
        <v>2012</v>
      </c>
      <c r="C499">
        <v>1</v>
      </c>
      <c r="D499">
        <v>31</v>
      </c>
      <c r="E499" s="1">
        <v>2E-3</v>
      </c>
      <c r="F499" t="s">
        <v>17</v>
      </c>
      <c r="G499" t="str">
        <f>_xlfn.XLOOKUP(transakcje[[#This Row],[podkategoria]],parametr[podkategoria],parametr[kategoria])</f>
        <v>dochody pozostałe</v>
      </c>
      <c r="H499" t="str">
        <f>_xlfn.XLOOKUP(transakcje[[#This Row],[kategoria]],parametr[kategoria],parametr[typ])</f>
        <v>dochody</v>
      </c>
      <c r="I499" s="1">
        <f>ABS(transakcje[[#This Row],[kwota]])</f>
        <v>2E-3</v>
      </c>
    </row>
    <row r="500" spans="1:9" x14ac:dyDescent="0.3">
      <c r="A500">
        <v>499</v>
      </c>
      <c r="B500">
        <v>2012</v>
      </c>
      <c r="C500">
        <v>1</v>
      </c>
      <c r="D500">
        <v>31</v>
      </c>
      <c r="E500" s="1">
        <v>-1.198</v>
      </c>
      <c r="F500" t="s">
        <v>14</v>
      </c>
      <c r="G500" t="str">
        <f>_xlfn.XLOOKUP(transakcje[[#This Row],[podkategoria]],parametr[podkategoria],parametr[kategoria])</f>
        <v>opłaty stałe</v>
      </c>
      <c r="H500" t="str">
        <f>_xlfn.XLOOKUP(transakcje[[#This Row],[kategoria]],parametr[kategoria],parametr[typ])</f>
        <v>wydatki</v>
      </c>
      <c r="I500" s="1">
        <f>ABS(transakcje[[#This Row],[kwota]])</f>
        <v>1.198</v>
      </c>
    </row>
    <row r="501" spans="1:9" x14ac:dyDescent="0.3">
      <c r="A501">
        <v>500</v>
      </c>
      <c r="B501">
        <v>2012</v>
      </c>
      <c r="C501">
        <v>1</v>
      </c>
      <c r="D501">
        <v>31</v>
      </c>
      <c r="E501" s="1">
        <v>-0.5</v>
      </c>
      <c r="F501" t="s">
        <v>14</v>
      </c>
      <c r="G501" t="str">
        <f>_xlfn.XLOOKUP(transakcje[[#This Row],[podkategoria]],parametr[podkategoria],parametr[kategoria])</f>
        <v>opłaty stałe</v>
      </c>
      <c r="H501" t="str">
        <f>_xlfn.XLOOKUP(transakcje[[#This Row],[kategoria]],parametr[kategoria],parametr[typ])</f>
        <v>wydatki</v>
      </c>
      <c r="I501" s="1">
        <f>ABS(transakcje[[#This Row],[kwota]])</f>
        <v>0.5</v>
      </c>
    </row>
    <row r="502" spans="1:9" x14ac:dyDescent="0.3">
      <c r="A502">
        <v>501</v>
      </c>
      <c r="B502">
        <v>2012</v>
      </c>
      <c r="C502">
        <v>2</v>
      </c>
      <c r="D502">
        <v>4</v>
      </c>
      <c r="E502" s="1">
        <v>-9.7200000000000006</v>
      </c>
      <c r="F502" t="s">
        <v>23</v>
      </c>
      <c r="G502" t="str">
        <f>_xlfn.XLOOKUP(transakcje[[#This Row],[podkategoria]],parametr[podkategoria],parametr[kategoria])</f>
        <v>opłaty stałe</v>
      </c>
      <c r="H502" t="str">
        <f>_xlfn.XLOOKUP(transakcje[[#This Row],[kategoria]],parametr[kategoria],parametr[typ])</f>
        <v>wydatki</v>
      </c>
      <c r="I502" s="1">
        <f>ABS(transakcje[[#This Row],[kwota]])</f>
        <v>9.7200000000000006</v>
      </c>
    </row>
    <row r="503" spans="1:9" x14ac:dyDescent="0.3">
      <c r="A503">
        <v>502</v>
      </c>
      <c r="B503">
        <v>2012</v>
      </c>
      <c r="C503">
        <v>2</v>
      </c>
      <c r="D503">
        <v>4</v>
      </c>
      <c r="E503" s="1">
        <v>-7.6</v>
      </c>
      <c r="F503" t="s">
        <v>36</v>
      </c>
      <c r="G503" t="str">
        <f>_xlfn.XLOOKUP(transakcje[[#This Row],[podkategoria]],parametr[podkategoria],parametr[kategoria])</f>
        <v>opłaty stałe</v>
      </c>
      <c r="H503" t="str">
        <f>_xlfn.XLOOKUP(transakcje[[#This Row],[kategoria]],parametr[kategoria],parametr[typ])</f>
        <v>wydatki</v>
      </c>
      <c r="I503" s="1">
        <f>ABS(transakcje[[#This Row],[kwota]])</f>
        <v>7.6</v>
      </c>
    </row>
    <row r="504" spans="1:9" x14ac:dyDescent="0.3">
      <c r="A504">
        <v>503</v>
      </c>
      <c r="B504">
        <v>2012</v>
      </c>
      <c r="C504">
        <v>2</v>
      </c>
      <c r="D504">
        <v>4</v>
      </c>
      <c r="E504" s="1">
        <v>-7.9799999999999995</v>
      </c>
      <c r="F504" t="s">
        <v>25</v>
      </c>
      <c r="G504" t="str">
        <f>_xlfn.XLOOKUP(transakcje[[#This Row],[podkategoria]],parametr[podkategoria],parametr[kategoria])</f>
        <v>opłaty stałe</v>
      </c>
      <c r="H504" t="str">
        <f>_xlfn.XLOOKUP(transakcje[[#This Row],[kategoria]],parametr[kategoria],parametr[typ])</f>
        <v>wydatki</v>
      </c>
      <c r="I504" s="1">
        <f>ABS(transakcje[[#This Row],[kwota]])</f>
        <v>7.9799999999999995</v>
      </c>
    </row>
    <row r="505" spans="1:9" x14ac:dyDescent="0.3">
      <c r="A505">
        <v>504</v>
      </c>
      <c r="B505">
        <v>2012</v>
      </c>
      <c r="C505">
        <v>2</v>
      </c>
      <c r="D505">
        <v>6</v>
      </c>
      <c r="E505" s="1">
        <v>-34.804000000000002</v>
      </c>
      <c r="F505" t="s">
        <v>26</v>
      </c>
      <c r="G505" t="str">
        <f>_xlfn.XLOOKUP(transakcje[[#This Row],[podkategoria]],parametr[podkategoria],parametr[kategoria])</f>
        <v>życie</v>
      </c>
      <c r="H505" t="str">
        <f>_xlfn.XLOOKUP(transakcje[[#This Row],[kategoria]],parametr[kategoria],parametr[typ])</f>
        <v>wydatki</v>
      </c>
      <c r="I505" s="1">
        <f>ABS(transakcje[[#This Row],[kwota]])</f>
        <v>34.804000000000002</v>
      </c>
    </row>
    <row r="506" spans="1:9" x14ac:dyDescent="0.3">
      <c r="A506">
        <v>505</v>
      </c>
      <c r="B506">
        <v>2012</v>
      </c>
      <c r="C506">
        <v>2</v>
      </c>
      <c r="D506">
        <v>6</v>
      </c>
      <c r="E506" s="1">
        <v>-37.82</v>
      </c>
      <c r="F506" t="s">
        <v>26</v>
      </c>
      <c r="G506" t="str">
        <f>_xlfn.XLOOKUP(transakcje[[#This Row],[podkategoria]],parametr[podkategoria],parametr[kategoria])</f>
        <v>życie</v>
      </c>
      <c r="H506" t="str">
        <f>_xlfn.XLOOKUP(transakcje[[#This Row],[kategoria]],parametr[kategoria],parametr[typ])</f>
        <v>wydatki</v>
      </c>
      <c r="I506" s="1">
        <f>ABS(transakcje[[#This Row],[kwota]])</f>
        <v>37.82</v>
      </c>
    </row>
    <row r="507" spans="1:9" x14ac:dyDescent="0.3">
      <c r="A507">
        <v>506</v>
      </c>
      <c r="B507">
        <v>2012</v>
      </c>
      <c r="C507">
        <v>2</v>
      </c>
      <c r="D507">
        <v>14</v>
      </c>
      <c r="E507" s="1">
        <v>-0.79600000000000004</v>
      </c>
      <c r="F507" t="s">
        <v>14</v>
      </c>
      <c r="G507" t="str">
        <f>_xlfn.XLOOKUP(transakcje[[#This Row],[podkategoria]],parametr[podkategoria],parametr[kategoria])</f>
        <v>opłaty stałe</v>
      </c>
      <c r="H507" t="str">
        <f>_xlfn.XLOOKUP(transakcje[[#This Row],[kategoria]],parametr[kategoria],parametr[typ])</f>
        <v>wydatki</v>
      </c>
      <c r="I507" s="1">
        <f>ABS(transakcje[[#This Row],[kwota]])</f>
        <v>0.79600000000000004</v>
      </c>
    </row>
    <row r="508" spans="1:9" x14ac:dyDescent="0.3">
      <c r="A508">
        <v>507</v>
      </c>
      <c r="B508">
        <v>2012</v>
      </c>
      <c r="C508">
        <v>2</v>
      </c>
      <c r="D508">
        <v>15</v>
      </c>
      <c r="E508" s="1">
        <v>-0.8</v>
      </c>
      <c r="F508" t="s">
        <v>14</v>
      </c>
      <c r="G508" t="str">
        <f>_xlfn.XLOOKUP(transakcje[[#This Row],[podkategoria]],parametr[podkategoria],parametr[kategoria])</f>
        <v>opłaty stałe</v>
      </c>
      <c r="H508" t="str">
        <f>_xlfn.XLOOKUP(transakcje[[#This Row],[kategoria]],parametr[kategoria],parametr[typ])</f>
        <v>wydatki</v>
      </c>
      <c r="I508" s="1">
        <f>ABS(transakcje[[#This Row],[kwota]])</f>
        <v>0.8</v>
      </c>
    </row>
    <row r="509" spans="1:9" x14ac:dyDescent="0.3">
      <c r="A509">
        <v>508</v>
      </c>
      <c r="B509">
        <v>2012</v>
      </c>
      <c r="C509">
        <v>2</v>
      </c>
      <c r="D509">
        <v>21</v>
      </c>
      <c r="E509" s="1">
        <v>409.37199999999996</v>
      </c>
      <c r="F509" t="s">
        <v>22</v>
      </c>
      <c r="G509" t="str">
        <f>_xlfn.XLOOKUP(transakcje[[#This Row],[podkategoria]],parametr[podkategoria],parametr[kategoria])</f>
        <v>dochody z pracy</v>
      </c>
      <c r="H509" t="str">
        <f>_xlfn.XLOOKUP(transakcje[[#This Row],[kategoria]],parametr[kategoria],parametr[typ])</f>
        <v>dochody</v>
      </c>
      <c r="I509" s="1">
        <f>ABS(transakcje[[#This Row],[kwota]])</f>
        <v>409.37199999999996</v>
      </c>
    </row>
    <row r="510" spans="1:9" x14ac:dyDescent="0.3">
      <c r="A510">
        <v>509</v>
      </c>
      <c r="B510">
        <v>2012</v>
      </c>
      <c r="C510">
        <v>2</v>
      </c>
      <c r="D510">
        <v>24</v>
      </c>
      <c r="E510" s="1">
        <v>417.81599999999997</v>
      </c>
      <c r="F510" t="s">
        <v>8</v>
      </c>
      <c r="G510" t="str">
        <f>_xlfn.XLOOKUP(transakcje[[#This Row],[podkategoria]],parametr[podkategoria],parametr[kategoria])</f>
        <v>dochody z pracy</v>
      </c>
      <c r="H510" t="str">
        <f>_xlfn.XLOOKUP(transakcje[[#This Row],[kategoria]],parametr[kategoria],parametr[typ])</f>
        <v>dochody</v>
      </c>
      <c r="I510" s="1">
        <f>ABS(transakcje[[#This Row],[kwota]])</f>
        <v>417.81599999999997</v>
      </c>
    </row>
    <row r="511" spans="1:9" x14ac:dyDescent="0.3">
      <c r="A511">
        <v>510</v>
      </c>
      <c r="B511">
        <v>2012</v>
      </c>
      <c r="C511">
        <v>2</v>
      </c>
      <c r="D511">
        <v>29</v>
      </c>
      <c r="E511" s="1">
        <v>2E-3</v>
      </c>
      <c r="F511" t="s">
        <v>17</v>
      </c>
      <c r="G511" t="str">
        <f>_xlfn.XLOOKUP(transakcje[[#This Row],[podkategoria]],parametr[podkategoria],parametr[kategoria])</f>
        <v>dochody pozostałe</v>
      </c>
      <c r="H511" t="str">
        <f>_xlfn.XLOOKUP(transakcje[[#This Row],[kategoria]],parametr[kategoria],parametr[typ])</f>
        <v>dochody</v>
      </c>
      <c r="I511" s="1">
        <f>ABS(transakcje[[#This Row],[kwota]])</f>
        <v>2E-3</v>
      </c>
    </row>
    <row r="512" spans="1:9" x14ac:dyDescent="0.3">
      <c r="A512">
        <v>511</v>
      </c>
      <c r="B512">
        <v>2012</v>
      </c>
      <c r="C512">
        <v>2</v>
      </c>
      <c r="D512">
        <v>29</v>
      </c>
      <c r="E512" s="1">
        <v>-1.198</v>
      </c>
      <c r="F512" t="s">
        <v>14</v>
      </c>
      <c r="G512" t="str">
        <f>_xlfn.XLOOKUP(transakcje[[#This Row],[podkategoria]],parametr[podkategoria],parametr[kategoria])</f>
        <v>opłaty stałe</v>
      </c>
      <c r="H512" t="str">
        <f>_xlfn.XLOOKUP(transakcje[[#This Row],[kategoria]],parametr[kategoria],parametr[typ])</f>
        <v>wydatki</v>
      </c>
      <c r="I512" s="1">
        <f>ABS(transakcje[[#This Row],[kwota]])</f>
        <v>1.198</v>
      </c>
    </row>
    <row r="513" spans="1:9" x14ac:dyDescent="0.3">
      <c r="A513">
        <v>512</v>
      </c>
      <c r="B513">
        <v>2012</v>
      </c>
      <c r="C513">
        <v>2</v>
      </c>
      <c r="D513">
        <v>29</v>
      </c>
      <c r="E513" s="1">
        <v>-0.5</v>
      </c>
      <c r="F513" t="s">
        <v>14</v>
      </c>
      <c r="G513" t="str">
        <f>_xlfn.XLOOKUP(transakcje[[#This Row],[podkategoria]],parametr[podkategoria],parametr[kategoria])</f>
        <v>opłaty stałe</v>
      </c>
      <c r="H513" t="str">
        <f>_xlfn.XLOOKUP(transakcje[[#This Row],[kategoria]],parametr[kategoria],parametr[typ])</f>
        <v>wydatki</v>
      </c>
      <c r="I513" s="1">
        <f>ABS(transakcje[[#This Row],[kwota]])</f>
        <v>0.5</v>
      </c>
    </row>
    <row r="514" spans="1:9" x14ac:dyDescent="0.3">
      <c r="A514">
        <v>513</v>
      </c>
      <c r="B514">
        <v>2012</v>
      </c>
      <c r="C514">
        <v>3</v>
      </c>
      <c r="D514">
        <v>2</v>
      </c>
      <c r="E514" s="1">
        <v>-7.8620000000000001</v>
      </c>
      <c r="F514" t="s">
        <v>31</v>
      </c>
      <c r="G514" t="str">
        <f>_xlfn.XLOOKUP(transakcje[[#This Row],[podkategoria]],parametr[podkategoria],parametr[kategoria])</f>
        <v>opłaty stałe</v>
      </c>
      <c r="H514" t="str">
        <f>_xlfn.XLOOKUP(transakcje[[#This Row],[kategoria]],parametr[kategoria],parametr[typ])</f>
        <v>wydatki</v>
      </c>
      <c r="I514" s="1">
        <f>ABS(transakcje[[#This Row],[kwota]])</f>
        <v>7.8620000000000001</v>
      </c>
    </row>
    <row r="515" spans="1:9" x14ac:dyDescent="0.3">
      <c r="A515">
        <v>514</v>
      </c>
      <c r="B515">
        <v>2012</v>
      </c>
      <c r="C515">
        <v>3</v>
      </c>
      <c r="D515">
        <v>2</v>
      </c>
      <c r="E515" s="1">
        <v>-9.7200000000000006</v>
      </c>
      <c r="F515" t="s">
        <v>23</v>
      </c>
      <c r="G515" t="str">
        <f>_xlfn.XLOOKUP(transakcje[[#This Row],[podkategoria]],parametr[podkategoria],parametr[kategoria])</f>
        <v>opłaty stałe</v>
      </c>
      <c r="H515" t="str">
        <f>_xlfn.XLOOKUP(transakcje[[#This Row],[kategoria]],parametr[kategoria],parametr[typ])</f>
        <v>wydatki</v>
      </c>
      <c r="I515" s="1">
        <f>ABS(transakcje[[#This Row],[kwota]])</f>
        <v>9.7200000000000006</v>
      </c>
    </row>
    <row r="516" spans="1:9" x14ac:dyDescent="0.3">
      <c r="A516">
        <v>515</v>
      </c>
      <c r="B516">
        <v>2012</v>
      </c>
      <c r="C516">
        <v>3</v>
      </c>
      <c r="D516">
        <v>2</v>
      </c>
      <c r="E516" s="1">
        <v>-17.52</v>
      </c>
      <c r="F516" t="s">
        <v>34</v>
      </c>
      <c r="G516" t="str">
        <f>_xlfn.XLOOKUP(transakcje[[#This Row],[podkategoria]],parametr[podkategoria],parametr[kategoria])</f>
        <v>opłaty stałe</v>
      </c>
      <c r="H516" t="str">
        <f>_xlfn.XLOOKUP(transakcje[[#This Row],[kategoria]],parametr[kategoria],parametr[typ])</f>
        <v>wydatki</v>
      </c>
      <c r="I516" s="1">
        <f>ABS(transakcje[[#This Row],[kwota]])</f>
        <v>17.52</v>
      </c>
    </row>
    <row r="517" spans="1:9" x14ac:dyDescent="0.3">
      <c r="A517">
        <v>516</v>
      </c>
      <c r="B517">
        <v>2012</v>
      </c>
      <c r="C517">
        <v>3</v>
      </c>
      <c r="D517">
        <v>2</v>
      </c>
      <c r="E517" s="1">
        <v>-7.9799999999999995</v>
      </c>
      <c r="F517" t="s">
        <v>25</v>
      </c>
      <c r="G517" t="str">
        <f>_xlfn.XLOOKUP(transakcje[[#This Row],[podkategoria]],parametr[podkategoria],parametr[kategoria])</f>
        <v>opłaty stałe</v>
      </c>
      <c r="H517" t="str">
        <f>_xlfn.XLOOKUP(transakcje[[#This Row],[kategoria]],parametr[kategoria],parametr[typ])</f>
        <v>wydatki</v>
      </c>
      <c r="I517" s="1">
        <f>ABS(transakcje[[#This Row],[kwota]])</f>
        <v>7.9799999999999995</v>
      </c>
    </row>
    <row r="518" spans="1:9" x14ac:dyDescent="0.3">
      <c r="A518">
        <v>517</v>
      </c>
      <c r="B518">
        <v>2012</v>
      </c>
      <c r="C518">
        <v>3</v>
      </c>
      <c r="D518">
        <v>6</v>
      </c>
      <c r="E518" s="1">
        <v>20.8</v>
      </c>
      <c r="F518" t="s">
        <v>16</v>
      </c>
      <c r="G518" t="str">
        <f>_xlfn.XLOOKUP(transakcje[[#This Row],[podkategoria]],parametr[podkategoria],parametr[kategoria])</f>
        <v>dochody z pracy</v>
      </c>
      <c r="H518" t="str">
        <f>_xlfn.XLOOKUP(transakcje[[#This Row],[kategoria]],parametr[kategoria],parametr[typ])</f>
        <v>dochody</v>
      </c>
      <c r="I518" s="1">
        <f>ABS(transakcje[[#This Row],[kwota]])</f>
        <v>20.8</v>
      </c>
    </row>
    <row r="519" spans="1:9" x14ac:dyDescent="0.3">
      <c r="A519">
        <v>518</v>
      </c>
      <c r="B519">
        <v>2012</v>
      </c>
      <c r="C519">
        <v>3</v>
      </c>
      <c r="D519">
        <v>9</v>
      </c>
      <c r="E519" s="1">
        <v>-25.8</v>
      </c>
      <c r="F519" t="s">
        <v>26</v>
      </c>
      <c r="G519" t="str">
        <f>_xlfn.XLOOKUP(transakcje[[#This Row],[podkategoria]],parametr[podkategoria],parametr[kategoria])</f>
        <v>życie</v>
      </c>
      <c r="H519" t="str">
        <f>_xlfn.XLOOKUP(transakcje[[#This Row],[kategoria]],parametr[kategoria],parametr[typ])</f>
        <v>wydatki</v>
      </c>
      <c r="I519" s="1">
        <f>ABS(transakcje[[#This Row],[kwota]])</f>
        <v>25.8</v>
      </c>
    </row>
    <row r="520" spans="1:9" x14ac:dyDescent="0.3">
      <c r="A520">
        <v>519</v>
      </c>
      <c r="B520">
        <v>2012</v>
      </c>
      <c r="C520">
        <v>3</v>
      </c>
      <c r="D520">
        <v>10</v>
      </c>
      <c r="E520" s="1">
        <v>-77.786000000000001</v>
      </c>
      <c r="F520" t="s">
        <v>24</v>
      </c>
      <c r="G520" t="str">
        <f>_xlfn.XLOOKUP(transakcje[[#This Row],[podkategoria]],parametr[podkategoria],parametr[kategoria])</f>
        <v>trwałe</v>
      </c>
      <c r="H520" t="str">
        <f>_xlfn.XLOOKUP(transakcje[[#This Row],[kategoria]],parametr[kategoria],parametr[typ])</f>
        <v>wydatki</v>
      </c>
      <c r="I520" s="1">
        <f>ABS(transakcje[[#This Row],[kwota]])</f>
        <v>77.786000000000001</v>
      </c>
    </row>
    <row r="521" spans="1:9" x14ac:dyDescent="0.3">
      <c r="A521">
        <v>520</v>
      </c>
      <c r="B521">
        <v>2012</v>
      </c>
      <c r="C521">
        <v>3</v>
      </c>
      <c r="D521">
        <v>14</v>
      </c>
      <c r="E521" s="1">
        <v>-0.79600000000000004</v>
      </c>
      <c r="F521" t="s">
        <v>14</v>
      </c>
      <c r="G521" t="str">
        <f>_xlfn.XLOOKUP(transakcje[[#This Row],[podkategoria]],parametr[podkategoria],parametr[kategoria])</f>
        <v>opłaty stałe</v>
      </c>
      <c r="H521" t="str">
        <f>_xlfn.XLOOKUP(transakcje[[#This Row],[kategoria]],parametr[kategoria],parametr[typ])</f>
        <v>wydatki</v>
      </c>
      <c r="I521" s="1">
        <f>ABS(transakcje[[#This Row],[kwota]])</f>
        <v>0.79600000000000004</v>
      </c>
    </row>
    <row r="522" spans="1:9" x14ac:dyDescent="0.3">
      <c r="A522">
        <v>521</v>
      </c>
      <c r="B522">
        <v>2012</v>
      </c>
      <c r="C522">
        <v>3</v>
      </c>
      <c r="D522">
        <v>15</v>
      </c>
      <c r="E522" s="1">
        <v>-0.8</v>
      </c>
      <c r="F522" t="s">
        <v>14</v>
      </c>
      <c r="G522" t="str">
        <f>_xlfn.XLOOKUP(transakcje[[#This Row],[podkategoria]],parametr[podkategoria],parametr[kategoria])</f>
        <v>opłaty stałe</v>
      </c>
      <c r="H522" t="str">
        <f>_xlfn.XLOOKUP(transakcje[[#This Row],[kategoria]],parametr[kategoria],parametr[typ])</f>
        <v>wydatki</v>
      </c>
      <c r="I522" s="1">
        <f>ABS(transakcje[[#This Row],[kwota]])</f>
        <v>0.8</v>
      </c>
    </row>
    <row r="523" spans="1:9" x14ac:dyDescent="0.3">
      <c r="A523">
        <v>522</v>
      </c>
      <c r="B523">
        <v>2012</v>
      </c>
      <c r="C523">
        <v>3</v>
      </c>
      <c r="D523">
        <v>26</v>
      </c>
      <c r="E523" s="1">
        <v>417.81200000000001</v>
      </c>
      <c r="F523" t="s">
        <v>8</v>
      </c>
      <c r="G523" t="str">
        <f>_xlfn.XLOOKUP(transakcje[[#This Row],[podkategoria]],parametr[podkategoria],parametr[kategoria])</f>
        <v>dochody z pracy</v>
      </c>
      <c r="H523" t="str">
        <f>_xlfn.XLOOKUP(transakcje[[#This Row],[kategoria]],parametr[kategoria],parametr[typ])</f>
        <v>dochody</v>
      </c>
      <c r="I523" s="1">
        <f>ABS(transakcje[[#This Row],[kwota]])</f>
        <v>417.81200000000001</v>
      </c>
    </row>
    <row r="524" spans="1:9" x14ac:dyDescent="0.3">
      <c r="A524">
        <v>523</v>
      </c>
      <c r="B524">
        <v>2012</v>
      </c>
      <c r="C524">
        <v>3</v>
      </c>
      <c r="D524">
        <v>31</v>
      </c>
      <c r="E524" s="1">
        <v>2E-3</v>
      </c>
      <c r="F524" t="s">
        <v>17</v>
      </c>
      <c r="G524" t="str">
        <f>_xlfn.XLOOKUP(transakcje[[#This Row],[podkategoria]],parametr[podkategoria],parametr[kategoria])</f>
        <v>dochody pozostałe</v>
      </c>
      <c r="H524" t="str">
        <f>_xlfn.XLOOKUP(transakcje[[#This Row],[kategoria]],parametr[kategoria],parametr[typ])</f>
        <v>dochody</v>
      </c>
      <c r="I524" s="1">
        <f>ABS(transakcje[[#This Row],[kwota]])</f>
        <v>2E-3</v>
      </c>
    </row>
    <row r="525" spans="1:9" x14ac:dyDescent="0.3">
      <c r="A525">
        <v>524</v>
      </c>
      <c r="B525">
        <v>2012</v>
      </c>
      <c r="C525">
        <v>3</v>
      </c>
      <c r="D525">
        <v>31</v>
      </c>
      <c r="E525" s="1">
        <v>-2E-3</v>
      </c>
      <c r="F525" t="s">
        <v>14</v>
      </c>
      <c r="G525" t="str">
        <f>_xlfn.XLOOKUP(transakcje[[#This Row],[podkategoria]],parametr[podkategoria],parametr[kategoria])</f>
        <v>opłaty stałe</v>
      </c>
      <c r="H525" t="str">
        <f>_xlfn.XLOOKUP(transakcje[[#This Row],[kategoria]],parametr[kategoria],parametr[typ])</f>
        <v>wydatki</v>
      </c>
      <c r="I525" s="1">
        <f>ABS(transakcje[[#This Row],[kwota]])</f>
        <v>2E-3</v>
      </c>
    </row>
    <row r="526" spans="1:9" x14ac:dyDescent="0.3">
      <c r="A526">
        <v>525</v>
      </c>
      <c r="B526">
        <v>2012</v>
      </c>
      <c r="C526">
        <v>3</v>
      </c>
      <c r="D526">
        <v>31</v>
      </c>
      <c r="E526" s="1">
        <v>-1.198</v>
      </c>
      <c r="F526" t="s">
        <v>14</v>
      </c>
      <c r="G526" t="str">
        <f>_xlfn.XLOOKUP(transakcje[[#This Row],[podkategoria]],parametr[podkategoria],parametr[kategoria])</f>
        <v>opłaty stałe</v>
      </c>
      <c r="H526" t="str">
        <f>_xlfn.XLOOKUP(transakcje[[#This Row],[kategoria]],parametr[kategoria],parametr[typ])</f>
        <v>wydatki</v>
      </c>
      <c r="I526" s="1">
        <f>ABS(transakcje[[#This Row],[kwota]])</f>
        <v>1.198</v>
      </c>
    </row>
    <row r="527" spans="1:9" x14ac:dyDescent="0.3">
      <c r="A527">
        <v>526</v>
      </c>
      <c r="B527">
        <v>2012</v>
      </c>
      <c r="C527">
        <v>3</v>
      </c>
      <c r="D527">
        <v>31</v>
      </c>
      <c r="E527" s="1">
        <v>-0.9</v>
      </c>
      <c r="F527" t="s">
        <v>14</v>
      </c>
      <c r="G527" t="str">
        <f>_xlfn.XLOOKUP(transakcje[[#This Row],[podkategoria]],parametr[podkategoria],parametr[kategoria])</f>
        <v>opłaty stałe</v>
      </c>
      <c r="H527" t="str">
        <f>_xlfn.XLOOKUP(transakcje[[#This Row],[kategoria]],parametr[kategoria],parametr[typ])</f>
        <v>wydatki</v>
      </c>
      <c r="I527" s="1">
        <f>ABS(transakcje[[#This Row],[kwota]])</f>
        <v>0.9</v>
      </c>
    </row>
    <row r="528" spans="1:9" x14ac:dyDescent="0.3">
      <c r="A528">
        <v>527</v>
      </c>
      <c r="B528">
        <v>2012</v>
      </c>
      <c r="C528">
        <v>4</v>
      </c>
      <c r="D528">
        <v>1</v>
      </c>
      <c r="E528" s="1">
        <v>-33.128</v>
      </c>
      <c r="F528" t="s">
        <v>26</v>
      </c>
      <c r="G528" t="str">
        <f>_xlfn.XLOOKUP(transakcje[[#This Row],[podkategoria]],parametr[podkategoria],parametr[kategoria])</f>
        <v>życie</v>
      </c>
      <c r="H528" t="str">
        <f>_xlfn.XLOOKUP(transakcje[[#This Row],[kategoria]],parametr[kategoria],parametr[typ])</f>
        <v>wydatki</v>
      </c>
      <c r="I528" s="1">
        <f>ABS(transakcje[[#This Row],[kwota]])</f>
        <v>33.128</v>
      </c>
    </row>
    <row r="529" spans="1:9" x14ac:dyDescent="0.3">
      <c r="A529">
        <v>528</v>
      </c>
      <c r="B529">
        <v>2012</v>
      </c>
      <c r="C529">
        <v>4</v>
      </c>
      <c r="D529">
        <v>1</v>
      </c>
      <c r="E529" s="1">
        <v>-7.9799999999999995</v>
      </c>
      <c r="F529" t="s">
        <v>25</v>
      </c>
      <c r="G529" t="str">
        <f>_xlfn.XLOOKUP(transakcje[[#This Row],[podkategoria]],parametr[podkategoria],parametr[kategoria])</f>
        <v>opłaty stałe</v>
      </c>
      <c r="H529" t="str">
        <f>_xlfn.XLOOKUP(transakcje[[#This Row],[kategoria]],parametr[kategoria],parametr[typ])</f>
        <v>wydatki</v>
      </c>
      <c r="I529" s="1">
        <f>ABS(transakcje[[#This Row],[kwota]])</f>
        <v>7.9799999999999995</v>
      </c>
    </row>
    <row r="530" spans="1:9" x14ac:dyDescent="0.3">
      <c r="A530">
        <v>529</v>
      </c>
      <c r="B530">
        <v>2012</v>
      </c>
      <c r="C530">
        <v>4</v>
      </c>
      <c r="D530">
        <v>1</v>
      </c>
      <c r="E530" s="1">
        <v>-58.672000000000004</v>
      </c>
      <c r="F530" t="s">
        <v>31</v>
      </c>
      <c r="G530" t="str">
        <f>_xlfn.XLOOKUP(transakcje[[#This Row],[podkategoria]],parametr[podkategoria],parametr[kategoria])</f>
        <v>opłaty stałe</v>
      </c>
      <c r="H530" t="str">
        <f>_xlfn.XLOOKUP(transakcje[[#This Row],[kategoria]],parametr[kategoria],parametr[typ])</f>
        <v>wydatki</v>
      </c>
      <c r="I530" s="1">
        <f>ABS(transakcje[[#This Row],[kwota]])</f>
        <v>58.672000000000004</v>
      </c>
    </row>
    <row r="531" spans="1:9" x14ac:dyDescent="0.3">
      <c r="A531">
        <v>530</v>
      </c>
      <c r="B531">
        <v>2012</v>
      </c>
      <c r="C531">
        <v>4</v>
      </c>
      <c r="D531">
        <v>1</v>
      </c>
      <c r="E531" s="1">
        <v>-9.7200000000000006</v>
      </c>
      <c r="F531" t="s">
        <v>23</v>
      </c>
      <c r="G531" t="str">
        <f>_xlfn.XLOOKUP(transakcje[[#This Row],[podkategoria]],parametr[podkategoria],parametr[kategoria])</f>
        <v>opłaty stałe</v>
      </c>
      <c r="H531" t="str">
        <f>_xlfn.XLOOKUP(transakcje[[#This Row],[kategoria]],parametr[kategoria],parametr[typ])</f>
        <v>wydatki</v>
      </c>
      <c r="I531" s="1">
        <f>ABS(transakcje[[#This Row],[kwota]])</f>
        <v>9.7200000000000006</v>
      </c>
    </row>
    <row r="532" spans="1:9" x14ac:dyDescent="0.3">
      <c r="A532">
        <v>531</v>
      </c>
      <c r="B532">
        <v>2012</v>
      </c>
      <c r="C532">
        <v>4</v>
      </c>
      <c r="D532">
        <v>5</v>
      </c>
      <c r="E532" s="1">
        <v>-2.5920000000000001</v>
      </c>
      <c r="F532" t="s">
        <v>26</v>
      </c>
      <c r="G532" t="str">
        <f>_xlfn.XLOOKUP(transakcje[[#This Row],[podkategoria]],parametr[podkategoria],parametr[kategoria])</f>
        <v>życie</v>
      </c>
      <c r="H532" t="str">
        <f>_xlfn.XLOOKUP(transakcje[[#This Row],[kategoria]],parametr[kategoria],parametr[typ])</f>
        <v>wydatki</v>
      </c>
      <c r="I532" s="1">
        <f>ABS(transakcje[[#This Row],[kwota]])</f>
        <v>2.5920000000000001</v>
      </c>
    </row>
    <row r="533" spans="1:9" x14ac:dyDescent="0.3">
      <c r="A533">
        <v>532</v>
      </c>
      <c r="B533">
        <v>2012</v>
      </c>
      <c r="C533">
        <v>4</v>
      </c>
      <c r="D533">
        <v>15</v>
      </c>
      <c r="E533" s="1">
        <v>-0.8</v>
      </c>
      <c r="F533" t="s">
        <v>14</v>
      </c>
      <c r="G533" t="str">
        <f>_xlfn.XLOOKUP(transakcje[[#This Row],[podkategoria]],parametr[podkategoria],parametr[kategoria])</f>
        <v>opłaty stałe</v>
      </c>
      <c r="H533" t="str">
        <f>_xlfn.XLOOKUP(transakcje[[#This Row],[kategoria]],parametr[kategoria],parametr[typ])</f>
        <v>wydatki</v>
      </c>
      <c r="I533" s="1">
        <f>ABS(transakcje[[#This Row],[kwota]])</f>
        <v>0.8</v>
      </c>
    </row>
    <row r="534" spans="1:9" x14ac:dyDescent="0.3">
      <c r="A534">
        <v>533</v>
      </c>
      <c r="B534">
        <v>2012</v>
      </c>
      <c r="C534">
        <v>4</v>
      </c>
      <c r="D534">
        <v>17</v>
      </c>
      <c r="E534" s="1">
        <v>-0.79600000000000004</v>
      </c>
      <c r="F534" t="s">
        <v>14</v>
      </c>
      <c r="G534" t="str">
        <f>_xlfn.XLOOKUP(transakcje[[#This Row],[podkategoria]],parametr[podkategoria],parametr[kategoria])</f>
        <v>opłaty stałe</v>
      </c>
      <c r="H534" t="str">
        <f>_xlfn.XLOOKUP(transakcje[[#This Row],[kategoria]],parametr[kategoria],parametr[typ])</f>
        <v>wydatki</v>
      </c>
      <c r="I534" s="1">
        <f>ABS(transakcje[[#This Row],[kwota]])</f>
        <v>0.79600000000000004</v>
      </c>
    </row>
    <row r="535" spans="1:9" x14ac:dyDescent="0.3">
      <c r="A535">
        <v>534</v>
      </c>
      <c r="B535">
        <v>2012</v>
      </c>
      <c r="C535">
        <v>4</v>
      </c>
      <c r="D535">
        <v>21</v>
      </c>
      <c r="E535" s="1">
        <v>-29.798000000000002</v>
      </c>
      <c r="F535" t="s">
        <v>24</v>
      </c>
      <c r="G535" t="str">
        <f>_xlfn.XLOOKUP(transakcje[[#This Row],[podkategoria]],parametr[podkategoria],parametr[kategoria])</f>
        <v>trwałe</v>
      </c>
      <c r="H535" t="str">
        <f>_xlfn.XLOOKUP(transakcje[[#This Row],[kategoria]],parametr[kategoria],parametr[typ])</f>
        <v>wydatki</v>
      </c>
      <c r="I535" s="1">
        <f>ABS(transakcje[[#This Row],[kwota]])</f>
        <v>29.798000000000002</v>
      </c>
    </row>
    <row r="536" spans="1:9" x14ac:dyDescent="0.3">
      <c r="A536">
        <v>535</v>
      </c>
      <c r="B536">
        <v>2012</v>
      </c>
      <c r="C536">
        <v>4</v>
      </c>
      <c r="D536">
        <v>21</v>
      </c>
      <c r="E536" s="1">
        <v>-1</v>
      </c>
      <c r="F536" t="s">
        <v>26</v>
      </c>
      <c r="G536" t="str">
        <f>_xlfn.XLOOKUP(transakcje[[#This Row],[podkategoria]],parametr[podkategoria],parametr[kategoria])</f>
        <v>życie</v>
      </c>
      <c r="H536" t="str">
        <f>_xlfn.XLOOKUP(transakcje[[#This Row],[kategoria]],parametr[kategoria],parametr[typ])</f>
        <v>wydatki</v>
      </c>
      <c r="I536" s="1">
        <f>ABS(transakcje[[#This Row],[kwota]])</f>
        <v>1</v>
      </c>
    </row>
    <row r="537" spans="1:9" x14ac:dyDescent="0.3">
      <c r="A537">
        <v>536</v>
      </c>
      <c r="B537">
        <v>2012</v>
      </c>
      <c r="C537">
        <v>4</v>
      </c>
      <c r="D537">
        <v>26</v>
      </c>
      <c r="E537" s="1">
        <v>417.81200000000001</v>
      </c>
      <c r="F537" t="s">
        <v>8</v>
      </c>
      <c r="G537" t="str">
        <f>_xlfn.XLOOKUP(transakcje[[#This Row],[podkategoria]],parametr[podkategoria],parametr[kategoria])</f>
        <v>dochody z pracy</v>
      </c>
      <c r="H537" t="str">
        <f>_xlfn.XLOOKUP(transakcje[[#This Row],[kategoria]],parametr[kategoria],parametr[typ])</f>
        <v>dochody</v>
      </c>
      <c r="I537" s="1">
        <f>ABS(transakcje[[#This Row],[kwota]])</f>
        <v>417.81200000000001</v>
      </c>
    </row>
    <row r="538" spans="1:9" x14ac:dyDescent="0.3">
      <c r="A538">
        <v>537</v>
      </c>
      <c r="B538">
        <v>2012</v>
      </c>
      <c r="C538">
        <v>4</v>
      </c>
      <c r="D538">
        <v>26</v>
      </c>
      <c r="E538" s="1">
        <v>-8.3099999999999987</v>
      </c>
      <c r="F538" t="s">
        <v>26</v>
      </c>
      <c r="G538" t="str">
        <f>_xlfn.XLOOKUP(transakcje[[#This Row],[podkategoria]],parametr[podkategoria],parametr[kategoria])</f>
        <v>życie</v>
      </c>
      <c r="H538" t="str">
        <f>_xlfn.XLOOKUP(transakcje[[#This Row],[kategoria]],parametr[kategoria],parametr[typ])</f>
        <v>wydatki</v>
      </c>
      <c r="I538" s="1">
        <f>ABS(transakcje[[#This Row],[kwota]])</f>
        <v>8.3099999999999987</v>
      </c>
    </row>
    <row r="539" spans="1:9" x14ac:dyDescent="0.3">
      <c r="A539">
        <v>538</v>
      </c>
      <c r="B539">
        <v>2012</v>
      </c>
      <c r="C539">
        <v>4</v>
      </c>
      <c r="D539">
        <v>30</v>
      </c>
      <c r="E539" s="1">
        <v>2E-3</v>
      </c>
      <c r="F539" t="s">
        <v>17</v>
      </c>
      <c r="G539" t="str">
        <f>_xlfn.XLOOKUP(transakcje[[#This Row],[podkategoria]],parametr[podkategoria],parametr[kategoria])</f>
        <v>dochody pozostałe</v>
      </c>
      <c r="H539" t="str">
        <f>_xlfn.XLOOKUP(transakcje[[#This Row],[kategoria]],parametr[kategoria],parametr[typ])</f>
        <v>dochody</v>
      </c>
      <c r="I539" s="1">
        <f>ABS(transakcje[[#This Row],[kwota]])</f>
        <v>2E-3</v>
      </c>
    </row>
    <row r="540" spans="1:9" x14ac:dyDescent="0.3">
      <c r="A540">
        <v>539</v>
      </c>
      <c r="B540">
        <v>2012</v>
      </c>
      <c r="C540">
        <v>4</v>
      </c>
      <c r="D540">
        <v>30</v>
      </c>
      <c r="E540" s="1">
        <v>-1.198</v>
      </c>
      <c r="F540" t="s">
        <v>14</v>
      </c>
      <c r="G540" t="str">
        <f>_xlfn.XLOOKUP(transakcje[[#This Row],[podkategoria]],parametr[podkategoria],parametr[kategoria])</f>
        <v>opłaty stałe</v>
      </c>
      <c r="H540" t="str">
        <f>_xlfn.XLOOKUP(transakcje[[#This Row],[kategoria]],parametr[kategoria],parametr[typ])</f>
        <v>wydatki</v>
      </c>
      <c r="I540" s="1">
        <f>ABS(transakcje[[#This Row],[kwota]])</f>
        <v>1.198</v>
      </c>
    </row>
    <row r="541" spans="1:9" x14ac:dyDescent="0.3">
      <c r="A541">
        <v>540</v>
      </c>
      <c r="B541">
        <v>2012</v>
      </c>
      <c r="C541">
        <v>4</v>
      </c>
      <c r="D541">
        <v>30</v>
      </c>
      <c r="E541" s="1">
        <v>-2E-3</v>
      </c>
      <c r="F541" t="s">
        <v>14</v>
      </c>
      <c r="G541" t="str">
        <f>_xlfn.XLOOKUP(transakcje[[#This Row],[podkategoria]],parametr[podkategoria],parametr[kategoria])</f>
        <v>opłaty stałe</v>
      </c>
      <c r="H541" t="str">
        <f>_xlfn.XLOOKUP(transakcje[[#This Row],[kategoria]],parametr[kategoria],parametr[typ])</f>
        <v>wydatki</v>
      </c>
      <c r="I541" s="1">
        <f>ABS(transakcje[[#This Row],[kwota]])</f>
        <v>2E-3</v>
      </c>
    </row>
    <row r="542" spans="1:9" x14ac:dyDescent="0.3">
      <c r="A542">
        <v>541</v>
      </c>
      <c r="B542">
        <v>2012</v>
      </c>
      <c r="C542">
        <v>5</v>
      </c>
      <c r="D542">
        <v>1</v>
      </c>
      <c r="E542" s="1">
        <v>-6.1020000000000003</v>
      </c>
      <c r="F542" t="s">
        <v>35</v>
      </c>
      <c r="G542" t="str">
        <f>_xlfn.XLOOKUP(transakcje[[#This Row],[podkategoria]],parametr[podkategoria],parametr[kategoria])</f>
        <v>opłaty stałe</v>
      </c>
      <c r="H542" t="str">
        <f>_xlfn.XLOOKUP(transakcje[[#This Row],[kategoria]],parametr[kategoria],parametr[typ])</f>
        <v>wydatki</v>
      </c>
      <c r="I542" s="1">
        <f>ABS(transakcje[[#This Row],[kwota]])</f>
        <v>6.1020000000000003</v>
      </c>
    </row>
    <row r="543" spans="1:9" x14ac:dyDescent="0.3">
      <c r="A543">
        <v>542</v>
      </c>
      <c r="B543">
        <v>2012</v>
      </c>
      <c r="C543">
        <v>5</v>
      </c>
      <c r="D543">
        <v>1</v>
      </c>
      <c r="E543" s="1">
        <v>-58.672000000000004</v>
      </c>
      <c r="F543" t="s">
        <v>31</v>
      </c>
      <c r="G543" t="str">
        <f>_xlfn.XLOOKUP(transakcje[[#This Row],[podkategoria]],parametr[podkategoria],parametr[kategoria])</f>
        <v>opłaty stałe</v>
      </c>
      <c r="H543" t="str">
        <f>_xlfn.XLOOKUP(transakcje[[#This Row],[kategoria]],parametr[kategoria],parametr[typ])</f>
        <v>wydatki</v>
      </c>
      <c r="I543" s="1">
        <f>ABS(transakcje[[#This Row],[kwota]])</f>
        <v>58.672000000000004</v>
      </c>
    </row>
    <row r="544" spans="1:9" x14ac:dyDescent="0.3">
      <c r="A544">
        <v>543</v>
      </c>
      <c r="B544">
        <v>2012</v>
      </c>
      <c r="C544">
        <v>5</v>
      </c>
      <c r="D544">
        <v>1</v>
      </c>
      <c r="E544" s="1">
        <v>-9.7200000000000006</v>
      </c>
      <c r="F544" t="s">
        <v>23</v>
      </c>
      <c r="G544" t="str">
        <f>_xlfn.XLOOKUP(transakcje[[#This Row],[podkategoria]],parametr[podkategoria],parametr[kategoria])</f>
        <v>opłaty stałe</v>
      </c>
      <c r="H544" t="str">
        <f>_xlfn.XLOOKUP(transakcje[[#This Row],[kategoria]],parametr[kategoria],parametr[typ])</f>
        <v>wydatki</v>
      </c>
      <c r="I544" s="1">
        <f>ABS(transakcje[[#This Row],[kwota]])</f>
        <v>9.7200000000000006</v>
      </c>
    </row>
    <row r="545" spans="1:9" x14ac:dyDescent="0.3">
      <c r="A545">
        <v>544</v>
      </c>
      <c r="B545">
        <v>2012</v>
      </c>
      <c r="C545">
        <v>5</v>
      </c>
      <c r="D545">
        <v>1</v>
      </c>
      <c r="E545" s="1">
        <v>-17.826000000000001</v>
      </c>
      <c r="F545" t="s">
        <v>34</v>
      </c>
      <c r="G545" t="str">
        <f>_xlfn.XLOOKUP(transakcje[[#This Row],[podkategoria]],parametr[podkategoria],parametr[kategoria])</f>
        <v>opłaty stałe</v>
      </c>
      <c r="H545" t="str">
        <f>_xlfn.XLOOKUP(transakcje[[#This Row],[kategoria]],parametr[kategoria],parametr[typ])</f>
        <v>wydatki</v>
      </c>
      <c r="I545" s="1">
        <f>ABS(transakcje[[#This Row],[kwota]])</f>
        <v>17.826000000000001</v>
      </c>
    </row>
    <row r="546" spans="1:9" x14ac:dyDescent="0.3">
      <c r="A546">
        <v>545</v>
      </c>
      <c r="B546">
        <v>2012</v>
      </c>
      <c r="C546">
        <v>5</v>
      </c>
      <c r="D546">
        <v>1</v>
      </c>
      <c r="E546" s="1">
        <v>-8.4719999999999995</v>
      </c>
      <c r="F546" t="s">
        <v>25</v>
      </c>
      <c r="G546" t="str">
        <f>_xlfn.XLOOKUP(transakcje[[#This Row],[podkategoria]],parametr[podkategoria],parametr[kategoria])</f>
        <v>opłaty stałe</v>
      </c>
      <c r="H546" t="str">
        <f>_xlfn.XLOOKUP(transakcje[[#This Row],[kategoria]],parametr[kategoria],parametr[typ])</f>
        <v>wydatki</v>
      </c>
      <c r="I546" s="1">
        <f>ABS(transakcje[[#This Row],[kwota]])</f>
        <v>8.4719999999999995</v>
      </c>
    </row>
    <row r="547" spans="1:9" x14ac:dyDescent="0.3">
      <c r="A547">
        <v>546</v>
      </c>
      <c r="B547">
        <v>2012</v>
      </c>
      <c r="C547">
        <v>5</v>
      </c>
      <c r="D547">
        <v>1</v>
      </c>
      <c r="E547" s="1">
        <v>-46.4</v>
      </c>
      <c r="F547" t="s">
        <v>30</v>
      </c>
      <c r="G547" t="str">
        <f>_xlfn.XLOOKUP(transakcje[[#This Row],[podkategoria]],parametr[podkategoria],parametr[kategoria])</f>
        <v>opłaty stałe</v>
      </c>
      <c r="H547" t="str">
        <f>_xlfn.XLOOKUP(transakcje[[#This Row],[kategoria]],parametr[kategoria],parametr[typ])</f>
        <v>wydatki</v>
      </c>
      <c r="I547" s="1">
        <f>ABS(transakcje[[#This Row],[kwota]])</f>
        <v>46.4</v>
      </c>
    </row>
    <row r="548" spans="1:9" x14ac:dyDescent="0.3">
      <c r="A548">
        <v>547</v>
      </c>
      <c r="B548">
        <v>2012</v>
      </c>
      <c r="C548">
        <v>5</v>
      </c>
      <c r="D548">
        <v>1</v>
      </c>
      <c r="E548" s="1">
        <v>-4.37</v>
      </c>
      <c r="F548" t="s">
        <v>26</v>
      </c>
      <c r="G548" t="str">
        <f>_xlfn.XLOOKUP(transakcje[[#This Row],[podkategoria]],parametr[podkategoria],parametr[kategoria])</f>
        <v>życie</v>
      </c>
      <c r="H548" t="str">
        <f>_xlfn.XLOOKUP(transakcje[[#This Row],[kategoria]],parametr[kategoria],parametr[typ])</f>
        <v>wydatki</v>
      </c>
      <c r="I548" s="1">
        <f>ABS(transakcje[[#This Row],[kwota]])</f>
        <v>4.37</v>
      </c>
    </row>
    <row r="549" spans="1:9" x14ac:dyDescent="0.3">
      <c r="A549">
        <v>548</v>
      </c>
      <c r="B549">
        <v>2012</v>
      </c>
      <c r="C549">
        <v>5</v>
      </c>
      <c r="D549">
        <v>2</v>
      </c>
      <c r="E549" s="1">
        <v>-3.246</v>
      </c>
      <c r="F549" t="s">
        <v>26</v>
      </c>
      <c r="G549" t="str">
        <f>_xlfn.XLOOKUP(transakcje[[#This Row],[podkategoria]],parametr[podkategoria],parametr[kategoria])</f>
        <v>życie</v>
      </c>
      <c r="H549" t="str">
        <f>_xlfn.XLOOKUP(transakcje[[#This Row],[kategoria]],parametr[kategoria],parametr[typ])</f>
        <v>wydatki</v>
      </c>
      <c r="I549" s="1">
        <f>ABS(transakcje[[#This Row],[kwota]])</f>
        <v>3.246</v>
      </c>
    </row>
    <row r="550" spans="1:9" x14ac:dyDescent="0.3">
      <c r="A550">
        <v>549</v>
      </c>
      <c r="B550">
        <v>2012</v>
      </c>
      <c r="C550">
        <v>5</v>
      </c>
      <c r="D550">
        <v>4</v>
      </c>
      <c r="E550" s="1">
        <v>-33.700000000000003</v>
      </c>
      <c r="F550" t="s">
        <v>26</v>
      </c>
      <c r="G550" t="str">
        <f>_xlfn.XLOOKUP(transakcje[[#This Row],[podkategoria]],parametr[podkategoria],parametr[kategoria])</f>
        <v>życie</v>
      </c>
      <c r="H550" t="str">
        <f>_xlfn.XLOOKUP(transakcje[[#This Row],[kategoria]],parametr[kategoria],parametr[typ])</f>
        <v>wydatki</v>
      </c>
      <c r="I550" s="1">
        <f>ABS(transakcje[[#This Row],[kwota]])</f>
        <v>33.700000000000003</v>
      </c>
    </row>
    <row r="551" spans="1:9" x14ac:dyDescent="0.3">
      <c r="A551">
        <v>550</v>
      </c>
      <c r="B551">
        <v>2012</v>
      </c>
      <c r="C551">
        <v>5</v>
      </c>
      <c r="D551">
        <v>4</v>
      </c>
      <c r="E551" s="1">
        <v>-18</v>
      </c>
      <c r="F551" t="s">
        <v>26</v>
      </c>
      <c r="G551" t="str">
        <f>_xlfn.XLOOKUP(transakcje[[#This Row],[podkategoria]],parametr[podkategoria],parametr[kategoria])</f>
        <v>życie</v>
      </c>
      <c r="H551" t="str">
        <f>_xlfn.XLOOKUP(transakcje[[#This Row],[kategoria]],parametr[kategoria],parametr[typ])</f>
        <v>wydatki</v>
      </c>
      <c r="I551" s="1">
        <f>ABS(transakcje[[#This Row],[kwota]])</f>
        <v>18</v>
      </c>
    </row>
    <row r="552" spans="1:9" x14ac:dyDescent="0.3">
      <c r="A552">
        <v>551</v>
      </c>
      <c r="B552">
        <v>2012</v>
      </c>
      <c r="C552">
        <v>5</v>
      </c>
      <c r="D552">
        <v>4</v>
      </c>
      <c r="E552" s="1">
        <v>-3.492</v>
      </c>
      <c r="F552" t="s">
        <v>26</v>
      </c>
      <c r="G552" t="str">
        <f>_xlfn.XLOOKUP(transakcje[[#This Row],[podkategoria]],parametr[podkategoria],parametr[kategoria])</f>
        <v>życie</v>
      </c>
      <c r="H552" t="str">
        <f>_xlfn.XLOOKUP(transakcje[[#This Row],[kategoria]],parametr[kategoria],parametr[typ])</f>
        <v>wydatki</v>
      </c>
      <c r="I552" s="1">
        <f>ABS(transakcje[[#This Row],[kwota]])</f>
        <v>3.492</v>
      </c>
    </row>
    <row r="553" spans="1:9" x14ac:dyDescent="0.3">
      <c r="A553">
        <v>552</v>
      </c>
      <c r="B553">
        <v>2012</v>
      </c>
      <c r="C553">
        <v>5</v>
      </c>
      <c r="D553">
        <v>5</v>
      </c>
      <c r="E553" s="1">
        <v>-7.9799999999999995</v>
      </c>
      <c r="F553" t="s">
        <v>26</v>
      </c>
      <c r="G553" t="str">
        <f>_xlfn.XLOOKUP(transakcje[[#This Row],[podkategoria]],parametr[podkategoria],parametr[kategoria])</f>
        <v>życie</v>
      </c>
      <c r="H553" t="str">
        <f>_xlfn.XLOOKUP(transakcje[[#This Row],[kategoria]],parametr[kategoria],parametr[typ])</f>
        <v>wydatki</v>
      </c>
      <c r="I553" s="1">
        <f>ABS(transakcje[[#This Row],[kwota]])</f>
        <v>7.9799999999999995</v>
      </c>
    </row>
    <row r="554" spans="1:9" x14ac:dyDescent="0.3">
      <c r="A554">
        <v>553</v>
      </c>
      <c r="B554">
        <v>2012</v>
      </c>
      <c r="C554">
        <v>5</v>
      </c>
      <c r="D554">
        <v>11</v>
      </c>
      <c r="E554" s="1">
        <v>-13.98</v>
      </c>
      <c r="F554" t="s">
        <v>24</v>
      </c>
      <c r="G554" t="str">
        <f>_xlfn.XLOOKUP(transakcje[[#This Row],[podkategoria]],parametr[podkategoria],parametr[kategoria])</f>
        <v>trwałe</v>
      </c>
      <c r="H554" t="str">
        <f>_xlfn.XLOOKUP(transakcje[[#This Row],[kategoria]],parametr[kategoria],parametr[typ])</f>
        <v>wydatki</v>
      </c>
      <c r="I554" s="1">
        <f>ABS(transakcje[[#This Row],[kwota]])</f>
        <v>13.98</v>
      </c>
    </row>
    <row r="555" spans="1:9" x14ac:dyDescent="0.3">
      <c r="A555">
        <v>554</v>
      </c>
      <c r="B555">
        <v>2012</v>
      </c>
      <c r="C555">
        <v>5</v>
      </c>
      <c r="D555">
        <v>11</v>
      </c>
      <c r="E555" s="1">
        <v>111.43800000000002</v>
      </c>
      <c r="F555" t="s">
        <v>19</v>
      </c>
      <c r="G555" t="str">
        <f>_xlfn.XLOOKUP(transakcje[[#This Row],[podkategoria]],parametr[podkategoria],parametr[kategoria])</f>
        <v>dochody z pracy</v>
      </c>
      <c r="H555" t="str">
        <f>_xlfn.XLOOKUP(transakcje[[#This Row],[kategoria]],parametr[kategoria],parametr[typ])</f>
        <v>dochody</v>
      </c>
      <c r="I555" s="1">
        <f>ABS(transakcje[[#This Row],[kwota]])</f>
        <v>111.43800000000002</v>
      </c>
    </row>
    <row r="556" spans="1:9" x14ac:dyDescent="0.3">
      <c r="A556">
        <v>555</v>
      </c>
      <c r="B556">
        <v>2012</v>
      </c>
      <c r="C556">
        <v>5</v>
      </c>
      <c r="D556">
        <v>14</v>
      </c>
      <c r="E556" s="1">
        <v>-0.39800000000000002</v>
      </c>
      <c r="F556" t="s">
        <v>14</v>
      </c>
      <c r="G556" t="str">
        <f>_xlfn.XLOOKUP(transakcje[[#This Row],[podkategoria]],parametr[podkategoria],parametr[kategoria])</f>
        <v>opłaty stałe</v>
      </c>
      <c r="H556" t="str">
        <f>_xlfn.XLOOKUP(transakcje[[#This Row],[kategoria]],parametr[kategoria],parametr[typ])</f>
        <v>wydatki</v>
      </c>
      <c r="I556" s="1">
        <f>ABS(transakcje[[#This Row],[kwota]])</f>
        <v>0.39800000000000002</v>
      </c>
    </row>
    <row r="557" spans="1:9" x14ac:dyDescent="0.3">
      <c r="A557">
        <v>556</v>
      </c>
      <c r="B557">
        <v>2012</v>
      </c>
      <c r="C557">
        <v>5</v>
      </c>
      <c r="D557">
        <v>15</v>
      </c>
      <c r="E557" s="1">
        <v>-0.8</v>
      </c>
      <c r="F557" t="s">
        <v>14</v>
      </c>
      <c r="G557" t="str">
        <f>_xlfn.XLOOKUP(transakcje[[#This Row],[podkategoria]],parametr[podkategoria],parametr[kategoria])</f>
        <v>opłaty stałe</v>
      </c>
      <c r="H557" t="str">
        <f>_xlfn.XLOOKUP(transakcje[[#This Row],[kategoria]],parametr[kategoria],parametr[typ])</f>
        <v>wydatki</v>
      </c>
      <c r="I557" s="1">
        <f>ABS(transakcje[[#This Row],[kwota]])</f>
        <v>0.8</v>
      </c>
    </row>
    <row r="558" spans="1:9" x14ac:dyDescent="0.3">
      <c r="A558">
        <v>557</v>
      </c>
      <c r="B558">
        <v>2012</v>
      </c>
      <c r="C558">
        <v>5</v>
      </c>
      <c r="D558">
        <v>17</v>
      </c>
      <c r="E558" s="1">
        <v>-8.3140000000000001</v>
      </c>
      <c r="F558" t="s">
        <v>26</v>
      </c>
      <c r="G558" t="str">
        <f>_xlfn.XLOOKUP(transakcje[[#This Row],[podkategoria]],parametr[podkategoria],parametr[kategoria])</f>
        <v>życie</v>
      </c>
      <c r="H558" t="str">
        <f>_xlfn.XLOOKUP(transakcje[[#This Row],[kategoria]],parametr[kategoria],parametr[typ])</f>
        <v>wydatki</v>
      </c>
      <c r="I558" s="1">
        <f>ABS(transakcje[[#This Row],[kwota]])</f>
        <v>8.3140000000000001</v>
      </c>
    </row>
    <row r="559" spans="1:9" x14ac:dyDescent="0.3">
      <c r="A559">
        <v>558</v>
      </c>
      <c r="B559">
        <v>2012</v>
      </c>
      <c r="C559">
        <v>5</v>
      </c>
      <c r="D559">
        <v>18</v>
      </c>
      <c r="E559" s="1">
        <v>-64.8</v>
      </c>
      <c r="F559" t="s">
        <v>32</v>
      </c>
      <c r="G559" t="str">
        <f>_xlfn.XLOOKUP(transakcje[[#This Row],[podkategoria]],parametr[podkategoria],parametr[kategoria])</f>
        <v>opłaty stałe</v>
      </c>
      <c r="H559" t="str">
        <f>_xlfn.XLOOKUP(transakcje[[#This Row],[kategoria]],parametr[kategoria],parametr[typ])</f>
        <v>wydatki</v>
      </c>
      <c r="I559" s="1">
        <f>ABS(transakcje[[#This Row],[kwota]])</f>
        <v>64.8</v>
      </c>
    </row>
    <row r="560" spans="1:9" x14ac:dyDescent="0.3">
      <c r="A560">
        <v>559</v>
      </c>
      <c r="B560">
        <v>2012</v>
      </c>
      <c r="C560">
        <v>5</v>
      </c>
      <c r="D560">
        <v>19</v>
      </c>
      <c r="E560" s="1">
        <v>-399.8</v>
      </c>
      <c r="F560" t="s">
        <v>24</v>
      </c>
      <c r="G560" t="str">
        <f>_xlfn.XLOOKUP(transakcje[[#This Row],[podkategoria]],parametr[podkategoria],parametr[kategoria])</f>
        <v>trwałe</v>
      </c>
      <c r="H560" t="str">
        <f>_xlfn.XLOOKUP(transakcje[[#This Row],[kategoria]],parametr[kategoria],parametr[typ])</f>
        <v>wydatki</v>
      </c>
      <c r="I560" s="1">
        <f>ABS(transakcje[[#This Row],[kwota]])</f>
        <v>399.8</v>
      </c>
    </row>
    <row r="561" spans="1:9" x14ac:dyDescent="0.3">
      <c r="A561">
        <v>560</v>
      </c>
      <c r="B561">
        <v>2012</v>
      </c>
      <c r="C561">
        <v>5</v>
      </c>
      <c r="D561">
        <v>22</v>
      </c>
      <c r="E561" s="1">
        <v>-7.6579999999999995</v>
      </c>
      <c r="F561" t="s">
        <v>26</v>
      </c>
      <c r="G561" t="str">
        <f>_xlfn.XLOOKUP(transakcje[[#This Row],[podkategoria]],parametr[podkategoria],parametr[kategoria])</f>
        <v>życie</v>
      </c>
      <c r="H561" t="str">
        <f>_xlfn.XLOOKUP(transakcje[[#This Row],[kategoria]],parametr[kategoria],parametr[typ])</f>
        <v>wydatki</v>
      </c>
      <c r="I561" s="1">
        <f>ABS(transakcje[[#This Row],[kwota]])</f>
        <v>7.6579999999999995</v>
      </c>
    </row>
    <row r="562" spans="1:9" x14ac:dyDescent="0.3">
      <c r="A562">
        <v>561</v>
      </c>
      <c r="B562">
        <v>2012</v>
      </c>
      <c r="C562">
        <v>5</v>
      </c>
      <c r="D562">
        <v>23</v>
      </c>
      <c r="E562" s="1">
        <v>-11.528</v>
      </c>
      <c r="F562" t="s">
        <v>26</v>
      </c>
      <c r="G562" t="str">
        <f>_xlfn.XLOOKUP(transakcje[[#This Row],[podkategoria]],parametr[podkategoria],parametr[kategoria])</f>
        <v>życie</v>
      </c>
      <c r="H562" t="str">
        <f>_xlfn.XLOOKUP(transakcje[[#This Row],[kategoria]],parametr[kategoria],parametr[typ])</f>
        <v>wydatki</v>
      </c>
      <c r="I562" s="1">
        <f>ABS(transakcje[[#This Row],[kwota]])</f>
        <v>11.528</v>
      </c>
    </row>
    <row r="563" spans="1:9" x14ac:dyDescent="0.3">
      <c r="A563">
        <v>562</v>
      </c>
      <c r="B563">
        <v>2012</v>
      </c>
      <c r="C563">
        <v>5</v>
      </c>
      <c r="D563">
        <v>25</v>
      </c>
      <c r="E563" s="1">
        <v>417.81200000000001</v>
      </c>
      <c r="F563" t="s">
        <v>8</v>
      </c>
      <c r="G563" t="str">
        <f>_xlfn.XLOOKUP(transakcje[[#This Row],[podkategoria]],parametr[podkategoria],parametr[kategoria])</f>
        <v>dochody z pracy</v>
      </c>
      <c r="H563" t="str">
        <f>_xlfn.XLOOKUP(transakcje[[#This Row],[kategoria]],parametr[kategoria],parametr[typ])</f>
        <v>dochody</v>
      </c>
      <c r="I563" s="1">
        <f>ABS(transakcje[[#This Row],[kwota]])</f>
        <v>417.81200000000001</v>
      </c>
    </row>
    <row r="564" spans="1:9" x14ac:dyDescent="0.3">
      <c r="A564">
        <v>563</v>
      </c>
      <c r="B564">
        <v>2012</v>
      </c>
      <c r="C564">
        <v>5</v>
      </c>
      <c r="D564">
        <v>26</v>
      </c>
      <c r="E564" s="1">
        <v>-26.8</v>
      </c>
      <c r="F564" t="s">
        <v>29</v>
      </c>
      <c r="G564" t="str">
        <f>_xlfn.XLOOKUP(transakcje[[#This Row],[podkategoria]],parametr[podkategoria],parametr[kategoria])</f>
        <v>opłaty stałe</v>
      </c>
      <c r="H564" t="str">
        <f>_xlfn.XLOOKUP(transakcje[[#This Row],[kategoria]],parametr[kategoria],parametr[typ])</f>
        <v>wydatki</v>
      </c>
      <c r="I564" s="1">
        <f>ABS(transakcje[[#This Row],[kwota]])</f>
        <v>26.8</v>
      </c>
    </row>
    <row r="565" spans="1:9" x14ac:dyDescent="0.3">
      <c r="A565">
        <v>564</v>
      </c>
      <c r="B565">
        <v>2012</v>
      </c>
      <c r="C565">
        <v>5</v>
      </c>
      <c r="D565">
        <v>28</v>
      </c>
      <c r="E565" s="1">
        <v>-4.3420000000000005</v>
      </c>
      <c r="F565" t="s">
        <v>26</v>
      </c>
      <c r="G565" t="str">
        <f>_xlfn.XLOOKUP(transakcje[[#This Row],[podkategoria]],parametr[podkategoria],parametr[kategoria])</f>
        <v>życie</v>
      </c>
      <c r="H565" t="str">
        <f>_xlfn.XLOOKUP(transakcje[[#This Row],[kategoria]],parametr[kategoria],parametr[typ])</f>
        <v>wydatki</v>
      </c>
      <c r="I565" s="1">
        <f>ABS(transakcje[[#This Row],[kwota]])</f>
        <v>4.3420000000000005</v>
      </c>
    </row>
    <row r="566" spans="1:9" x14ac:dyDescent="0.3">
      <c r="A566">
        <v>565</v>
      </c>
      <c r="B566">
        <v>2012</v>
      </c>
      <c r="C566">
        <v>5</v>
      </c>
      <c r="D566">
        <v>31</v>
      </c>
      <c r="E566" s="1">
        <v>2E-3</v>
      </c>
      <c r="F566" t="s">
        <v>17</v>
      </c>
      <c r="G566" t="str">
        <f>_xlfn.XLOOKUP(transakcje[[#This Row],[podkategoria]],parametr[podkategoria],parametr[kategoria])</f>
        <v>dochody pozostałe</v>
      </c>
      <c r="H566" t="str">
        <f>_xlfn.XLOOKUP(transakcje[[#This Row],[kategoria]],parametr[kategoria],parametr[typ])</f>
        <v>dochody</v>
      </c>
      <c r="I566" s="1">
        <f>ABS(transakcje[[#This Row],[kwota]])</f>
        <v>2E-3</v>
      </c>
    </row>
    <row r="567" spans="1:9" x14ac:dyDescent="0.3">
      <c r="A567">
        <v>566</v>
      </c>
      <c r="B567">
        <v>2012</v>
      </c>
      <c r="C567">
        <v>5</v>
      </c>
      <c r="D567">
        <v>31</v>
      </c>
      <c r="E567" s="1">
        <v>-1.198</v>
      </c>
      <c r="F567" t="s">
        <v>14</v>
      </c>
      <c r="G567" t="str">
        <f>_xlfn.XLOOKUP(transakcje[[#This Row],[podkategoria]],parametr[podkategoria],parametr[kategoria])</f>
        <v>opłaty stałe</v>
      </c>
      <c r="H567" t="str">
        <f>_xlfn.XLOOKUP(transakcje[[#This Row],[kategoria]],parametr[kategoria],parametr[typ])</f>
        <v>wydatki</v>
      </c>
      <c r="I567" s="1">
        <f>ABS(transakcje[[#This Row],[kwota]])</f>
        <v>1.198</v>
      </c>
    </row>
    <row r="568" spans="1:9" x14ac:dyDescent="0.3">
      <c r="A568">
        <v>567</v>
      </c>
      <c r="B568">
        <v>2012</v>
      </c>
      <c r="C568">
        <v>5</v>
      </c>
      <c r="D568">
        <v>31</v>
      </c>
      <c r="E568" s="1">
        <v>-0.5</v>
      </c>
      <c r="F568" t="s">
        <v>14</v>
      </c>
      <c r="G568" t="str">
        <f>_xlfn.XLOOKUP(transakcje[[#This Row],[podkategoria]],parametr[podkategoria],parametr[kategoria])</f>
        <v>opłaty stałe</v>
      </c>
      <c r="H568" t="str">
        <f>_xlfn.XLOOKUP(transakcje[[#This Row],[kategoria]],parametr[kategoria],parametr[typ])</f>
        <v>wydatki</v>
      </c>
      <c r="I568" s="1">
        <f>ABS(transakcje[[#This Row],[kwota]])</f>
        <v>0.5</v>
      </c>
    </row>
    <row r="569" spans="1:9" x14ac:dyDescent="0.3">
      <c r="A569">
        <v>568</v>
      </c>
      <c r="B569">
        <v>2012</v>
      </c>
      <c r="C569">
        <v>5</v>
      </c>
      <c r="D569">
        <v>31</v>
      </c>
      <c r="E569" s="1">
        <v>-2E-3</v>
      </c>
      <c r="F569" t="s">
        <v>14</v>
      </c>
      <c r="G569" t="str">
        <f>_xlfn.XLOOKUP(transakcje[[#This Row],[podkategoria]],parametr[podkategoria],parametr[kategoria])</f>
        <v>opłaty stałe</v>
      </c>
      <c r="H569" t="str">
        <f>_xlfn.XLOOKUP(transakcje[[#This Row],[kategoria]],parametr[kategoria],parametr[typ])</f>
        <v>wydatki</v>
      </c>
      <c r="I569" s="1">
        <f>ABS(transakcje[[#This Row],[kwota]])</f>
        <v>2E-3</v>
      </c>
    </row>
    <row r="570" spans="1:9" x14ac:dyDescent="0.3">
      <c r="A570">
        <v>569</v>
      </c>
      <c r="B570">
        <v>2012</v>
      </c>
      <c r="C570">
        <v>5</v>
      </c>
      <c r="D570">
        <v>31</v>
      </c>
      <c r="E570" s="1">
        <v>-4.5920000000000005</v>
      </c>
      <c r="F570" t="s">
        <v>26</v>
      </c>
      <c r="G570" t="str">
        <f>_xlfn.XLOOKUP(transakcje[[#This Row],[podkategoria]],parametr[podkategoria],parametr[kategoria])</f>
        <v>życie</v>
      </c>
      <c r="H570" t="str">
        <f>_xlfn.XLOOKUP(transakcje[[#This Row],[kategoria]],parametr[kategoria],parametr[typ])</f>
        <v>wydatki</v>
      </c>
      <c r="I570" s="1">
        <f>ABS(transakcje[[#This Row],[kwota]])</f>
        <v>4.5920000000000005</v>
      </c>
    </row>
    <row r="571" spans="1:9" x14ac:dyDescent="0.3">
      <c r="A571">
        <v>570</v>
      </c>
      <c r="B571">
        <v>2012</v>
      </c>
      <c r="C571">
        <v>6</v>
      </c>
      <c r="D571">
        <v>1</v>
      </c>
      <c r="E571" s="1">
        <v>-3.7</v>
      </c>
      <c r="F571" t="s">
        <v>26</v>
      </c>
      <c r="G571" t="str">
        <f>_xlfn.XLOOKUP(transakcje[[#This Row],[podkategoria]],parametr[podkategoria],parametr[kategoria])</f>
        <v>życie</v>
      </c>
      <c r="H571" t="str">
        <f>_xlfn.XLOOKUP(transakcje[[#This Row],[kategoria]],parametr[kategoria],parametr[typ])</f>
        <v>wydatki</v>
      </c>
      <c r="I571" s="1">
        <f>ABS(transakcje[[#This Row],[kwota]])</f>
        <v>3.7</v>
      </c>
    </row>
    <row r="572" spans="1:9" x14ac:dyDescent="0.3">
      <c r="A572">
        <v>571</v>
      </c>
      <c r="B572">
        <v>2012</v>
      </c>
      <c r="C572">
        <v>6</v>
      </c>
      <c r="D572">
        <v>2</v>
      </c>
      <c r="E572" s="1">
        <v>-48.076000000000001</v>
      </c>
      <c r="F572" t="s">
        <v>31</v>
      </c>
      <c r="G572" t="str">
        <f>_xlfn.XLOOKUP(transakcje[[#This Row],[podkategoria]],parametr[podkategoria],parametr[kategoria])</f>
        <v>opłaty stałe</v>
      </c>
      <c r="H572" t="str">
        <f>_xlfn.XLOOKUP(transakcje[[#This Row],[kategoria]],parametr[kategoria],parametr[typ])</f>
        <v>wydatki</v>
      </c>
      <c r="I572" s="1">
        <f>ABS(transakcje[[#This Row],[kwota]])</f>
        <v>48.076000000000001</v>
      </c>
    </row>
    <row r="573" spans="1:9" x14ac:dyDescent="0.3">
      <c r="A573">
        <v>572</v>
      </c>
      <c r="B573">
        <v>2012</v>
      </c>
      <c r="C573">
        <v>6</v>
      </c>
      <c r="D573">
        <v>2</v>
      </c>
      <c r="E573" s="1">
        <v>-9.7200000000000006</v>
      </c>
      <c r="F573" t="s">
        <v>23</v>
      </c>
      <c r="G573" t="str">
        <f>_xlfn.XLOOKUP(transakcje[[#This Row],[podkategoria]],parametr[podkategoria],parametr[kategoria])</f>
        <v>opłaty stałe</v>
      </c>
      <c r="H573" t="str">
        <f>_xlfn.XLOOKUP(transakcje[[#This Row],[kategoria]],parametr[kategoria],parametr[typ])</f>
        <v>wydatki</v>
      </c>
      <c r="I573" s="1">
        <f>ABS(transakcje[[#This Row],[kwota]])</f>
        <v>9.7200000000000006</v>
      </c>
    </row>
    <row r="574" spans="1:9" x14ac:dyDescent="0.3">
      <c r="A574">
        <v>573</v>
      </c>
      <c r="B574">
        <v>2012</v>
      </c>
      <c r="C574">
        <v>6</v>
      </c>
      <c r="D574">
        <v>2</v>
      </c>
      <c r="E574" s="1">
        <v>-7.9799999999999995</v>
      </c>
      <c r="F574" t="s">
        <v>25</v>
      </c>
      <c r="G574" t="str">
        <f>_xlfn.XLOOKUP(transakcje[[#This Row],[podkategoria]],parametr[podkategoria],parametr[kategoria])</f>
        <v>opłaty stałe</v>
      </c>
      <c r="H574" t="str">
        <f>_xlfn.XLOOKUP(transakcje[[#This Row],[kategoria]],parametr[kategoria],parametr[typ])</f>
        <v>wydatki</v>
      </c>
      <c r="I574" s="1">
        <f>ABS(transakcje[[#This Row],[kwota]])</f>
        <v>7.9799999999999995</v>
      </c>
    </row>
    <row r="575" spans="1:9" x14ac:dyDescent="0.3">
      <c r="A575">
        <v>574</v>
      </c>
      <c r="B575">
        <v>2012</v>
      </c>
      <c r="C575">
        <v>6</v>
      </c>
      <c r="D575">
        <v>4</v>
      </c>
      <c r="E575" s="1">
        <v>-2.02</v>
      </c>
      <c r="F575" t="s">
        <v>26</v>
      </c>
      <c r="G575" t="str">
        <f>_xlfn.XLOOKUP(transakcje[[#This Row],[podkategoria]],parametr[podkategoria],parametr[kategoria])</f>
        <v>życie</v>
      </c>
      <c r="H575" t="str">
        <f>_xlfn.XLOOKUP(transakcje[[#This Row],[kategoria]],parametr[kategoria],parametr[typ])</f>
        <v>wydatki</v>
      </c>
      <c r="I575" s="1">
        <f>ABS(transakcje[[#This Row],[kwota]])</f>
        <v>2.02</v>
      </c>
    </row>
    <row r="576" spans="1:9" x14ac:dyDescent="0.3">
      <c r="A576">
        <v>575</v>
      </c>
      <c r="B576">
        <v>2012</v>
      </c>
      <c r="C576">
        <v>6</v>
      </c>
      <c r="D576">
        <v>6</v>
      </c>
      <c r="E576" s="1">
        <v>-4.7159999999999993</v>
      </c>
      <c r="F576" t="s">
        <v>26</v>
      </c>
      <c r="G576" t="str">
        <f>_xlfn.XLOOKUP(transakcje[[#This Row],[podkategoria]],parametr[podkategoria],parametr[kategoria])</f>
        <v>życie</v>
      </c>
      <c r="H576" t="str">
        <f>_xlfn.XLOOKUP(transakcje[[#This Row],[kategoria]],parametr[kategoria],parametr[typ])</f>
        <v>wydatki</v>
      </c>
      <c r="I576" s="1">
        <f>ABS(transakcje[[#This Row],[kwota]])</f>
        <v>4.7159999999999993</v>
      </c>
    </row>
    <row r="577" spans="1:9" x14ac:dyDescent="0.3">
      <c r="A577">
        <v>576</v>
      </c>
      <c r="B577">
        <v>2012</v>
      </c>
      <c r="C577">
        <v>6</v>
      </c>
      <c r="D577">
        <v>11</v>
      </c>
      <c r="E577" s="1">
        <v>-20</v>
      </c>
      <c r="F577" t="s">
        <v>26</v>
      </c>
      <c r="G577" t="str">
        <f>_xlfn.XLOOKUP(transakcje[[#This Row],[podkategoria]],parametr[podkategoria],parametr[kategoria])</f>
        <v>życie</v>
      </c>
      <c r="H577" t="str">
        <f>_xlfn.XLOOKUP(transakcje[[#This Row],[kategoria]],parametr[kategoria],parametr[typ])</f>
        <v>wydatki</v>
      </c>
      <c r="I577" s="1">
        <f>ABS(transakcje[[#This Row],[kwota]])</f>
        <v>20</v>
      </c>
    </row>
    <row r="578" spans="1:9" x14ac:dyDescent="0.3">
      <c r="A578">
        <v>577</v>
      </c>
      <c r="B578">
        <v>2012</v>
      </c>
      <c r="C578">
        <v>6</v>
      </c>
      <c r="D578">
        <v>11</v>
      </c>
      <c r="E578" s="1">
        <v>-7.1959999999999997</v>
      </c>
      <c r="F578" t="s">
        <v>26</v>
      </c>
      <c r="G578" t="str">
        <f>_xlfn.XLOOKUP(transakcje[[#This Row],[podkategoria]],parametr[podkategoria],parametr[kategoria])</f>
        <v>życie</v>
      </c>
      <c r="H578" t="str">
        <f>_xlfn.XLOOKUP(transakcje[[#This Row],[kategoria]],parametr[kategoria],parametr[typ])</f>
        <v>wydatki</v>
      </c>
      <c r="I578" s="1">
        <f>ABS(transakcje[[#This Row],[kwota]])</f>
        <v>7.1959999999999997</v>
      </c>
    </row>
    <row r="579" spans="1:9" x14ac:dyDescent="0.3">
      <c r="A579">
        <v>578</v>
      </c>
      <c r="B579">
        <v>2012</v>
      </c>
      <c r="C579">
        <v>6</v>
      </c>
      <c r="D579">
        <v>12</v>
      </c>
      <c r="E579" s="1">
        <v>-9.5560000000000009</v>
      </c>
      <c r="F579" t="s">
        <v>11</v>
      </c>
      <c r="G579" t="str">
        <f>_xlfn.XLOOKUP(transakcje[[#This Row],[podkategoria]],parametr[podkategoria],parametr[kategoria])</f>
        <v>wydatki inne</v>
      </c>
      <c r="H579" t="str">
        <f>_xlfn.XLOOKUP(transakcje[[#This Row],[kategoria]],parametr[kategoria],parametr[typ])</f>
        <v>wydatki</v>
      </c>
      <c r="I579" s="1">
        <f>ABS(transakcje[[#This Row],[kwota]])</f>
        <v>9.5560000000000009</v>
      </c>
    </row>
    <row r="580" spans="1:9" x14ac:dyDescent="0.3">
      <c r="A580">
        <v>579</v>
      </c>
      <c r="B580">
        <v>2012</v>
      </c>
      <c r="C580">
        <v>6</v>
      </c>
      <c r="D580">
        <v>15</v>
      </c>
      <c r="E580" s="1">
        <v>-0.8</v>
      </c>
      <c r="F580" t="s">
        <v>14</v>
      </c>
      <c r="G580" t="str">
        <f>_xlfn.XLOOKUP(transakcje[[#This Row],[podkategoria]],parametr[podkategoria],parametr[kategoria])</f>
        <v>opłaty stałe</v>
      </c>
      <c r="H580" t="str">
        <f>_xlfn.XLOOKUP(transakcje[[#This Row],[kategoria]],parametr[kategoria],parametr[typ])</f>
        <v>wydatki</v>
      </c>
      <c r="I580" s="1">
        <f>ABS(transakcje[[#This Row],[kwota]])</f>
        <v>0.8</v>
      </c>
    </row>
    <row r="581" spans="1:9" x14ac:dyDescent="0.3">
      <c r="A581">
        <v>580</v>
      </c>
      <c r="B581">
        <v>2012</v>
      </c>
      <c r="C581">
        <v>6</v>
      </c>
      <c r="D581">
        <v>20</v>
      </c>
      <c r="E581" s="1">
        <v>-0.39800000000000002</v>
      </c>
      <c r="F581" t="s">
        <v>14</v>
      </c>
      <c r="G581" t="str">
        <f>_xlfn.XLOOKUP(transakcje[[#This Row],[podkategoria]],parametr[podkategoria],parametr[kategoria])</f>
        <v>opłaty stałe</v>
      </c>
      <c r="H581" t="str">
        <f>_xlfn.XLOOKUP(transakcje[[#This Row],[kategoria]],parametr[kategoria],parametr[typ])</f>
        <v>wydatki</v>
      </c>
      <c r="I581" s="1">
        <f>ABS(transakcje[[#This Row],[kwota]])</f>
        <v>0.39800000000000002</v>
      </c>
    </row>
    <row r="582" spans="1:9" x14ac:dyDescent="0.3">
      <c r="A582">
        <v>581</v>
      </c>
      <c r="B582">
        <v>2012</v>
      </c>
      <c r="C582">
        <v>6</v>
      </c>
      <c r="D582">
        <v>21</v>
      </c>
      <c r="E582" s="1">
        <v>-2.3980000000000001</v>
      </c>
      <c r="F582" t="s">
        <v>26</v>
      </c>
      <c r="G582" t="str">
        <f>_xlfn.XLOOKUP(transakcje[[#This Row],[podkategoria]],parametr[podkategoria],parametr[kategoria])</f>
        <v>życie</v>
      </c>
      <c r="H582" t="str">
        <f>_xlfn.XLOOKUP(transakcje[[#This Row],[kategoria]],parametr[kategoria],parametr[typ])</f>
        <v>wydatki</v>
      </c>
      <c r="I582" s="1">
        <f>ABS(transakcje[[#This Row],[kwota]])</f>
        <v>2.3980000000000001</v>
      </c>
    </row>
    <row r="583" spans="1:9" x14ac:dyDescent="0.3">
      <c r="A583">
        <v>582</v>
      </c>
      <c r="B583">
        <v>2012</v>
      </c>
      <c r="C583">
        <v>6</v>
      </c>
      <c r="D583">
        <v>21</v>
      </c>
      <c r="E583" s="1">
        <v>-14.424000000000001</v>
      </c>
      <c r="F583" t="s">
        <v>26</v>
      </c>
      <c r="G583" t="str">
        <f>_xlfn.XLOOKUP(transakcje[[#This Row],[podkategoria]],parametr[podkategoria],parametr[kategoria])</f>
        <v>życie</v>
      </c>
      <c r="H583" t="str">
        <f>_xlfn.XLOOKUP(transakcje[[#This Row],[kategoria]],parametr[kategoria],parametr[typ])</f>
        <v>wydatki</v>
      </c>
      <c r="I583" s="1">
        <f>ABS(transakcje[[#This Row],[kwota]])</f>
        <v>14.424000000000001</v>
      </c>
    </row>
    <row r="584" spans="1:9" x14ac:dyDescent="0.3">
      <c r="A584">
        <v>583</v>
      </c>
      <c r="B584">
        <v>2012</v>
      </c>
      <c r="C584">
        <v>5</v>
      </c>
      <c r="D584">
        <v>25</v>
      </c>
      <c r="E584" s="1">
        <v>-6.5</v>
      </c>
      <c r="F584" t="s">
        <v>11</v>
      </c>
      <c r="G584" t="str">
        <f>_xlfn.XLOOKUP(transakcje[[#This Row],[podkategoria]],parametr[podkategoria],parametr[kategoria])</f>
        <v>wydatki inne</v>
      </c>
      <c r="H584" t="str">
        <f>_xlfn.XLOOKUP(transakcje[[#This Row],[kategoria]],parametr[kategoria],parametr[typ])</f>
        <v>wydatki</v>
      </c>
      <c r="I584" s="1">
        <f>ABS(transakcje[[#This Row],[kwota]])</f>
        <v>6.5</v>
      </c>
    </row>
    <row r="585" spans="1:9" x14ac:dyDescent="0.3">
      <c r="A585">
        <v>584</v>
      </c>
      <c r="B585">
        <v>2012</v>
      </c>
      <c r="C585">
        <v>6</v>
      </c>
      <c r="D585">
        <v>25</v>
      </c>
      <c r="E585" s="1">
        <v>417.81200000000001</v>
      </c>
      <c r="F585" t="s">
        <v>8</v>
      </c>
      <c r="G585" t="str">
        <f>_xlfn.XLOOKUP(transakcje[[#This Row],[podkategoria]],parametr[podkategoria],parametr[kategoria])</f>
        <v>dochody z pracy</v>
      </c>
      <c r="H585" t="str">
        <f>_xlfn.XLOOKUP(transakcje[[#This Row],[kategoria]],parametr[kategoria],parametr[typ])</f>
        <v>dochody</v>
      </c>
      <c r="I585" s="1">
        <f>ABS(transakcje[[#This Row],[kwota]])</f>
        <v>417.81200000000001</v>
      </c>
    </row>
    <row r="586" spans="1:9" x14ac:dyDescent="0.3">
      <c r="A586">
        <v>585</v>
      </c>
      <c r="B586">
        <v>2012</v>
      </c>
      <c r="C586">
        <v>6</v>
      </c>
      <c r="D586">
        <v>27</v>
      </c>
      <c r="E586" s="1">
        <v>-2.12</v>
      </c>
      <c r="F586" t="s">
        <v>26</v>
      </c>
      <c r="G586" t="str">
        <f>_xlfn.XLOOKUP(transakcje[[#This Row],[podkategoria]],parametr[podkategoria],parametr[kategoria])</f>
        <v>życie</v>
      </c>
      <c r="H586" t="str">
        <f>_xlfn.XLOOKUP(transakcje[[#This Row],[kategoria]],parametr[kategoria],parametr[typ])</f>
        <v>wydatki</v>
      </c>
      <c r="I586" s="1">
        <f>ABS(transakcje[[#This Row],[kwota]])</f>
        <v>2.12</v>
      </c>
    </row>
    <row r="587" spans="1:9" x14ac:dyDescent="0.3">
      <c r="A587">
        <v>586</v>
      </c>
      <c r="B587">
        <v>2012</v>
      </c>
      <c r="C587">
        <v>6</v>
      </c>
      <c r="D587">
        <v>27</v>
      </c>
      <c r="E587" s="1">
        <v>-3.2979999999999996</v>
      </c>
      <c r="F587" t="s">
        <v>26</v>
      </c>
      <c r="G587" t="str">
        <f>_xlfn.XLOOKUP(transakcje[[#This Row],[podkategoria]],parametr[podkategoria],parametr[kategoria])</f>
        <v>życie</v>
      </c>
      <c r="H587" t="str">
        <f>_xlfn.XLOOKUP(transakcje[[#This Row],[kategoria]],parametr[kategoria],parametr[typ])</f>
        <v>wydatki</v>
      </c>
      <c r="I587" s="1">
        <f>ABS(transakcje[[#This Row],[kwota]])</f>
        <v>3.2979999999999996</v>
      </c>
    </row>
    <row r="588" spans="1:9" x14ac:dyDescent="0.3">
      <c r="A588">
        <v>587</v>
      </c>
      <c r="B588">
        <v>2012</v>
      </c>
      <c r="C588">
        <v>6</v>
      </c>
      <c r="D588">
        <v>29</v>
      </c>
      <c r="E588" s="1">
        <v>-9.0079999999999991</v>
      </c>
      <c r="F588" t="s">
        <v>26</v>
      </c>
      <c r="G588" t="str">
        <f>_xlfn.XLOOKUP(transakcje[[#This Row],[podkategoria]],parametr[podkategoria],parametr[kategoria])</f>
        <v>życie</v>
      </c>
      <c r="H588" t="str">
        <f>_xlfn.XLOOKUP(transakcje[[#This Row],[kategoria]],parametr[kategoria],parametr[typ])</f>
        <v>wydatki</v>
      </c>
      <c r="I588" s="1">
        <f>ABS(transakcje[[#This Row],[kwota]])</f>
        <v>9.0079999999999991</v>
      </c>
    </row>
    <row r="589" spans="1:9" x14ac:dyDescent="0.3">
      <c r="A589">
        <v>588</v>
      </c>
      <c r="B589">
        <v>2012</v>
      </c>
      <c r="C589">
        <v>6</v>
      </c>
      <c r="D589">
        <v>30</v>
      </c>
      <c r="E589" s="1">
        <v>2E-3</v>
      </c>
      <c r="F589" t="s">
        <v>17</v>
      </c>
      <c r="G589" t="str">
        <f>_xlfn.XLOOKUP(transakcje[[#This Row],[podkategoria]],parametr[podkategoria],parametr[kategoria])</f>
        <v>dochody pozostałe</v>
      </c>
      <c r="H589" t="str">
        <f>_xlfn.XLOOKUP(transakcje[[#This Row],[kategoria]],parametr[kategoria],parametr[typ])</f>
        <v>dochody</v>
      </c>
      <c r="I589" s="1">
        <f>ABS(transakcje[[#This Row],[kwota]])</f>
        <v>2E-3</v>
      </c>
    </row>
    <row r="590" spans="1:9" x14ac:dyDescent="0.3">
      <c r="A590">
        <v>589</v>
      </c>
      <c r="B590">
        <v>2012</v>
      </c>
      <c r="C590">
        <v>6</v>
      </c>
      <c r="D590">
        <v>30</v>
      </c>
      <c r="E590" s="1">
        <v>-1.198</v>
      </c>
      <c r="F590" t="s">
        <v>14</v>
      </c>
      <c r="G590" t="str">
        <f>_xlfn.XLOOKUP(transakcje[[#This Row],[podkategoria]],parametr[podkategoria],parametr[kategoria])</f>
        <v>opłaty stałe</v>
      </c>
      <c r="H590" t="str">
        <f>_xlfn.XLOOKUP(transakcje[[#This Row],[kategoria]],parametr[kategoria],parametr[typ])</f>
        <v>wydatki</v>
      </c>
      <c r="I590" s="1">
        <f>ABS(transakcje[[#This Row],[kwota]])</f>
        <v>1.198</v>
      </c>
    </row>
    <row r="591" spans="1:9" x14ac:dyDescent="0.3">
      <c r="A591">
        <v>590</v>
      </c>
      <c r="B591">
        <v>2012</v>
      </c>
      <c r="C591">
        <v>6</v>
      </c>
      <c r="D591">
        <v>30</v>
      </c>
      <c r="E591" s="1">
        <v>-0.9</v>
      </c>
      <c r="F591" t="s">
        <v>14</v>
      </c>
      <c r="G591" t="str">
        <f>_xlfn.XLOOKUP(transakcje[[#This Row],[podkategoria]],parametr[podkategoria],parametr[kategoria])</f>
        <v>opłaty stałe</v>
      </c>
      <c r="H591" t="str">
        <f>_xlfn.XLOOKUP(transakcje[[#This Row],[kategoria]],parametr[kategoria],parametr[typ])</f>
        <v>wydatki</v>
      </c>
      <c r="I591" s="1">
        <f>ABS(transakcje[[#This Row],[kwota]])</f>
        <v>0.9</v>
      </c>
    </row>
    <row r="592" spans="1:9" x14ac:dyDescent="0.3">
      <c r="A592">
        <v>591</v>
      </c>
      <c r="B592">
        <v>2012</v>
      </c>
      <c r="C592">
        <v>6</v>
      </c>
      <c r="D592">
        <v>30</v>
      </c>
      <c r="E592" s="1">
        <v>-2E-3</v>
      </c>
      <c r="F592" t="s">
        <v>14</v>
      </c>
      <c r="G592" t="str">
        <f>_xlfn.XLOOKUP(transakcje[[#This Row],[podkategoria]],parametr[podkategoria],parametr[kategoria])</f>
        <v>opłaty stałe</v>
      </c>
      <c r="H592" t="str">
        <f>_xlfn.XLOOKUP(transakcje[[#This Row],[kategoria]],parametr[kategoria],parametr[typ])</f>
        <v>wydatki</v>
      </c>
      <c r="I592" s="1">
        <f>ABS(transakcje[[#This Row],[kwota]])</f>
        <v>2E-3</v>
      </c>
    </row>
    <row r="593" spans="1:9" x14ac:dyDescent="0.3">
      <c r="A593">
        <v>592</v>
      </c>
      <c r="B593">
        <v>2012</v>
      </c>
      <c r="C593">
        <v>7</v>
      </c>
      <c r="D593">
        <v>1</v>
      </c>
      <c r="E593" s="1">
        <v>-8.4719999999999995</v>
      </c>
      <c r="F593" t="s">
        <v>25</v>
      </c>
      <c r="G593" t="str">
        <f>_xlfn.XLOOKUP(transakcje[[#This Row],[podkategoria]],parametr[podkategoria],parametr[kategoria])</f>
        <v>opłaty stałe</v>
      </c>
      <c r="H593" t="str">
        <f>_xlfn.XLOOKUP(transakcje[[#This Row],[kategoria]],parametr[kategoria],parametr[typ])</f>
        <v>wydatki</v>
      </c>
      <c r="I593" s="1">
        <f>ABS(transakcje[[#This Row],[kwota]])</f>
        <v>8.4719999999999995</v>
      </c>
    </row>
    <row r="594" spans="1:9" x14ac:dyDescent="0.3">
      <c r="A594">
        <v>593</v>
      </c>
      <c r="B594">
        <v>2012</v>
      </c>
      <c r="C594">
        <v>7</v>
      </c>
      <c r="D594">
        <v>1</v>
      </c>
      <c r="E594" s="1">
        <v>-48.076000000000001</v>
      </c>
      <c r="F594" t="s">
        <v>31</v>
      </c>
      <c r="G594" t="str">
        <f>_xlfn.XLOOKUP(transakcje[[#This Row],[podkategoria]],parametr[podkategoria],parametr[kategoria])</f>
        <v>opłaty stałe</v>
      </c>
      <c r="H594" t="str">
        <f>_xlfn.XLOOKUP(transakcje[[#This Row],[kategoria]],parametr[kategoria],parametr[typ])</f>
        <v>wydatki</v>
      </c>
      <c r="I594" s="1">
        <f>ABS(transakcje[[#This Row],[kwota]])</f>
        <v>48.076000000000001</v>
      </c>
    </row>
    <row r="595" spans="1:9" x14ac:dyDescent="0.3">
      <c r="A595">
        <v>594</v>
      </c>
      <c r="B595">
        <v>2012</v>
      </c>
      <c r="C595">
        <v>7</v>
      </c>
      <c r="D595">
        <v>1</v>
      </c>
      <c r="E595" s="1">
        <v>-6.5680000000000005</v>
      </c>
      <c r="F595" t="s">
        <v>35</v>
      </c>
      <c r="G595" t="str">
        <f>_xlfn.XLOOKUP(transakcje[[#This Row],[podkategoria]],parametr[podkategoria],parametr[kategoria])</f>
        <v>opłaty stałe</v>
      </c>
      <c r="H595" t="str">
        <f>_xlfn.XLOOKUP(transakcje[[#This Row],[kategoria]],parametr[kategoria],parametr[typ])</f>
        <v>wydatki</v>
      </c>
      <c r="I595" s="1">
        <f>ABS(transakcje[[#This Row],[kwota]])</f>
        <v>6.5680000000000005</v>
      </c>
    </row>
    <row r="596" spans="1:9" x14ac:dyDescent="0.3">
      <c r="A596">
        <v>595</v>
      </c>
      <c r="B596">
        <v>2012</v>
      </c>
      <c r="C596">
        <v>7</v>
      </c>
      <c r="D596">
        <v>1</v>
      </c>
      <c r="E596" s="1">
        <v>-9.7200000000000006</v>
      </c>
      <c r="F596" t="s">
        <v>23</v>
      </c>
      <c r="G596" t="str">
        <f>_xlfn.XLOOKUP(transakcje[[#This Row],[podkategoria]],parametr[podkategoria],parametr[kategoria])</f>
        <v>opłaty stałe</v>
      </c>
      <c r="H596" t="str">
        <f>_xlfn.XLOOKUP(transakcje[[#This Row],[kategoria]],parametr[kategoria],parametr[typ])</f>
        <v>wydatki</v>
      </c>
      <c r="I596" s="1">
        <f>ABS(transakcje[[#This Row],[kwota]])</f>
        <v>9.7200000000000006</v>
      </c>
    </row>
    <row r="597" spans="1:9" x14ac:dyDescent="0.3">
      <c r="A597">
        <v>596</v>
      </c>
      <c r="B597">
        <v>2012</v>
      </c>
      <c r="C597">
        <v>7</v>
      </c>
      <c r="D597">
        <v>1</v>
      </c>
      <c r="E597" s="1">
        <v>-15.475999999999999</v>
      </c>
      <c r="F597" t="s">
        <v>34</v>
      </c>
      <c r="G597" t="str">
        <f>_xlfn.XLOOKUP(transakcje[[#This Row],[podkategoria]],parametr[podkategoria],parametr[kategoria])</f>
        <v>opłaty stałe</v>
      </c>
      <c r="H597" t="str">
        <f>_xlfn.XLOOKUP(transakcje[[#This Row],[kategoria]],parametr[kategoria],parametr[typ])</f>
        <v>wydatki</v>
      </c>
      <c r="I597" s="1">
        <f>ABS(transakcje[[#This Row],[kwota]])</f>
        <v>15.475999999999999</v>
      </c>
    </row>
    <row r="598" spans="1:9" x14ac:dyDescent="0.3">
      <c r="A598">
        <v>597</v>
      </c>
      <c r="B598">
        <v>2012</v>
      </c>
      <c r="C598">
        <v>7</v>
      </c>
      <c r="D598">
        <v>3</v>
      </c>
      <c r="E598" s="1">
        <v>-9.1999999999999993</v>
      </c>
      <c r="F598" t="s">
        <v>26</v>
      </c>
      <c r="G598" t="str">
        <f>_xlfn.XLOOKUP(transakcje[[#This Row],[podkategoria]],parametr[podkategoria],parametr[kategoria])</f>
        <v>życie</v>
      </c>
      <c r="H598" t="str">
        <f>_xlfn.XLOOKUP(transakcje[[#This Row],[kategoria]],parametr[kategoria],parametr[typ])</f>
        <v>wydatki</v>
      </c>
      <c r="I598" s="1">
        <f>ABS(transakcje[[#This Row],[kwota]])</f>
        <v>9.1999999999999993</v>
      </c>
    </row>
    <row r="599" spans="1:9" x14ac:dyDescent="0.3">
      <c r="A599">
        <v>598</v>
      </c>
      <c r="B599">
        <v>2012</v>
      </c>
      <c r="C599">
        <v>7</v>
      </c>
      <c r="D599">
        <v>4</v>
      </c>
      <c r="E599" s="1">
        <v>-34</v>
      </c>
      <c r="F599" t="s">
        <v>26</v>
      </c>
      <c r="G599" t="str">
        <f>_xlfn.XLOOKUP(transakcje[[#This Row],[podkategoria]],parametr[podkategoria],parametr[kategoria])</f>
        <v>życie</v>
      </c>
      <c r="H599" t="str">
        <f>_xlfn.XLOOKUP(transakcje[[#This Row],[kategoria]],parametr[kategoria],parametr[typ])</f>
        <v>wydatki</v>
      </c>
      <c r="I599" s="1">
        <f>ABS(transakcje[[#This Row],[kwota]])</f>
        <v>34</v>
      </c>
    </row>
    <row r="600" spans="1:9" x14ac:dyDescent="0.3">
      <c r="A600">
        <v>599</v>
      </c>
      <c r="B600">
        <v>2012</v>
      </c>
      <c r="C600">
        <v>7</v>
      </c>
      <c r="D600">
        <v>4</v>
      </c>
      <c r="E600" s="1">
        <v>-5.71</v>
      </c>
      <c r="F600" t="s">
        <v>26</v>
      </c>
      <c r="G600" t="str">
        <f>_xlfn.XLOOKUP(transakcje[[#This Row],[podkategoria]],parametr[podkategoria],parametr[kategoria])</f>
        <v>życie</v>
      </c>
      <c r="H600" t="str">
        <f>_xlfn.XLOOKUP(transakcje[[#This Row],[kategoria]],parametr[kategoria],parametr[typ])</f>
        <v>wydatki</v>
      </c>
      <c r="I600" s="1">
        <f>ABS(transakcje[[#This Row],[kwota]])</f>
        <v>5.71</v>
      </c>
    </row>
    <row r="601" spans="1:9" x14ac:dyDescent="0.3">
      <c r="A601">
        <v>600</v>
      </c>
      <c r="B601">
        <v>2012</v>
      </c>
      <c r="C601">
        <v>7</v>
      </c>
      <c r="D601">
        <v>15</v>
      </c>
      <c r="E601" s="1">
        <v>-0.8</v>
      </c>
      <c r="F601" t="s">
        <v>14</v>
      </c>
      <c r="G601" t="str">
        <f>_xlfn.XLOOKUP(transakcje[[#This Row],[podkategoria]],parametr[podkategoria],parametr[kategoria])</f>
        <v>opłaty stałe</v>
      </c>
      <c r="H601" t="str">
        <f>_xlfn.XLOOKUP(transakcje[[#This Row],[kategoria]],parametr[kategoria],parametr[typ])</f>
        <v>wydatki</v>
      </c>
      <c r="I601" s="1">
        <f>ABS(transakcje[[#This Row],[kwota]])</f>
        <v>0.8</v>
      </c>
    </row>
    <row r="602" spans="1:9" x14ac:dyDescent="0.3">
      <c r="A602">
        <v>601</v>
      </c>
      <c r="B602">
        <v>2012</v>
      </c>
      <c r="C602">
        <v>7</v>
      </c>
      <c r="D602">
        <v>17</v>
      </c>
      <c r="E602" s="1">
        <v>-1</v>
      </c>
      <c r="F602" t="s">
        <v>11</v>
      </c>
      <c r="G602" t="str">
        <f>_xlfn.XLOOKUP(transakcje[[#This Row],[podkategoria]],parametr[podkategoria],parametr[kategoria])</f>
        <v>wydatki inne</v>
      </c>
      <c r="H602" t="str">
        <f>_xlfn.XLOOKUP(transakcje[[#This Row],[kategoria]],parametr[kategoria],parametr[typ])</f>
        <v>wydatki</v>
      </c>
      <c r="I602" s="1">
        <f>ABS(transakcje[[#This Row],[kwota]])</f>
        <v>1</v>
      </c>
    </row>
    <row r="603" spans="1:9" x14ac:dyDescent="0.3">
      <c r="A603">
        <v>602</v>
      </c>
      <c r="B603">
        <v>2012</v>
      </c>
      <c r="C603">
        <v>7</v>
      </c>
      <c r="D603">
        <v>17</v>
      </c>
      <c r="E603" s="1">
        <v>-2</v>
      </c>
      <c r="F603" t="s">
        <v>11</v>
      </c>
      <c r="G603" t="str">
        <f>_xlfn.XLOOKUP(transakcje[[#This Row],[podkategoria]],parametr[podkategoria],parametr[kategoria])</f>
        <v>wydatki inne</v>
      </c>
      <c r="H603" t="str">
        <f>_xlfn.XLOOKUP(transakcje[[#This Row],[kategoria]],parametr[kategoria],parametr[typ])</f>
        <v>wydatki</v>
      </c>
      <c r="I603" s="1">
        <f>ABS(transakcje[[#This Row],[kwota]])</f>
        <v>2</v>
      </c>
    </row>
    <row r="604" spans="1:9" x14ac:dyDescent="0.3">
      <c r="A604">
        <v>603</v>
      </c>
      <c r="B604">
        <v>2012</v>
      </c>
      <c r="C604">
        <v>7</v>
      </c>
      <c r="D604">
        <v>17</v>
      </c>
      <c r="E604" s="1">
        <v>-0.39800000000000002</v>
      </c>
      <c r="F604" t="s">
        <v>14</v>
      </c>
      <c r="G604" t="str">
        <f>_xlfn.XLOOKUP(transakcje[[#This Row],[podkategoria]],parametr[podkategoria],parametr[kategoria])</f>
        <v>opłaty stałe</v>
      </c>
      <c r="H604" t="str">
        <f>_xlfn.XLOOKUP(transakcje[[#This Row],[kategoria]],parametr[kategoria],parametr[typ])</f>
        <v>wydatki</v>
      </c>
      <c r="I604" s="1">
        <f>ABS(transakcje[[#This Row],[kwota]])</f>
        <v>0.39800000000000002</v>
      </c>
    </row>
    <row r="605" spans="1:9" x14ac:dyDescent="0.3">
      <c r="A605">
        <v>604</v>
      </c>
      <c r="B605">
        <v>2012</v>
      </c>
      <c r="C605">
        <v>7</v>
      </c>
      <c r="D605">
        <v>19</v>
      </c>
      <c r="E605" s="1">
        <v>-18.844000000000001</v>
      </c>
      <c r="F605" t="s">
        <v>26</v>
      </c>
      <c r="G605" t="str">
        <f>_xlfn.XLOOKUP(transakcje[[#This Row],[podkategoria]],parametr[podkategoria],parametr[kategoria])</f>
        <v>życie</v>
      </c>
      <c r="H605" t="str">
        <f>_xlfn.XLOOKUP(transakcje[[#This Row],[kategoria]],parametr[kategoria],parametr[typ])</f>
        <v>wydatki</v>
      </c>
      <c r="I605" s="1">
        <f>ABS(transakcje[[#This Row],[kwota]])</f>
        <v>18.844000000000001</v>
      </c>
    </row>
    <row r="606" spans="1:9" x14ac:dyDescent="0.3">
      <c r="A606">
        <v>605</v>
      </c>
      <c r="B606">
        <v>2012</v>
      </c>
      <c r="C606">
        <v>7</v>
      </c>
      <c r="D606">
        <v>20</v>
      </c>
      <c r="E606" s="1">
        <v>-3.3540000000000001</v>
      </c>
      <c r="F606" t="s">
        <v>26</v>
      </c>
      <c r="G606" t="str">
        <f>_xlfn.XLOOKUP(transakcje[[#This Row],[podkategoria]],parametr[podkategoria],parametr[kategoria])</f>
        <v>życie</v>
      </c>
      <c r="H606" t="str">
        <f>_xlfn.XLOOKUP(transakcje[[#This Row],[kategoria]],parametr[kategoria],parametr[typ])</f>
        <v>wydatki</v>
      </c>
      <c r="I606" s="1">
        <f>ABS(transakcje[[#This Row],[kwota]])</f>
        <v>3.3540000000000001</v>
      </c>
    </row>
    <row r="607" spans="1:9" x14ac:dyDescent="0.3">
      <c r="A607">
        <v>606</v>
      </c>
      <c r="B607">
        <v>2012</v>
      </c>
      <c r="C607">
        <v>7</v>
      </c>
      <c r="D607">
        <v>24</v>
      </c>
      <c r="E607" s="1">
        <v>-10.045999999999999</v>
      </c>
      <c r="F607" t="s">
        <v>26</v>
      </c>
      <c r="G607" t="str">
        <f>_xlfn.XLOOKUP(transakcje[[#This Row],[podkategoria]],parametr[podkategoria],parametr[kategoria])</f>
        <v>życie</v>
      </c>
      <c r="H607" t="str">
        <f>_xlfn.XLOOKUP(transakcje[[#This Row],[kategoria]],parametr[kategoria],parametr[typ])</f>
        <v>wydatki</v>
      </c>
      <c r="I607" s="1">
        <f>ABS(transakcje[[#This Row],[kwota]])</f>
        <v>10.045999999999999</v>
      </c>
    </row>
    <row r="608" spans="1:9" x14ac:dyDescent="0.3">
      <c r="A608">
        <v>607</v>
      </c>
      <c r="B608">
        <v>2012</v>
      </c>
      <c r="C608">
        <v>7</v>
      </c>
      <c r="D608">
        <v>25</v>
      </c>
      <c r="E608" s="1">
        <v>417.81200000000001</v>
      </c>
      <c r="F608" t="s">
        <v>8</v>
      </c>
      <c r="G608" t="str">
        <f>_xlfn.XLOOKUP(transakcje[[#This Row],[podkategoria]],parametr[podkategoria],parametr[kategoria])</f>
        <v>dochody z pracy</v>
      </c>
      <c r="H608" t="str">
        <f>_xlfn.XLOOKUP(transakcje[[#This Row],[kategoria]],parametr[kategoria],parametr[typ])</f>
        <v>dochody</v>
      </c>
      <c r="I608" s="1">
        <f>ABS(transakcje[[#This Row],[kwota]])</f>
        <v>417.81200000000001</v>
      </c>
    </row>
    <row r="609" spans="1:9" x14ac:dyDescent="0.3">
      <c r="A609">
        <v>608</v>
      </c>
      <c r="B609">
        <v>2012</v>
      </c>
      <c r="C609">
        <v>7</v>
      </c>
      <c r="D609">
        <v>26</v>
      </c>
      <c r="E609" s="1">
        <v>-4.484</v>
      </c>
      <c r="F609" t="s">
        <v>26</v>
      </c>
      <c r="G609" t="str">
        <f>_xlfn.XLOOKUP(transakcje[[#This Row],[podkategoria]],parametr[podkategoria],parametr[kategoria])</f>
        <v>życie</v>
      </c>
      <c r="H609" t="str">
        <f>_xlfn.XLOOKUP(transakcje[[#This Row],[kategoria]],parametr[kategoria],parametr[typ])</f>
        <v>wydatki</v>
      </c>
      <c r="I609" s="1">
        <f>ABS(transakcje[[#This Row],[kwota]])</f>
        <v>4.484</v>
      </c>
    </row>
    <row r="610" spans="1:9" x14ac:dyDescent="0.3">
      <c r="A610">
        <v>609</v>
      </c>
      <c r="B610">
        <v>2012</v>
      </c>
      <c r="C610">
        <v>7</v>
      </c>
      <c r="D610">
        <v>31</v>
      </c>
      <c r="E610" s="1">
        <v>2E-3</v>
      </c>
      <c r="F610" t="s">
        <v>17</v>
      </c>
      <c r="G610" t="str">
        <f>_xlfn.XLOOKUP(transakcje[[#This Row],[podkategoria]],parametr[podkategoria],parametr[kategoria])</f>
        <v>dochody pozostałe</v>
      </c>
      <c r="H610" t="str">
        <f>_xlfn.XLOOKUP(transakcje[[#This Row],[kategoria]],parametr[kategoria],parametr[typ])</f>
        <v>dochody</v>
      </c>
      <c r="I610" s="1">
        <f>ABS(transakcje[[#This Row],[kwota]])</f>
        <v>2E-3</v>
      </c>
    </row>
    <row r="611" spans="1:9" x14ac:dyDescent="0.3">
      <c r="A611">
        <v>610</v>
      </c>
      <c r="B611">
        <v>2012</v>
      </c>
      <c r="C611">
        <v>7</v>
      </c>
      <c r="D611">
        <v>31</v>
      </c>
      <c r="E611" s="1">
        <v>-1.198</v>
      </c>
      <c r="F611" t="s">
        <v>14</v>
      </c>
      <c r="G611" t="str">
        <f>_xlfn.XLOOKUP(transakcje[[#This Row],[podkategoria]],parametr[podkategoria],parametr[kategoria])</f>
        <v>opłaty stałe</v>
      </c>
      <c r="H611" t="str">
        <f>_xlfn.XLOOKUP(transakcje[[#This Row],[kategoria]],parametr[kategoria],parametr[typ])</f>
        <v>wydatki</v>
      </c>
      <c r="I611" s="1">
        <f>ABS(transakcje[[#This Row],[kwota]])</f>
        <v>1.198</v>
      </c>
    </row>
    <row r="612" spans="1:9" x14ac:dyDescent="0.3">
      <c r="A612">
        <v>611</v>
      </c>
      <c r="B612">
        <v>2012</v>
      </c>
      <c r="C612">
        <v>7</v>
      </c>
      <c r="D612">
        <v>31</v>
      </c>
      <c r="E612" s="1">
        <v>-2E-3</v>
      </c>
      <c r="F612" t="s">
        <v>14</v>
      </c>
      <c r="G612" t="str">
        <f>_xlfn.XLOOKUP(transakcje[[#This Row],[podkategoria]],parametr[podkategoria],parametr[kategoria])</f>
        <v>opłaty stałe</v>
      </c>
      <c r="H612" t="str">
        <f>_xlfn.XLOOKUP(transakcje[[#This Row],[kategoria]],parametr[kategoria],parametr[typ])</f>
        <v>wydatki</v>
      </c>
      <c r="I612" s="1">
        <f>ABS(transakcje[[#This Row],[kwota]])</f>
        <v>2E-3</v>
      </c>
    </row>
    <row r="613" spans="1:9" x14ac:dyDescent="0.3">
      <c r="A613">
        <v>612</v>
      </c>
      <c r="B613">
        <v>2012</v>
      </c>
      <c r="C613">
        <v>8</v>
      </c>
      <c r="D613">
        <v>1</v>
      </c>
      <c r="E613" s="1">
        <v>-7.9959999999999996</v>
      </c>
      <c r="F613" t="s">
        <v>11</v>
      </c>
      <c r="G613" t="str">
        <f>_xlfn.XLOOKUP(transakcje[[#This Row],[podkategoria]],parametr[podkategoria],parametr[kategoria])</f>
        <v>wydatki inne</v>
      </c>
      <c r="H613" t="str">
        <f>_xlfn.XLOOKUP(transakcje[[#This Row],[kategoria]],parametr[kategoria],parametr[typ])</f>
        <v>wydatki</v>
      </c>
      <c r="I613" s="1">
        <f>ABS(transakcje[[#This Row],[kwota]])</f>
        <v>7.9959999999999996</v>
      </c>
    </row>
    <row r="614" spans="1:9" x14ac:dyDescent="0.3">
      <c r="A614">
        <v>613</v>
      </c>
      <c r="B614">
        <v>2012</v>
      </c>
      <c r="C614">
        <v>8</v>
      </c>
      <c r="D614">
        <v>1</v>
      </c>
      <c r="E614" s="1">
        <v>-10.518000000000001</v>
      </c>
      <c r="F614" t="s">
        <v>26</v>
      </c>
      <c r="G614" t="str">
        <f>_xlfn.XLOOKUP(transakcje[[#This Row],[podkategoria]],parametr[podkategoria],parametr[kategoria])</f>
        <v>życie</v>
      </c>
      <c r="H614" t="str">
        <f>_xlfn.XLOOKUP(transakcje[[#This Row],[kategoria]],parametr[kategoria],parametr[typ])</f>
        <v>wydatki</v>
      </c>
      <c r="I614" s="1">
        <f>ABS(transakcje[[#This Row],[kwota]])</f>
        <v>10.518000000000001</v>
      </c>
    </row>
    <row r="615" spans="1:9" x14ac:dyDescent="0.3">
      <c r="A615">
        <v>614</v>
      </c>
      <c r="B615">
        <v>2012</v>
      </c>
      <c r="C615">
        <v>8</v>
      </c>
      <c r="D615">
        <v>4</v>
      </c>
      <c r="E615" s="1">
        <v>-48.076000000000001</v>
      </c>
      <c r="F615" t="s">
        <v>31</v>
      </c>
      <c r="G615" t="str">
        <f>_xlfn.XLOOKUP(transakcje[[#This Row],[podkategoria]],parametr[podkategoria],parametr[kategoria])</f>
        <v>opłaty stałe</v>
      </c>
      <c r="H615" t="str">
        <f>_xlfn.XLOOKUP(transakcje[[#This Row],[kategoria]],parametr[kategoria],parametr[typ])</f>
        <v>wydatki</v>
      </c>
      <c r="I615" s="1">
        <f>ABS(transakcje[[#This Row],[kwota]])</f>
        <v>48.076000000000001</v>
      </c>
    </row>
    <row r="616" spans="1:9" x14ac:dyDescent="0.3">
      <c r="A616">
        <v>615</v>
      </c>
      <c r="B616">
        <v>2012</v>
      </c>
      <c r="C616">
        <v>8</v>
      </c>
      <c r="D616">
        <v>4</v>
      </c>
      <c r="E616" s="1">
        <v>-9.7200000000000006</v>
      </c>
      <c r="F616" t="s">
        <v>23</v>
      </c>
      <c r="G616" t="str">
        <f>_xlfn.XLOOKUP(transakcje[[#This Row],[podkategoria]],parametr[podkategoria],parametr[kategoria])</f>
        <v>opłaty stałe</v>
      </c>
      <c r="H616" t="str">
        <f>_xlfn.XLOOKUP(transakcje[[#This Row],[kategoria]],parametr[kategoria],parametr[typ])</f>
        <v>wydatki</v>
      </c>
      <c r="I616" s="1">
        <f>ABS(transakcje[[#This Row],[kwota]])</f>
        <v>9.7200000000000006</v>
      </c>
    </row>
    <row r="617" spans="1:9" x14ac:dyDescent="0.3">
      <c r="A617">
        <v>616</v>
      </c>
      <c r="B617">
        <v>2012</v>
      </c>
      <c r="C617">
        <v>8</v>
      </c>
      <c r="D617">
        <v>4</v>
      </c>
      <c r="E617" s="1">
        <v>-7.9799999999999995</v>
      </c>
      <c r="F617" t="s">
        <v>25</v>
      </c>
      <c r="G617" t="str">
        <f>_xlfn.XLOOKUP(transakcje[[#This Row],[podkategoria]],parametr[podkategoria],parametr[kategoria])</f>
        <v>opłaty stałe</v>
      </c>
      <c r="H617" t="str">
        <f>_xlfn.XLOOKUP(transakcje[[#This Row],[kategoria]],parametr[kategoria],parametr[typ])</f>
        <v>wydatki</v>
      </c>
      <c r="I617" s="1">
        <f>ABS(transakcje[[#This Row],[kwota]])</f>
        <v>7.9799999999999995</v>
      </c>
    </row>
    <row r="618" spans="1:9" x14ac:dyDescent="0.3">
      <c r="A618">
        <v>617</v>
      </c>
      <c r="B618">
        <v>2012</v>
      </c>
      <c r="C618">
        <v>8</v>
      </c>
      <c r="D618">
        <v>5</v>
      </c>
      <c r="E618" s="1">
        <v>-4.8</v>
      </c>
      <c r="F618" t="s">
        <v>11</v>
      </c>
      <c r="G618" t="str">
        <f>_xlfn.XLOOKUP(transakcje[[#This Row],[podkategoria]],parametr[podkategoria],parametr[kategoria])</f>
        <v>wydatki inne</v>
      </c>
      <c r="H618" t="str">
        <f>_xlfn.XLOOKUP(transakcje[[#This Row],[kategoria]],parametr[kategoria],parametr[typ])</f>
        <v>wydatki</v>
      </c>
      <c r="I618" s="1">
        <f>ABS(transakcje[[#This Row],[kwota]])</f>
        <v>4.8</v>
      </c>
    </row>
    <row r="619" spans="1:9" x14ac:dyDescent="0.3">
      <c r="A619">
        <v>618</v>
      </c>
      <c r="B619">
        <v>2012</v>
      </c>
      <c r="C619">
        <v>8</v>
      </c>
      <c r="D619">
        <v>6</v>
      </c>
      <c r="E619" s="1">
        <v>155.46600000000001</v>
      </c>
      <c r="F619" t="s">
        <v>19</v>
      </c>
      <c r="G619" t="str">
        <f>_xlfn.XLOOKUP(transakcje[[#This Row],[podkategoria]],parametr[podkategoria],parametr[kategoria])</f>
        <v>dochody z pracy</v>
      </c>
      <c r="H619" t="str">
        <f>_xlfn.XLOOKUP(transakcje[[#This Row],[kategoria]],parametr[kategoria],parametr[typ])</f>
        <v>dochody</v>
      </c>
      <c r="I619" s="1">
        <f>ABS(transakcje[[#This Row],[kwota]])</f>
        <v>155.46600000000001</v>
      </c>
    </row>
    <row r="620" spans="1:9" x14ac:dyDescent="0.3">
      <c r="A620">
        <v>619</v>
      </c>
      <c r="B620">
        <v>2012</v>
      </c>
      <c r="C620">
        <v>8</v>
      </c>
      <c r="D620">
        <v>6</v>
      </c>
      <c r="E620" s="1">
        <v>-5.2119999999999997</v>
      </c>
      <c r="F620" t="s">
        <v>26</v>
      </c>
      <c r="G620" t="str">
        <f>_xlfn.XLOOKUP(transakcje[[#This Row],[podkategoria]],parametr[podkategoria],parametr[kategoria])</f>
        <v>życie</v>
      </c>
      <c r="H620" t="str">
        <f>_xlfn.XLOOKUP(transakcje[[#This Row],[kategoria]],parametr[kategoria],parametr[typ])</f>
        <v>wydatki</v>
      </c>
      <c r="I620" s="1">
        <f>ABS(transakcje[[#This Row],[kwota]])</f>
        <v>5.2119999999999997</v>
      </c>
    </row>
    <row r="621" spans="1:9" x14ac:dyDescent="0.3">
      <c r="A621">
        <v>620</v>
      </c>
      <c r="B621">
        <v>2012</v>
      </c>
      <c r="C621">
        <v>8</v>
      </c>
      <c r="D621">
        <v>7</v>
      </c>
      <c r="E621" s="1">
        <v>-5.88</v>
      </c>
      <c r="F621" t="s">
        <v>26</v>
      </c>
      <c r="G621" t="str">
        <f>_xlfn.XLOOKUP(transakcje[[#This Row],[podkategoria]],parametr[podkategoria],parametr[kategoria])</f>
        <v>życie</v>
      </c>
      <c r="H621" t="str">
        <f>_xlfn.XLOOKUP(transakcje[[#This Row],[kategoria]],parametr[kategoria],parametr[typ])</f>
        <v>wydatki</v>
      </c>
      <c r="I621" s="1">
        <f>ABS(transakcje[[#This Row],[kwota]])</f>
        <v>5.88</v>
      </c>
    </row>
    <row r="622" spans="1:9" x14ac:dyDescent="0.3">
      <c r="A622">
        <v>621</v>
      </c>
      <c r="B622">
        <v>2012</v>
      </c>
      <c r="C622">
        <v>8</v>
      </c>
      <c r="D622">
        <v>10</v>
      </c>
      <c r="E622" s="1">
        <v>-4.444</v>
      </c>
      <c r="F622" t="s">
        <v>26</v>
      </c>
      <c r="G622" t="str">
        <f>_xlfn.XLOOKUP(transakcje[[#This Row],[podkategoria]],parametr[podkategoria],parametr[kategoria])</f>
        <v>życie</v>
      </c>
      <c r="H622" t="str">
        <f>_xlfn.XLOOKUP(transakcje[[#This Row],[kategoria]],parametr[kategoria],parametr[typ])</f>
        <v>wydatki</v>
      </c>
      <c r="I622" s="1">
        <f>ABS(transakcje[[#This Row],[kwota]])</f>
        <v>4.444</v>
      </c>
    </row>
    <row r="623" spans="1:9" x14ac:dyDescent="0.3">
      <c r="A623">
        <v>622</v>
      </c>
      <c r="B623">
        <v>2012</v>
      </c>
      <c r="C623">
        <v>8</v>
      </c>
      <c r="D623">
        <v>13</v>
      </c>
      <c r="E623" s="1">
        <v>-5.5880000000000001</v>
      </c>
      <c r="F623" t="s">
        <v>26</v>
      </c>
      <c r="G623" t="str">
        <f>_xlfn.XLOOKUP(transakcje[[#This Row],[podkategoria]],parametr[podkategoria],parametr[kategoria])</f>
        <v>życie</v>
      </c>
      <c r="H623" t="str">
        <f>_xlfn.XLOOKUP(transakcje[[#This Row],[kategoria]],parametr[kategoria],parametr[typ])</f>
        <v>wydatki</v>
      </c>
      <c r="I623" s="1">
        <f>ABS(transakcje[[#This Row],[kwota]])</f>
        <v>5.5880000000000001</v>
      </c>
    </row>
    <row r="624" spans="1:9" x14ac:dyDescent="0.3">
      <c r="A624">
        <v>623</v>
      </c>
      <c r="B624">
        <v>2012</v>
      </c>
      <c r="C624">
        <v>8</v>
      </c>
      <c r="D624">
        <v>14</v>
      </c>
      <c r="E624" s="1">
        <v>-0.39800000000000002</v>
      </c>
      <c r="F624" t="s">
        <v>14</v>
      </c>
      <c r="G624" t="str">
        <f>_xlfn.XLOOKUP(transakcje[[#This Row],[podkategoria]],parametr[podkategoria],parametr[kategoria])</f>
        <v>opłaty stałe</v>
      </c>
      <c r="H624" t="str">
        <f>_xlfn.XLOOKUP(transakcje[[#This Row],[kategoria]],parametr[kategoria],parametr[typ])</f>
        <v>wydatki</v>
      </c>
      <c r="I624" s="1">
        <f>ABS(transakcje[[#This Row],[kwota]])</f>
        <v>0.39800000000000002</v>
      </c>
    </row>
    <row r="625" spans="1:9" x14ac:dyDescent="0.3">
      <c r="A625">
        <v>624</v>
      </c>
      <c r="B625">
        <v>2012</v>
      </c>
      <c r="C625">
        <v>8</v>
      </c>
      <c r="D625">
        <v>15</v>
      </c>
      <c r="E625" s="1">
        <v>-0.8</v>
      </c>
      <c r="F625" t="s">
        <v>14</v>
      </c>
      <c r="G625" t="str">
        <f>_xlfn.XLOOKUP(transakcje[[#This Row],[podkategoria]],parametr[podkategoria],parametr[kategoria])</f>
        <v>opłaty stałe</v>
      </c>
      <c r="H625" t="str">
        <f>_xlfn.XLOOKUP(transakcje[[#This Row],[kategoria]],parametr[kategoria],parametr[typ])</f>
        <v>wydatki</v>
      </c>
      <c r="I625" s="1">
        <f>ABS(transakcje[[#This Row],[kwota]])</f>
        <v>0.8</v>
      </c>
    </row>
    <row r="626" spans="1:9" x14ac:dyDescent="0.3">
      <c r="A626">
        <v>625</v>
      </c>
      <c r="B626">
        <v>2012</v>
      </c>
      <c r="C626">
        <v>8</v>
      </c>
      <c r="D626">
        <v>16</v>
      </c>
      <c r="E626" s="1">
        <v>-7.9799999999999995</v>
      </c>
      <c r="F626" t="s">
        <v>11</v>
      </c>
      <c r="G626" t="str">
        <f>_xlfn.XLOOKUP(transakcje[[#This Row],[podkategoria]],parametr[podkategoria],parametr[kategoria])</f>
        <v>wydatki inne</v>
      </c>
      <c r="H626" t="str">
        <f>_xlfn.XLOOKUP(transakcje[[#This Row],[kategoria]],parametr[kategoria],parametr[typ])</f>
        <v>wydatki</v>
      </c>
      <c r="I626" s="1">
        <f>ABS(transakcje[[#This Row],[kwota]])</f>
        <v>7.9799999999999995</v>
      </c>
    </row>
    <row r="627" spans="1:9" x14ac:dyDescent="0.3">
      <c r="A627">
        <v>626</v>
      </c>
      <c r="B627">
        <v>2012</v>
      </c>
      <c r="C627">
        <v>8</v>
      </c>
      <c r="D627">
        <v>19</v>
      </c>
      <c r="E627" s="1">
        <v>-4</v>
      </c>
      <c r="F627" t="s">
        <v>11</v>
      </c>
      <c r="G627" t="str">
        <f>_xlfn.XLOOKUP(transakcje[[#This Row],[podkategoria]],parametr[podkategoria],parametr[kategoria])</f>
        <v>wydatki inne</v>
      </c>
      <c r="H627" t="str">
        <f>_xlfn.XLOOKUP(transakcje[[#This Row],[kategoria]],parametr[kategoria],parametr[typ])</f>
        <v>wydatki</v>
      </c>
      <c r="I627" s="1">
        <f>ABS(transakcje[[#This Row],[kwota]])</f>
        <v>4</v>
      </c>
    </row>
    <row r="628" spans="1:9" x14ac:dyDescent="0.3">
      <c r="A628">
        <v>627</v>
      </c>
      <c r="B628">
        <v>2012</v>
      </c>
      <c r="C628">
        <v>8</v>
      </c>
      <c r="D628">
        <v>20</v>
      </c>
      <c r="E628" s="1">
        <v>-5</v>
      </c>
      <c r="F628" t="s">
        <v>11</v>
      </c>
      <c r="G628" t="str">
        <f>_xlfn.XLOOKUP(transakcje[[#This Row],[podkategoria]],parametr[podkategoria],parametr[kategoria])</f>
        <v>wydatki inne</v>
      </c>
      <c r="H628" t="str">
        <f>_xlfn.XLOOKUP(transakcje[[#This Row],[kategoria]],parametr[kategoria],parametr[typ])</f>
        <v>wydatki</v>
      </c>
      <c r="I628" s="1">
        <f>ABS(transakcje[[#This Row],[kwota]])</f>
        <v>5</v>
      </c>
    </row>
    <row r="629" spans="1:9" x14ac:dyDescent="0.3">
      <c r="A629">
        <v>628</v>
      </c>
      <c r="B629">
        <v>2012</v>
      </c>
      <c r="C629">
        <v>8</v>
      </c>
      <c r="D629">
        <v>20</v>
      </c>
      <c r="E629" s="1">
        <v>-10.157999999999999</v>
      </c>
      <c r="F629" t="s">
        <v>26</v>
      </c>
      <c r="G629" t="str">
        <f>_xlfn.XLOOKUP(transakcje[[#This Row],[podkategoria]],parametr[podkategoria],parametr[kategoria])</f>
        <v>życie</v>
      </c>
      <c r="H629" t="str">
        <f>_xlfn.XLOOKUP(transakcje[[#This Row],[kategoria]],parametr[kategoria],parametr[typ])</f>
        <v>wydatki</v>
      </c>
      <c r="I629" s="1">
        <f>ABS(transakcje[[#This Row],[kwota]])</f>
        <v>10.157999999999999</v>
      </c>
    </row>
    <row r="630" spans="1:9" x14ac:dyDescent="0.3">
      <c r="A630">
        <v>629</v>
      </c>
      <c r="B630">
        <v>2012</v>
      </c>
      <c r="C630">
        <v>8</v>
      </c>
      <c r="D630">
        <v>21</v>
      </c>
      <c r="E630" s="1">
        <v>-3.3899999999999997</v>
      </c>
      <c r="F630" t="s">
        <v>26</v>
      </c>
      <c r="G630" t="str">
        <f>_xlfn.XLOOKUP(transakcje[[#This Row],[podkategoria]],parametr[podkategoria],parametr[kategoria])</f>
        <v>życie</v>
      </c>
      <c r="H630" t="str">
        <f>_xlfn.XLOOKUP(transakcje[[#This Row],[kategoria]],parametr[kategoria],parametr[typ])</f>
        <v>wydatki</v>
      </c>
      <c r="I630" s="1">
        <f>ABS(transakcje[[#This Row],[kwota]])</f>
        <v>3.3899999999999997</v>
      </c>
    </row>
    <row r="631" spans="1:9" x14ac:dyDescent="0.3">
      <c r="A631">
        <v>630</v>
      </c>
      <c r="B631">
        <v>2012</v>
      </c>
      <c r="C631">
        <v>8</v>
      </c>
      <c r="D631">
        <v>24</v>
      </c>
      <c r="E631" s="1">
        <v>-17.088000000000001</v>
      </c>
      <c r="F631" t="s">
        <v>26</v>
      </c>
      <c r="G631" t="str">
        <f>_xlfn.XLOOKUP(transakcje[[#This Row],[podkategoria]],parametr[podkategoria],parametr[kategoria])</f>
        <v>życie</v>
      </c>
      <c r="H631" t="str">
        <f>_xlfn.XLOOKUP(transakcje[[#This Row],[kategoria]],parametr[kategoria],parametr[typ])</f>
        <v>wydatki</v>
      </c>
      <c r="I631" s="1">
        <f>ABS(transakcje[[#This Row],[kwota]])</f>
        <v>17.088000000000001</v>
      </c>
    </row>
    <row r="632" spans="1:9" x14ac:dyDescent="0.3">
      <c r="A632">
        <v>631</v>
      </c>
      <c r="B632">
        <v>2012</v>
      </c>
      <c r="C632">
        <v>8</v>
      </c>
      <c r="D632">
        <v>27</v>
      </c>
      <c r="E632" s="1">
        <v>-30</v>
      </c>
      <c r="F632" t="s">
        <v>11</v>
      </c>
      <c r="G632" t="str">
        <f>_xlfn.XLOOKUP(transakcje[[#This Row],[podkategoria]],parametr[podkategoria],parametr[kategoria])</f>
        <v>wydatki inne</v>
      </c>
      <c r="H632" t="str">
        <f>_xlfn.XLOOKUP(transakcje[[#This Row],[kategoria]],parametr[kategoria],parametr[typ])</f>
        <v>wydatki</v>
      </c>
      <c r="I632" s="1">
        <f>ABS(transakcje[[#This Row],[kwota]])</f>
        <v>30</v>
      </c>
    </row>
    <row r="633" spans="1:9" x14ac:dyDescent="0.3">
      <c r="A633">
        <v>632</v>
      </c>
      <c r="B633">
        <v>2012</v>
      </c>
      <c r="C633">
        <v>8</v>
      </c>
      <c r="D633">
        <v>27</v>
      </c>
      <c r="E633" s="1">
        <v>417.81200000000001</v>
      </c>
      <c r="F633" t="s">
        <v>8</v>
      </c>
      <c r="G633" t="str">
        <f>_xlfn.XLOOKUP(transakcje[[#This Row],[podkategoria]],parametr[podkategoria],parametr[kategoria])</f>
        <v>dochody z pracy</v>
      </c>
      <c r="H633" t="str">
        <f>_xlfn.XLOOKUP(transakcje[[#This Row],[kategoria]],parametr[kategoria],parametr[typ])</f>
        <v>dochody</v>
      </c>
      <c r="I633" s="1">
        <f>ABS(transakcje[[#This Row],[kwota]])</f>
        <v>417.81200000000001</v>
      </c>
    </row>
    <row r="634" spans="1:9" x14ac:dyDescent="0.3">
      <c r="A634">
        <v>633</v>
      </c>
      <c r="B634">
        <v>2012</v>
      </c>
      <c r="C634">
        <v>8</v>
      </c>
      <c r="D634">
        <v>30</v>
      </c>
      <c r="E634" s="1">
        <v>-4</v>
      </c>
      <c r="F634" t="s">
        <v>11</v>
      </c>
      <c r="G634" t="str">
        <f>_xlfn.XLOOKUP(transakcje[[#This Row],[podkategoria]],parametr[podkategoria],parametr[kategoria])</f>
        <v>wydatki inne</v>
      </c>
      <c r="H634" t="str">
        <f>_xlfn.XLOOKUP(transakcje[[#This Row],[kategoria]],parametr[kategoria],parametr[typ])</f>
        <v>wydatki</v>
      </c>
      <c r="I634" s="1">
        <f>ABS(transakcje[[#This Row],[kwota]])</f>
        <v>4</v>
      </c>
    </row>
    <row r="635" spans="1:9" x14ac:dyDescent="0.3">
      <c r="A635">
        <v>634</v>
      </c>
      <c r="B635">
        <v>2012</v>
      </c>
      <c r="C635">
        <v>8</v>
      </c>
      <c r="D635">
        <v>31</v>
      </c>
      <c r="E635" s="1">
        <v>2E-3</v>
      </c>
      <c r="F635" t="s">
        <v>17</v>
      </c>
      <c r="G635" t="str">
        <f>_xlfn.XLOOKUP(transakcje[[#This Row],[podkategoria]],parametr[podkategoria],parametr[kategoria])</f>
        <v>dochody pozostałe</v>
      </c>
      <c r="H635" t="str">
        <f>_xlfn.XLOOKUP(transakcje[[#This Row],[kategoria]],parametr[kategoria],parametr[typ])</f>
        <v>dochody</v>
      </c>
      <c r="I635" s="1">
        <f>ABS(transakcje[[#This Row],[kwota]])</f>
        <v>2E-3</v>
      </c>
    </row>
    <row r="636" spans="1:9" x14ac:dyDescent="0.3">
      <c r="A636">
        <v>635</v>
      </c>
      <c r="B636">
        <v>2012</v>
      </c>
      <c r="C636">
        <v>8</v>
      </c>
      <c r="D636">
        <v>31</v>
      </c>
      <c r="E636" s="1">
        <v>-1.198</v>
      </c>
      <c r="F636" t="s">
        <v>14</v>
      </c>
      <c r="G636" t="str">
        <f>_xlfn.XLOOKUP(transakcje[[#This Row],[podkategoria]],parametr[podkategoria],parametr[kategoria])</f>
        <v>opłaty stałe</v>
      </c>
      <c r="H636" t="str">
        <f>_xlfn.XLOOKUP(transakcje[[#This Row],[kategoria]],parametr[kategoria],parametr[typ])</f>
        <v>wydatki</v>
      </c>
      <c r="I636" s="1">
        <f>ABS(transakcje[[#This Row],[kwota]])</f>
        <v>1.198</v>
      </c>
    </row>
    <row r="637" spans="1:9" x14ac:dyDescent="0.3">
      <c r="A637">
        <v>636</v>
      </c>
      <c r="B637">
        <v>2012</v>
      </c>
      <c r="C637">
        <v>8</v>
      </c>
      <c r="D637">
        <v>31</v>
      </c>
      <c r="E637" s="1">
        <v>-0.3</v>
      </c>
      <c r="F637" t="s">
        <v>14</v>
      </c>
      <c r="G637" t="str">
        <f>_xlfn.XLOOKUP(transakcje[[#This Row],[podkategoria]],parametr[podkategoria],parametr[kategoria])</f>
        <v>opłaty stałe</v>
      </c>
      <c r="H637" t="str">
        <f>_xlfn.XLOOKUP(transakcje[[#This Row],[kategoria]],parametr[kategoria],parametr[typ])</f>
        <v>wydatki</v>
      </c>
      <c r="I637" s="1">
        <f>ABS(transakcje[[#This Row],[kwota]])</f>
        <v>0.3</v>
      </c>
    </row>
    <row r="638" spans="1:9" x14ac:dyDescent="0.3">
      <c r="A638">
        <v>637</v>
      </c>
      <c r="B638">
        <v>2012</v>
      </c>
      <c r="C638">
        <v>8</v>
      </c>
      <c r="D638">
        <v>31</v>
      </c>
      <c r="E638" s="1">
        <v>-2E-3</v>
      </c>
      <c r="F638" t="s">
        <v>14</v>
      </c>
      <c r="G638" t="str">
        <f>_xlfn.XLOOKUP(transakcje[[#This Row],[podkategoria]],parametr[podkategoria],parametr[kategoria])</f>
        <v>opłaty stałe</v>
      </c>
      <c r="H638" t="str">
        <f>_xlfn.XLOOKUP(transakcje[[#This Row],[kategoria]],parametr[kategoria],parametr[typ])</f>
        <v>wydatki</v>
      </c>
      <c r="I638" s="1">
        <f>ABS(transakcje[[#This Row],[kwota]])</f>
        <v>2E-3</v>
      </c>
    </row>
    <row r="639" spans="1:9" x14ac:dyDescent="0.3">
      <c r="A639">
        <v>638</v>
      </c>
      <c r="B639">
        <v>2012</v>
      </c>
      <c r="C639">
        <v>8</v>
      </c>
      <c r="D639">
        <v>31</v>
      </c>
      <c r="E639" s="1">
        <v>-2.3739999999999997</v>
      </c>
      <c r="F639" t="s">
        <v>26</v>
      </c>
      <c r="G639" t="str">
        <f>_xlfn.XLOOKUP(transakcje[[#This Row],[podkategoria]],parametr[podkategoria],parametr[kategoria])</f>
        <v>życie</v>
      </c>
      <c r="H639" t="str">
        <f>_xlfn.XLOOKUP(transakcje[[#This Row],[kategoria]],parametr[kategoria],parametr[typ])</f>
        <v>wydatki</v>
      </c>
      <c r="I639" s="1">
        <f>ABS(transakcje[[#This Row],[kwota]])</f>
        <v>2.3739999999999997</v>
      </c>
    </row>
    <row r="640" spans="1:9" x14ac:dyDescent="0.3">
      <c r="A640">
        <v>639</v>
      </c>
      <c r="B640">
        <v>2012</v>
      </c>
      <c r="C640">
        <v>9</v>
      </c>
      <c r="D640">
        <v>2</v>
      </c>
      <c r="E640" s="1">
        <v>-48.076000000000001</v>
      </c>
      <c r="F640" t="s">
        <v>31</v>
      </c>
      <c r="G640" t="str">
        <f>_xlfn.XLOOKUP(transakcje[[#This Row],[podkategoria]],parametr[podkategoria],parametr[kategoria])</f>
        <v>opłaty stałe</v>
      </c>
      <c r="H640" t="str">
        <f>_xlfn.XLOOKUP(transakcje[[#This Row],[kategoria]],parametr[kategoria],parametr[typ])</f>
        <v>wydatki</v>
      </c>
      <c r="I640" s="1">
        <f>ABS(transakcje[[#This Row],[kwota]])</f>
        <v>48.076000000000001</v>
      </c>
    </row>
    <row r="641" spans="1:9" x14ac:dyDescent="0.3">
      <c r="A641">
        <v>640</v>
      </c>
      <c r="B641">
        <v>2012</v>
      </c>
      <c r="C641">
        <v>9</v>
      </c>
      <c r="D641">
        <v>2</v>
      </c>
      <c r="E641" s="1">
        <v>-9.7200000000000006</v>
      </c>
      <c r="F641" t="s">
        <v>23</v>
      </c>
      <c r="G641" t="str">
        <f>_xlfn.XLOOKUP(transakcje[[#This Row],[podkategoria]],parametr[podkategoria],parametr[kategoria])</f>
        <v>opłaty stałe</v>
      </c>
      <c r="H641" t="str">
        <f>_xlfn.XLOOKUP(transakcje[[#This Row],[kategoria]],parametr[kategoria],parametr[typ])</f>
        <v>wydatki</v>
      </c>
      <c r="I641" s="1">
        <f>ABS(transakcje[[#This Row],[kwota]])</f>
        <v>9.7200000000000006</v>
      </c>
    </row>
    <row r="642" spans="1:9" x14ac:dyDescent="0.3">
      <c r="A642">
        <v>641</v>
      </c>
      <c r="B642">
        <v>2012</v>
      </c>
      <c r="C642">
        <v>9</v>
      </c>
      <c r="D642">
        <v>2</v>
      </c>
      <c r="E642" s="1">
        <v>-15.809999999999999</v>
      </c>
      <c r="F642" t="s">
        <v>34</v>
      </c>
      <c r="G642" t="str">
        <f>_xlfn.XLOOKUP(transakcje[[#This Row],[podkategoria]],parametr[podkategoria],parametr[kategoria])</f>
        <v>opłaty stałe</v>
      </c>
      <c r="H642" t="str">
        <f>_xlfn.XLOOKUP(transakcje[[#This Row],[kategoria]],parametr[kategoria],parametr[typ])</f>
        <v>wydatki</v>
      </c>
      <c r="I642" s="1">
        <f>ABS(transakcje[[#This Row],[kwota]])</f>
        <v>15.809999999999999</v>
      </c>
    </row>
    <row r="643" spans="1:9" x14ac:dyDescent="0.3">
      <c r="A643">
        <v>642</v>
      </c>
      <c r="B643">
        <v>2012</v>
      </c>
      <c r="C643">
        <v>9</v>
      </c>
      <c r="D643">
        <v>2</v>
      </c>
      <c r="E643" s="1">
        <v>-7.9799999999999995</v>
      </c>
      <c r="F643" t="s">
        <v>25</v>
      </c>
      <c r="G643" t="str">
        <f>_xlfn.XLOOKUP(transakcje[[#This Row],[podkategoria]],parametr[podkategoria],parametr[kategoria])</f>
        <v>opłaty stałe</v>
      </c>
      <c r="H643" t="str">
        <f>_xlfn.XLOOKUP(transakcje[[#This Row],[kategoria]],parametr[kategoria],parametr[typ])</f>
        <v>wydatki</v>
      </c>
      <c r="I643" s="1">
        <f>ABS(transakcje[[#This Row],[kwota]])</f>
        <v>7.9799999999999995</v>
      </c>
    </row>
    <row r="644" spans="1:9" x14ac:dyDescent="0.3">
      <c r="A644">
        <v>643</v>
      </c>
      <c r="B644">
        <v>2012</v>
      </c>
      <c r="C644">
        <v>9</v>
      </c>
      <c r="D644">
        <v>5</v>
      </c>
      <c r="E644" s="1">
        <v>-2.15</v>
      </c>
      <c r="F644" t="s">
        <v>26</v>
      </c>
      <c r="G644" t="str">
        <f>_xlfn.XLOOKUP(transakcje[[#This Row],[podkategoria]],parametr[podkategoria],parametr[kategoria])</f>
        <v>życie</v>
      </c>
      <c r="H644" t="str">
        <f>_xlfn.XLOOKUP(transakcje[[#This Row],[kategoria]],parametr[kategoria],parametr[typ])</f>
        <v>wydatki</v>
      </c>
      <c r="I644" s="1">
        <f>ABS(transakcje[[#This Row],[kwota]])</f>
        <v>2.15</v>
      </c>
    </row>
    <row r="645" spans="1:9" x14ac:dyDescent="0.3">
      <c r="A645">
        <v>644</v>
      </c>
      <c r="B645">
        <v>2012</v>
      </c>
      <c r="C645">
        <v>9</v>
      </c>
      <c r="D645">
        <v>5</v>
      </c>
      <c r="E645" s="1">
        <v>-0.85</v>
      </c>
      <c r="F645" t="s">
        <v>26</v>
      </c>
      <c r="G645" t="str">
        <f>_xlfn.XLOOKUP(transakcje[[#This Row],[podkategoria]],parametr[podkategoria],parametr[kategoria])</f>
        <v>życie</v>
      </c>
      <c r="H645" t="str">
        <f>_xlfn.XLOOKUP(transakcje[[#This Row],[kategoria]],parametr[kategoria],parametr[typ])</f>
        <v>wydatki</v>
      </c>
      <c r="I645" s="1">
        <f>ABS(transakcje[[#This Row],[kwota]])</f>
        <v>0.85</v>
      </c>
    </row>
    <row r="646" spans="1:9" x14ac:dyDescent="0.3">
      <c r="A646">
        <v>645</v>
      </c>
      <c r="B646">
        <v>2012</v>
      </c>
      <c r="C646">
        <v>9</v>
      </c>
      <c r="D646">
        <v>6</v>
      </c>
      <c r="E646" s="1">
        <v>-20</v>
      </c>
      <c r="F646" t="s">
        <v>11</v>
      </c>
      <c r="G646" t="str">
        <f>_xlfn.XLOOKUP(transakcje[[#This Row],[podkategoria]],parametr[podkategoria],parametr[kategoria])</f>
        <v>wydatki inne</v>
      </c>
      <c r="H646" t="str">
        <f>_xlfn.XLOOKUP(transakcje[[#This Row],[kategoria]],parametr[kategoria],parametr[typ])</f>
        <v>wydatki</v>
      </c>
      <c r="I646" s="1">
        <f>ABS(transakcje[[#This Row],[kwota]])</f>
        <v>20</v>
      </c>
    </row>
    <row r="647" spans="1:9" x14ac:dyDescent="0.3">
      <c r="A647">
        <v>646</v>
      </c>
      <c r="B647">
        <v>2012</v>
      </c>
      <c r="C647">
        <v>9</v>
      </c>
      <c r="D647">
        <v>6</v>
      </c>
      <c r="E647" s="1">
        <v>-4</v>
      </c>
      <c r="F647" t="s">
        <v>11</v>
      </c>
      <c r="G647" t="str">
        <f>_xlfn.XLOOKUP(transakcje[[#This Row],[podkategoria]],parametr[podkategoria],parametr[kategoria])</f>
        <v>wydatki inne</v>
      </c>
      <c r="H647" t="str">
        <f>_xlfn.XLOOKUP(transakcje[[#This Row],[kategoria]],parametr[kategoria],parametr[typ])</f>
        <v>wydatki</v>
      </c>
      <c r="I647" s="1">
        <f>ABS(transakcje[[#This Row],[kwota]])</f>
        <v>4</v>
      </c>
    </row>
    <row r="648" spans="1:9" x14ac:dyDescent="0.3">
      <c r="A648">
        <v>647</v>
      </c>
      <c r="B648">
        <v>2012</v>
      </c>
      <c r="C648">
        <v>9</v>
      </c>
      <c r="D648">
        <v>6</v>
      </c>
      <c r="E648" s="1">
        <v>-4.0119999999999996</v>
      </c>
      <c r="F648" t="s">
        <v>26</v>
      </c>
      <c r="G648" t="str">
        <f>_xlfn.XLOOKUP(transakcje[[#This Row],[podkategoria]],parametr[podkategoria],parametr[kategoria])</f>
        <v>życie</v>
      </c>
      <c r="H648" t="str">
        <f>_xlfn.XLOOKUP(transakcje[[#This Row],[kategoria]],parametr[kategoria],parametr[typ])</f>
        <v>wydatki</v>
      </c>
      <c r="I648" s="1">
        <f>ABS(transakcje[[#This Row],[kwota]])</f>
        <v>4.0119999999999996</v>
      </c>
    </row>
    <row r="649" spans="1:9" x14ac:dyDescent="0.3">
      <c r="A649">
        <v>648</v>
      </c>
      <c r="B649">
        <v>2012</v>
      </c>
      <c r="C649">
        <v>9</v>
      </c>
      <c r="D649">
        <v>7</v>
      </c>
      <c r="E649" s="1">
        <v>-6.4</v>
      </c>
      <c r="F649" t="s">
        <v>26</v>
      </c>
      <c r="G649" t="str">
        <f>_xlfn.XLOOKUP(transakcje[[#This Row],[podkategoria]],parametr[podkategoria],parametr[kategoria])</f>
        <v>życie</v>
      </c>
      <c r="H649" t="str">
        <f>_xlfn.XLOOKUP(transakcje[[#This Row],[kategoria]],parametr[kategoria],parametr[typ])</f>
        <v>wydatki</v>
      </c>
      <c r="I649" s="1">
        <f>ABS(transakcje[[#This Row],[kwota]])</f>
        <v>6.4</v>
      </c>
    </row>
    <row r="650" spans="1:9" x14ac:dyDescent="0.3">
      <c r="A650">
        <v>649</v>
      </c>
      <c r="B650">
        <v>2012</v>
      </c>
      <c r="C650">
        <v>9</v>
      </c>
      <c r="D650">
        <v>8</v>
      </c>
      <c r="E650" s="1">
        <v>-22.547999999999998</v>
      </c>
      <c r="F650" t="s">
        <v>11</v>
      </c>
      <c r="G650" t="str">
        <f>_xlfn.XLOOKUP(transakcje[[#This Row],[podkategoria]],parametr[podkategoria],parametr[kategoria])</f>
        <v>wydatki inne</v>
      </c>
      <c r="H650" t="str">
        <f>_xlfn.XLOOKUP(transakcje[[#This Row],[kategoria]],parametr[kategoria],parametr[typ])</f>
        <v>wydatki</v>
      </c>
      <c r="I650" s="1">
        <f>ABS(transakcje[[#This Row],[kwota]])</f>
        <v>22.547999999999998</v>
      </c>
    </row>
    <row r="651" spans="1:9" x14ac:dyDescent="0.3">
      <c r="A651">
        <v>650</v>
      </c>
      <c r="B651">
        <v>2012</v>
      </c>
      <c r="C651">
        <v>9</v>
      </c>
      <c r="D651">
        <v>12</v>
      </c>
      <c r="E651" s="1">
        <v>-1.6600000000000001</v>
      </c>
      <c r="F651" t="s">
        <v>26</v>
      </c>
      <c r="G651" t="str">
        <f>_xlfn.XLOOKUP(transakcje[[#This Row],[podkategoria]],parametr[podkategoria],parametr[kategoria])</f>
        <v>życie</v>
      </c>
      <c r="H651" t="str">
        <f>_xlfn.XLOOKUP(transakcje[[#This Row],[kategoria]],parametr[kategoria],parametr[typ])</f>
        <v>wydatki</v>
      </c>
      <c r="I651" s="1">
        <f>ABS(transakcje[[#This Row],[kwota]])</f>
        <v>1.6600000000000001</v>
      </c>
    </row>
    <row r="652" spans="1:9" x14ac:dyDescent="0.3">
      <c r="A652">
        <v>651</v>
      </c>
      <c r="B652">
        <v>2012</v>
      </c>
      <c r="C652">
        <v>9</v>
      </c>
      <c r="D652">
        <v>12</v>
      </c>
      <c r="E652" s="1">
        <v>-1.6600000000000001</v>
      </c>
      <c r="F652" t="s">
        <v>26</v>
      </c>
      <c r="G652" t="str">
        <f>_xlfn.XLOOKUP(transakcje[[#This Row],[podkategoria]],parametr[podkategoria],parametr[kategoria])</f>
        <v>życie</v>
      </c>
      <c r="H652" t="str">
        <f>_xlfn.XLOOKUP(transakcje[[#This Row],[kategoria]],parametr[kategoria],parametr[typ])</f>
        <v>wydatki</v>
      </c>
      <c r="I652" s="1">
        <f>ABS(transakcje[[#This Row],[kwota]])</f>
        <v>1.6600000000000001</v>
      </c>
    </row>
    <row r="653" spans="1:9" x14ac:dyDescent="0.3">
      <c r="A653">
        <v>652</v>
      </c>
      <c r="B653">
        <v>2012</v>
      </c>
      <c r="C653">
        <v>9</v>
      </c>
      <c r="D653">
        <v>12</v>
      </c>
      <c r="E653" s="1">
        <v>-19.277999999999999</v>
      </c>
      <c r="F653" t="s">
        <v>26</v>
      </c>
      <c r="G653" t="str">
        <f>_xlfn.XLOOKUP(transakcje[[#This Row],[podkategoria]],parametr[podkategoria],parametr[kategoria])</f>
        <v>życie</v>
      </c>
      <c r="H653" t="str">
        <f>_xlfn.XLOOKUP(transakcje[[#This Row],[kategoria]],parametr[kategoria],parametr[typ])</f>
        <v>wydatki</v>
      </c>
      <c r="I653" s="1">
        <f>ABS(transakcje[[#This Row],[kwota]])</f>
        <v>19.277999999999999</v>
      </c>
    </row>
    <row r="654" spans="1:9" x14ac:dyDescent="0.3">
      <c r="A654">
        <v>653</v>
      </c>
      <c r="B654">
        <v>2012</v>
      </c>
      <c r="C654">
        <v>9</v>
      </c>
      <c r="D654">
        <v>13</v>
      </c>
      <c r="E654" s="1">
        <v>-14.866</v>
      </c>
      <c r="F654" t="s">
        <v>20</v>
      </c>
      <c r="G654" t="str">
        <f>_xlfn.XLOOKUP(transakcje[[#This Row],[podkategoria]],parametr[podkategoria],parametr[kategoria])</f>
        <v>trwałe</v>
      </c>
      <c r="H654" t="str">
        <f>_xlfn.XLOOKUP(transakcje[[#This Row],[kategoria]],parametr[kategoria],parametr[typ])</f>
        <v>wydatki</v>
      </c>
      <c r="I654" s="1">
        <f>ABS(transakcje[[#This Row],[kwota]])</f>
        <v>14.866</v>
      </c>
    </row>
    <row r="655" spans="1:9" x14ac:dyDescent="0.3">
      <c r="A655">
        <v>654</v>
      </c>
      <c r="B655">
        <v>2012</v>
      </c>
      <c r="C655">
        <v>9</v>
      </c>
      <c r="D655">
        <v>14</v>
      </c>
      <c r="E655" s="1">
        <v>-23.8</v>
      </c>
      <c r="F655" t="s">
        <v>24</v>
      </c>
      <c r="G655" t="str">
        <f>_xlfn.XLOOKUP(transakcje[[#This Row],[podkategoria]],parametr[podkategoria],parametr[kategoria])</f>
        <v>trwałe</v>
      </c>
      <c r="H655" t="str">
        <f>_xlfn.XLOOKUP(transakcje[[#This Row],[kategoria]],parametr[kategoria],parametr[typ])</f>
        <v>wydatki</v>
      </c>
      <c r="I655" s="1">
        <f>ABS(transakcje[[#This Row],[kwota]])</f>
        <v>23.8</v>
      </c>
    </row>
    <row r="656" spans="1:9" x14ac:dyDescent="0.3">
      <c r="A656">
        <v>655</v>
      </c>
      <c r="B656">
        <v>2012</v>
      </c>
      <c r="C656">
        <v>9</v>
      </c>
      <c r="D656">
        <v>14</v>
      </c>
      <c r="E656" s="1">
        <v>-13.821999999999999</v>
      </c>
      <c r="F656" t="s">
        <v>26</v>
      </c>
      <c r="G656" t="str">
        <f>_xlfn.XLOOKUP(transakcje[[#This Row],[podkategoria]],parametr[podkategoria],parametr[kategoria])</f>
        <v>życie</v>
      </c>
      <c r="H656" t="str">
        <f>_xlfn.XLOOKUP(transakcje[[#This Row],[kategoria]],parametr[kategoria],parametr[typ])</f>
        <v>wydatki</v>
      </c>
      <c r="I656" s="1">
        <f>ABS(transakcje[[#This Row],[kwota]])</f>
        <v>13.821999999999999</v>
      </c>
    </row>
    <row r="657" spans="1:9" x14ac:dyDescent="0.3">
      <c r="A657">
        <v>656</v>
      </c>
      <c r="B657">
        <v>2012</v>
      </c>
      <c r="C657">
        <v>9</v>
      </c>
      <c r="D657">
        <v>15</v>
      </c>
      <c r="E657" s="1">
        <v>-0.8</v>
      </c>
      <c r="F657" t="s">
        <v>14</v>
      </c>
      <c r="G657" t="str">
        <f>_xlfn.XLOOKUP(transakcje[[#This Row],[podkategoria]],parametr[podkategoria],parametr[kategoria])</f>
        <v>opłaty stałe</v>
      </c>
      <c r="H657" t="str">
        <f>_xlfn.XLOOKUP(transakcje[[#This Row],[kategoria]],parametr[kategoria],parametr[typ])</f>
        <v>wydatki</v>
      </c>
      <c r="I657" s="1">
        <f>ABS(transakcje[[#This Row],[kwota]])</f>
        <v>0.8</v>
      </c>
    </row>
    <row r="658" spans="1:9" x14ac:dyDescent="0.3">
      <c r="A658">
        <v>657</v>
      </c>
      <c r="B658">
        <v>2012</v>
      </c>
      <c r="C658">
        <v>9</v>
      </c>
      <c r="D658">
        <v>17</v>
      </c>
      <c r="E658" s="1">
        <v>-29.442</v>
      </c>
      <c r="F658" t="s">
        <v>26</v>
      </c>
      <c r="G658" t="str">
        <f>_xlfn.XLOOKUP(transakcje[[#This Row],[podkategoria]],parametr[podkategoria],parametr[kategoria])</f>
        <v>życie</v>
      </c>
      <c r="H658" t="str">
        <f>_xlfn.XLOOKUP(transakcje[[#This Row],[kategoria]],parametr[kategoria],parametr[typ])</f>
        <v>wydatki</v>
      </c>
      <c r="I658" s="1">
        <f>ABS(transakcje[[#This Row],[kwota]])</f>
        <v>29.442</v>
      </c>
    </row>
    <row r="659" spans="1:9" x14ac:dyDescent="0.3">
      <c r="A659">
        <v>658</v>
      </c>
      <c r="B659">
        <v>2012</v>
      </c>
      <c r="C659">
        <v>9</v>
      </c>
      <c r="D659">
        <v>18</v>
      </c>
      <c r="E659" s="1">
        <v>-0.39800000000000002</v>
      </c>
      <c r="F659" t="s">
        <v>14</v>
      </c>
      <c r="G659" t="str">
        <f>_xlfn.XLOOKUP(transakcje[[#This Row],[podkategoria]],parametr[podkategoria],parametr[kategoria])</f>
        <v>opłaty stałe</v>
      </c>
      <c r="H659" t="str">
        <f>_xlfn.XLOOKUP(transakcje[[#This Row],[kategoria]],parametr[kategoria],parametr[typ])</f>
        <v>wydatki</v>
      </c>
      <c r="I659" s="1">
        <f>ABS(transakcje[[#This Row],[kwota]])</f>
        <v>0.39800000000000002</v>
      </c>
    </row>
    <row r="660" spans="1:9" x14ac:dyDescent="0.3">
      <c r="A660">
        <v>659</v>
      </c>
      <c r="B660">
        <v>2012</v>
      </c>
      <c r="C660">
        <v>9</v>
      </c>
      <c r="D660">
        <v>22</v>
      </c>
      <c r="E660" s="1">
        <v>-33.998000000000005</v>
      </c>
      <c r="F660" t="s">
        <v>11</v>
      </c>
      <c r="G660" t="str">
        <f>_xlfn.XLOOKUP(transakcje[[#This Row],[podkategoria]],parametr[podkategoria],parametr[kategoria])</f>
        <v>wydatki inne</v>
      </c>
      <c r="H660" t="str">
        <f>_xlfn.XLOOKUP(transakcje[[#This Row],[kategoria]],parametr[kategoria],parametr[typ])</f>
        <v>wydatki</v>
      </c>
      <c r="I660" s="1">
        <f>ABS(transakcje[[#This Row],[kwota]])</f>
        <v>33.998000000000005</v>
      </c>
    </row>
    <row r="661" spans="1:9" x14ac:dyDescent="0.3">
      <c r="A661">
        <v>660</v>
      </c>
      <c r="B661">
        <v>2012</v>
      </c>
      <c r="C661">
        <v>9</v>
      </c>
      <c r="D661">
        <v>25</v>
      </c>
      <c r="E661" s="1">
        <v>417.81200000000001</v>
      </c>
      <c r="F661" t="s">
        <v>8</v>
      </c>
      <c r="G661" t="str">
        <f>_xlfn.XLOOKUP(transakcje[[#This Row],[podkategoria]],parametr[podkategoria],parametr[kategoria])</f>
        <v>dochody z pracy</v>
      </c>
      <c r="H661" t="str">
        <f>_xlfn.XLOOKUP(transakcje[[#This Row],[kategoria]],parametr[kategoria],parametr[typ])</f>
        <v>dochody</v>
      </c>
      <c r="I661" s="1">
        <f>ABS(transakcje[[#This Row],[kwota]])</f>
        <v>417.81200000000001</v>
      </c>
    </row>
    <row r="662" spans="1:9" x14ac:dyDescent="0.3">
      <c r="A662">
        <v>661</v>
      </c>
      <c r="B662">
        <v>2012</v>
      </c>
      <c r="C662">
        <v>9</v>
      </c>
      <c r="D662">
        <v>27</v>
      </c>
      <c r="E662" s="1">
        <v>-16.2</v>
      </c>
      <c r="F662" t="s">
        <v>32</v>
      </c>
      <c r="G662" t="str">
        <f>_xlfn.XLOOKUP(transakcje[[#This Row],[podkategoria]],parametr[podkategoria],parametr[kategoria])</f>
        <v>opłaty stałe</v>
      </c>
      <c r="H662" t="str">
        <f>_xlfn.XLOOKUP(transakcje[[#This Row],[kategoria]],parametr[kategoria],parametr[typ])</f>
        <v>wydatki</v>
      </c>
      <c r="I662" s="1">
        <f>ABS(transakcje[[#This Row],[kwota]])</f>
        <v>16.2</v>
      </c>
    </row>
    <row r="663" spans="1:9" x14ac:dyDescent="0.3">
      <c r="A663">
        <v>662</v>
      </c>
      <c r="B663">
        <v>2012</v>
      </c>
      <c r="C663">
        <v>9</v>
      </c>
      <c r="D663">
        <v>30</v>
      </c>
      <c r="E663" s="1">
        <v>2E-3</v>
      </c>
      <c r="F663" t="s">
        <v>17</v>
      </c>
      <c r="G663" t="str">
        <f>_xlfn.XLOOKUP(transakcje[[#This Row],[podkategoria]],parametr[podkategoria],parametr[kategoria])</f>
        <v>dochody pozostałe</v>
      </c>
      <c r="H663" t="str">
        <f>_xlfn.XLOOKUP(transakcje[[#This Row],[kategoria]],parametr[kategoria],parametr[typ])</f>
        <v>dochody</v>
      </c>
      <c r="I663" s="1">
        <f>ABS(transakcje[[#This Row],[kwota]])</f>
        <v>2E-3</v>
      </c>
    </row>
    <row r="664" spans="1:9" x14ac:dyDescent="0.3">
      <c r="A664">
        <v>663</v>
      </c>
      <c r="B664">
        <v>2012</v>
      </c>
      <c r="C664">
        <v>9</v>
      </c>
      <c r="D664">
        <v>30</v>
      </c>
      <c r="E664" s="1">
        <v>-1.198</v>
      </c>
      <c r="F664" t="s">
        <v>14</v>
      </c>
      <c r="G664" t="str">
        <f>_xlfn.XLOOKUP(transakcje[[#This Row],[podkategoria]],parametr[podkategoria],parametr[kategoria])</f>
        <v>opłaty stałe</v>
      </c>
      <c r="H664" t="str">
        <f>_xlfn.XLOOKUP(transakcje[[#This Row],[kategoria]],parametr[kategoria],parametr[typ])</f>
        <v>wydatki</v>
      </c>
      <c r="I664" s="1">
        <f>ABS(transakcje[[#This Row],[kwota]])</f>
        <v>1.198</v>
      </c>
    </row>
    <row r="665" spans="1:9" x14ac:dyDescent="0.3">
      <c r="A665">
        <v>664</v>
      </c>
      <c r="B665">
        <v>2012</v>
      </c>
      <c r="C665">
        <v>9</v>
      </c>
      <c r="D665">
        <v>30</v>
      </c>
      <c r="E665" s="1">
        <v>-0.4</v>
      </c>
      <c r="F665" t="s">
        <v>14</v>
      </c>
      <c r="G665" t="str">
        <f>_xlfn.XLOOKUP(transakcje[[#This Row],[podkategoria]],parametr[podkategoria],parametr[kategoria])</f>
        <v>opłaty stałe</v>
      </c>
      <c r="H665" t="str">
        <f>_xlfn.XLOOKUP(transakcje[[#This Row],[kategoria]],parametr[kategoria],parametr[typ])</f>
        <v>wydatki</v>
      </c>
      <c r="I665" s="1">
        <f>ABS(transakcje[[#This Row],[kwota]])</f>
        <v>0.4</v>
      </c>
    </row>
    <row r="666" spans="1:9" x14ac:dyDescent="0.3">
      <c r="A666">
        <v>665</v>
      </c>
      <c r="B666">
        <v>2012</v>
      </c>
      <c r="C666">
        <v>9</v>
      </c>
      <c r="D666">
        <v>30</v>
      </c>
      <c r="E666" s="1">
        <v>-2E-3</v>
      </c>
      <c r="F666" t="s">
        <v>14</v>
      </c>
      <c r="G666" t="str">
        <f>_xlfn.XLOOKUP(transakcje[[#This Row],[podkategoria]],parametr[podkategoria],parametr[kategoria])</f>
        <v>opłaty stałe</v>
      </c>
      <c r="H666" t="str">
        <f>_xlfn.XLOOKUP(transakcje[[#This Row],[kategoria]],parametr[kategoria],parametr[typ])</f>
        <v>wydatki</v>
      </c>
      <c r="I666" s="1">
        <f>ABS(transakcje[[#This Row],[kwota]])</f>
        <v>2E-3</v>
      </c>
    </row>
    <row r="667" spans="1:9" x14ac:dyDescent="0.3">
      <c r="A667">
        <v>666</v>
      </c>
      <c r="B667">
        <v>2012</v>
      </c>
      <c r="C667">
        <v>10</v>
      </c>
      <c r="D667">
        <v>1</v>
      </c>
      <c r="E667" s="1">
        <v>-7.9799999999999995</v>
      </c>
      <c r="F667" t="s">
        <v>25</v>
      </c>
      <c r="G667" t="str">
        <f>_xlfn.XLOOKUP(transakcje[[#This Row],[podkategoria]],parametr[podkategoria],parametr[kategoria])</f>
        <v>opłaty stałe</v>
      </c>
      <c r="H667" t="str">
        <f>_xlfn.XLOOKUP(transakcje[[#This Row],[kategoria]],parametr[kategoria],parametr[typ])</f>
        <v>wydatki</v>
      </c>
      <c r="I667" s="1">
        <f>ABS(transakcje[[#This Row],[kwota]])</f>
        <v>7.9799999999999995</v>
      </c>
    </row>
    <row r="668" spans="1:9" x14ac:dyDescent="0.3">
      <c r="A668">
        <v>667</v>
      </c>
      <c r="B668">
        <v>2012</v>
      </c>
      <c r="C668">
        <v>10</v>
      </c>
      <c r="D668">
        <v>1</v>
      </c>
      <c r="E668" s="1">
        <v>-48.076000000000001</v>
      </c>
      <c r="F668" t="s">
        <v>31</v>
      </c>
      <c r="G668" t="str">
        <f>_xlfn.XLOOKUP(transakcje[[#This Row],[podkategoria]],parametr[podkategoria],parametr[kategoria])</f>
        <v>opłaty stałe</v>
      </c>
      <c r="H668" t="str">
        <f>_xlfn.XLOOKUP(transakcje[[#This Row],[kategoria]],parametr[kategoria],parametr[typ])</f>
        <v>wydatki</v>
      </c>
      <c r="I668" s="1">
        <f>ABS(transakcje[[#This Row],[kwota]])</f>
        <v>48.076000000000001</v>
      </c>
    </row>
    <row r="669" spans="1:9" x14ac:dyDescent="0.3">
      <c r="A669">
        <v>668</v>
      </c>
      <c r="B669">
        <v>2012</v>
      </c>
      <c r="C669">
        <v>10</v>
      </c>
      <c r="D669">
        <v>1</v>
      </c>
      <c r="E669" s="1">
        <v>-6.5680000000000005</v>
      </c>
      <c r="F669" t="s">
        <v>35</v>
      </c>
      <c r="G669" t="str">
        <f>_xlfn.XLOOKUP(transakcje[[#This Row],[podkategoria]],parametr[podkategoria],parametr[kategoria])</f>
        <v>opłaty stałe</v>
      </c>
      <c r="H669" t="str">
        <f>_xlfn.XLOOKUP(transakcje[[#This Row],[kategoria]],parametr[kategoria],parametr[typ])</f>
        <v>wydatki</v>
      </c>
      <c r="I669" s="1">
        <f>ABS(transakcje[[#This Row],[kwota]])</f>
        <v>6.5680000000000005</v>
      </c>
    </row>
    <row r="670" spans="1:9" x14ac:dyDescent="0.3">
      <c r="A670">
        <v>669</v>
      </c>
      <c r="B670">
        <v>2012</v>
      </c>
      <c r="C670">
        <v>10</v>
      </c>
      <c r="D670">
        <v>1</v>
      </c>
      <c r="E670" s="1">
        <v>-9.7200000000000006</v>
      </c>
      <c r="F670" t="s">
        <v>23</v>
      </c>
      <c r="G670" t="str">
        <f>_xlfn.XLOOKUP(transakcje[[#This Row],[podkategoria]],parametr[podkategoria],parametr[kategoria])</f>
        <v>opłaty stałe</v>
      </c>
      <c r="H670" t="str">
        <f>_xlfn.XLOOKUP(transakcje[[#This Row],[kategoria]],parametr[kategoria],parametr[typ])</f>
        <v>wydatki</v>
      </c>
      <c r="I670" s="1">
        <f>ABS(transakcje[[#This Row],[kwota]])</f>
        <v>9.7200000000000006</v>
      </c>
    </row>
    <row r="671" spans="1:9" x14ac:dyDescent="0.3">
      <c r="A671">
        <v>670</v>
      </c>
      <c r="B671">
        <v>2012</v>
      </c>
      <c r="C671">
        <v>10</v>
      </c>
      <c r="D671">
        <v>3</v>
      </c>
      <c r="E671" s="1">
        <v>-3.1059999999999999</v>
      </c>
      <c r="F671" t="s">
        <v>26</v>
      </c>
      <c r="G671" t="str">
        <f>_xlfn.XLOOKUP(transakcje[[#This Row],[podkategoria]],parametr[podkategoria],parametr[kategoria])</f>
        <v>życie</v>
      </c>
      <c r="H671" t="str">
        <f>_xlfn.XLOOKUP(transakcje[[#This Row],[kategoria]],parametr[kategoria],parametr[typ])</f>
        <v>wydatki</v>
      </c>
      <c r="I671" s="1">
        <f>ABS(transakcje[[#This Row],[kwota]])</f>
        <v>3.1059999999999999</v>
      </c>
    </row>
    <row r="672" spans="1:9" x14ac:dyDescent="0.3">
      <c r="A672">
        <v>671</v>
      </c>
      <c r="B672">
        <v>2012</v>
      </c>
      <c r="C672">
        <v>10</v>
      </c>
      <c r="D672">
        <v>4</v>
      </c>
      <c r="E672" s="1">
        <v>-7.3659999999999997</v>
      </c>
      <c r="F672" t="s">
        <v>26</v>
      </c>
      <c r="G672" t="str">
        <f>_xlfn.XLOOKUP(transakcje[[#This Row],[podkategoria]],parametr[podkategoria],parametr[kategoria])</f>
        <v>życie</v>
      </c>
      <c r="H672" t="str">
        <f>_xlfn.XLOOKUP(transakcje[[#This Row],[kategoria]],parametr[kategoria],parametr[typ])</f>
        <v>wydatki</v>
      </c>
      <c r="I672" s="1">
        <f>ABS(transakcje[[#This Row],[kwota]])</f>
        <v>7.3659999999999997</v>
      </c>
    </row>
    <row r="673" spans="1:9" x14ac:dyDescent="0.3">
      <c r="A673">
        <v>672</v>
      </c>
      <c r="B673">
        <v>2012</v>
      </c>
      <c r="C673">
        <v>10</v>
      </c>
      <c r="D673">
        <v>7</v>
      </c>
      <c r="E673" s="1">
        <v>-1.6600000000000001</v>
      </c>
      <c r="F673" t="s">
        <v>26</v>
      </c>
      <c r="G673" t="str">
        <f>_xlfn.XLOOKUP(transakcje[[#This Row],[podkategoria]],parametr[podkategoria],parametr[kategoria])</f>
        <v>życie</v>
      </c>
      <c r="H673" t="str">
        <f>_xlfn.XLOOKUP(transakcje[[#This Row],[kategoria]],parametr[kategoria],parametr[typ])</f>
        <v>wydatki</v>
      </c>
      <c r="I673" s="1">
        <f>ABS(transakcje[[#This Row],[kwota]])</f>
        <v>1.6600000000000001</v>
      </c>
    </row>
    <row r="674" spans="1:9" x14ac:dyDescent="0.3">
      <c r="A674">
        <v>673</v>
      </c>
      <c r="B674">
        <v>2012</v>
      </c>
      <c r="C674">
        <v>10</v>
      </c>
      <c r="D674">
        <v>8</v>
      </c>
      <c r="E674" s="1">
        <v>-6.92</v>
      </c>
      <c r="F674" t="s">
        <v>26</v>
      </c>
      <c r="G674" t="str">
        <f>_xlfn.XLOOKUP(transakcje[[#This Row],[podkategoria]],parametr[podkategoria],parametr[kategoria])</f>
        <v>życie</v>
      </c>
      <c r="H674" t="str">
        <f>_xlfn.XLOOKUP(transakcje[[#This Row],[kategoria]],parametr[kategoria],parametr[typ])</f>
        <v>wydatki</v>
      </c>
      <c r="I674" s="1">
        <f>ABS(transakcje[[#This Row],[kwota]])</f>
        <v>6.92</v>
      </c>
    </row>
    <row r="675" spans="1:9" x14ac:dyDescent="0.3">
      <c r="A675">
        <v>674</v>
      </c>
      <c r="B675">
        <v>2012</v>
      </c>
      <c r="C675">
        <v>10</v>
      </c>
      <c r="D675">
        <v>8</v>
      </c>
      <c r="E675" s="1">
        <v>-40</v>
      </c>
      <c r="F675" t="s">
        <v>11</v>
      </c>
      <c r="G675" t="str">
        <f>_xlfn.XLOOKUP(transakcje[[#This Row],[podkategoria]],parametr[podkategoria],parametr[kategoria])</f>
        <v>wydatki inne</v>
      </c>
      <c r="H675" t="str">
        <f>_xlfn.XLOOKUP(transakcje[[#This Row],[kategoria]],parametr[kategoria],parametr[typ])</f>
        <v>wydatki</v>
      </c>
      <c r="I675" s="1">
        <f>ABS(transakcje[[#This Row],[kwota]])</f>
        <v>40</v>
      </c>
    </row>
    <row r="676" spans="1:9" x14ac:dyDescent="0.3">
      <c r="A676">
        <v>675</v>
      </c>
      <c r="B676">
        <v>2012</v>
      </c>
      <c r="C676">
        <v>10</v>
      </c>
      <c r="D676">
        <v>8</v>
      </c>
      <c r="E676" s="1">
        <v>-4.5979999999999999</v>
      </c>
      <c r="F676" t="s">
        <v>26</v>
      </c>
      <c r="G676" t="str">
        <f>_xlfn.XLOOKUP(transakcje[[#This Row],[podkategoria]],parametr[podkategoria],parametr[kategoria])</f>
        <v>życie</v>
      </c>
      <c r="H676" t="str">
        <f>_xlfn.XLOOKUP(transakcje[[#This Row],[kategoria]],parametr[kategoria],parametr[typ])</f>
        <v>wydatki</v>
      </c>
      <c r="I676" s="1">
        <f>ABS(transakcje[[#This Row],[kwota]])</f>
        <v>4.5979999999999999</v>
      </c>
    </row>
    <row r="677" spans="1:9" x14ac:dyDescent="0.3">
      <c r="A677">
        <v>676</v>
      </c>
      <c r="B677">
        <v>2012</v>
      </c>
      <c r="C677">
        <v>10</v>
      </c>
      <c r="D677">
        <v>12</v>
      </c>
      <c r="E677" s="1">
        <v>-4.8959999999999999</v>
      </c>
      <c r="F677" t="s">
        <v>26</v>
      </c>
      <c r="G677" t="str">
        <f>_xlfn.XLOOKUP(transakcje[[#This Row],[podkategoria]],parametr[podkategoria],parametr[kategoria])</f>
        <v>życie</v>
      </c>
      <c r="H677" t="str">
        <f>_xlfn.XLOOKUP(transakcje[[#This Row],[kategoria]],parametr[kategoria],parametr[typ])</f>
        <v>wydatki</v>
      </c>
      <c r="I677" s="1">
        <f>ABS(transakcje[[#This Row],[kwota]])</f>
        <v>4.8959999999999999</v>
      </c>
    </row>
    <row r="678" spans="1:9" x14ac:dyDescent="0.3">
      <c r="A678">
        <v>677</v>
      </c>
      <c r="B678">
        <v>2012</v>
      </c>
      <c r="C678">
        <v>10</v>
      </c>
      <c r="D678">
        <v>15</v>
      </c>
      <c r="E678" s="1">
        <v>-0.8</v>
      </c>
      <c r="F678" t="s">
        <v>14</v>
      </c>
      <c r="G678" t="str">
        <f>_xlfn.XLOOKUP(transakcje[[#This Row],[podkategoria]],parametr[podkategoria],parametr[kategoria])</f>
        <v>opłaty stałe</v>
      </c>
      <c r="H678" t="str">
        <f>_xlfn.XLOOKUP(transakcje[[#This Row],[kategoria]],parametr[kategoria],parametr[typ])</f>
        <v>wydatki</v>
      </c>
      <c r="I678" s="1">
        <f>ABS(transakcje[[#This Row],[kwota]])</f>
        <v>0.8</v>
      </c>
    </row>
    <row r="679" spans="1:9" x14ac:dyDescent="0.3">
      <c r="A679">
        <v>678</v>
      </c>
      <c r="B679">
        <v>2012</v>
      </c>
      <c r="C679">
        <v>10</v>
      </c>
      <c r="D679">
        <v>16</v>
      </c>
      <c r="E679" s="1">
        <v>-0.39800000000000002</v>
      </c>
      <c r="F679" t="s">
        <v>14</v>
      </c>
      <c r="G679" t="str">
        <f>_xlfn.XLOOKUP(transakcje[[#This Row],[podkategoria]],parametr[podkategoria],parametr[kategoria])</f>
        <v>opłaty stałe</v>
      </c>
      <c r="H679" t="str">
        <f>_xlfn.XLOOKUP(transakcje[[#This Row],[kategoria]],parametr[kategoria],parametr[typ])</f>
        <v>wydatki</v>
      </c>
      <c r="I679" s="1">
        <f>ABS(transakcje[[#This Row],[kwota]])</f>
        <v>0.39800000000000002</v>
      </c>
    </row>
    <row r="680" spans="1:9" x14ac:dyDescent="0.3">
      <c r="A680">
        <v>679</v>
      </c>
      <c r="B680">
        <v>2012</v>
      </c>
      <c r="C680">
        <v>10</v>
      </c>
      <c r="D680">
        <v>17</v>
      </c>
      <c r="E680" s="1">
        <v>-16.641999999999999</v>
      </c>
      <c r="F680" t="s">
        <v>26</v>
      </c>
      <c r="G680" t="str">
        <f>_xlfn.XLOOKUP(transakcje[[#This Row],[podkategoria]],parametr[podkategoria],parametr[kategoria])</f>
        <v>życie</v>
      </c>
      <c r="H680" t="str">
        <f>_xlfn.XLOOKUP(transakcje[[#This Row],[kategoria]],parametr[kategoria],parametr[typ])</f>
        <v>wydatki</v>
      </c>
      <c r="I680" s="1">
        <f>ABS(transakcje[[#This Row],[kwota]])</f>
        <v>16.641999999999999</v>
      </c>
    </row>
    <row r="681" spans="1:9" x14ac:dyDescent="0.3">
      <c r="A681">
        <v>680</v>
      </c>
      <c r="B681">
        <v>2012</v>
      </c>
      <c r="C681">
        <v>10</v>
      </c>
      <c r="D681">
        <v>25</v>
      </c>
      <c r="E681" s="1">
        <v>600</v>
      </c>
      <c r="F681" t="s">
        <v>28</v>
      </c>
      <c r="G681" t="str">
        <f>_xlfn.XLOOKUP(transakcje[[#This Row],[podkategoria]],parametr[podkategoria],parametr[kategoria])</f>
        <v>dochody pozostałe</v>
      </c>
      <c r="H681" t="str">
        <f>_xlfn.XLOOKUP(transakcje[[#This Row],[kategoria]],parametr[kategoria],parametr[typ])</f>
        <v>dochody</v>
      </c>
      <c r="I681" s="1">
        <f>ABS(transakcje[[#This Row],[kwota]])</f>
        <v>600</v>
      </c>
    </row>
    <row r="682" spans="1:9" x14ac:dyDescent="0.3">
      <c r="A682">
        <v>681</v>
      </c>
      <c r="B682">
        <v>2012</v>
      </c>
      <c r="C682">
        <v>10</v>
      </c>
      <c r="D682">
        <v>25</v>
      </c>
      <c r="E682" s="1">
        <v>417.81200000000001</v>
      </c>
      <c r="F682" t="s">
        <v>8</v>
      </c>
      <c r="G682" t="str">
        <f>_xlfn.XLOOKUP(transakcje[[#This Row],[podkategoria]],parametr[podkategoria],parametr[kategoria])</f>
        <v>dochody z pracy</v>
      </c>
      <c r="H682" t="str">
        <f>_xlfn.XLOOKUP(transakcje[[#This Row],[kategoria]],parametr[kategoria],parametr[typ])</f>
        <v>dochody</v>
      </c>
      <c r="I682" s="1">
        <f>ABS(transakcje[[#This Row],[kwota]])</f>
        <v>417.81200000000001</v>
      </c>
    </row>
    <row r="683" spans="1:9" x14ac:dyDescent="0.3">
      <c r="A683">
        <v>682</v>
      </c>
      <c r="B683">
        <v>2012</v>
      </c>
      <c r="C683">
        <v>10</v>
      </c>
      <c r="D683">
        <v>27</v>
      </c>
      <c r="E683" s="1">
        <v>-1.6600000000000001</v>
      </c>
      <c r="F683" t="s">
        <v>26</v>
      </c>
      <c r="G683" t="str">
        <f>_xlfn.XLOOKUP(transakcje[[#This Row],[podkategoria]],parametr[podkategoria],parametr[kategoria])</f>
        <v>życie</v>
      </c>
      <c r="H683" t="str">
        <f>_xlfn.XLOOKUP(transakcje[[#This Row],[kategoria]],parametr[kategoria],parametr[typ])</f>
        <v>wydatki</v>
      </c>
      <c r="I683" s="1">
        <f>ABS(transakcje[[#This Row],[kwota]])</f>
        <v>1.6600000000000001</v>
      </c>
    </row>
    <row r="684" spans="1:9" x14ac:dyDescent="0.3">
      <c r="A684">
        <v>683</v>
      </c>
      <c r="B684">
        <v>2012</v>
      </c>
      <c r="C684">
        <v>10</v>
      </c>
      <c r="D684">
        <v>27</v>
      </c>
      <c r="E684" s="1">
        <v>-46.4</v>
      </c>
      <c r="F684" t="s">
        <v>30</v>
      </c>
      <c r="G684" t="str">
        <f>_xlfn.XLOOKUP(transakcje[[#This Row],[podkategoria]],parametr[podkategoria],parametr[kategoria])</f>
        <v>opłaty stałe</v>
      </c>
      <c r="H684" t="str">
        <f>_xlfn.XLOOKUP(transakcje[[#This Row],[kategoria]],parametr[kategoria],parametr[typ])</f>
        <v>wydatki</v>
      </c>
      <c r="I684" s="1">
        <f>ABS(transakcje[[#This Row],[kwota]])</f>
        <v>46.4</v>
      </c>
    </row>
    <row r="685" spans="1:9" x14ac:dyDescent="0.3">
      <c r="A685">
        <v>684</v>
      </c>
      <c r="B685">
        <v>2012</v>
      </c>
      <c r="C685">
        <v>10</v>
      </c>
      <c r="D685">
        <v>29</v>
      </c>
      <c r="E685" s="1">
        <v>-16.2</v>
      </c>
      <c r="F685" t="s">
        <v>32</v>
      </c>
      <c r="G685" t="str">
        <f>_xlfn.XLOOKUP(transakcje[[#This Row],[podkategoria]],parametr[podkategoria],parametr[kategoria])</f>
        <v>opłaty stałe</v>
      </c>
      <c r="H685" t="str">
        <f>_xlfn.XLOOKUP(transakcje[[#This Row],[kategoria]],parametr[kategoria],parametr[typ])</f>
        <v>wydatki</v>
      </c>
      <c r="I685" s="1">
        <f>ABS(transakcje[[#This Row],[kwota]])</f>
        <v>16.2</v>
      </c>
    </row>
    <row r="686" spans="1:9" x14ac:dyDescent="0.3">
      <c r="A686">
        <v>685</v>
      </c>
      <c r="B686">
        <v>2012</v>
      </c>
      <c r="C686">
        <v>10</v>
      </c>
      <c r="D686">
        <v>31</v>
      </c>
      <c r="E686" s="1">
        <v>2E-3</v>
      </c>
      <c r="F686" t="s">
        <v>17</v>
      </c>
      <c r="G686" t="str">
        <f>_xlfn.XLOOKUP(transakcje[[#This Row],[podkategoria]],parametr[podkategoria],parametr[kategoria])</f>
        <v>dochody pozostałe</v>
      </c>
      <c r="H686" t="str">
        <f>_xlfn.XLOOKUP(transakcje[[#This Row],[kategoria]],parametr[kategoria],parametr[typ])</f>
        <v>dochody</v>
      </c>
      <c r="I686" s="1">
        <f>ABS(transakcje[[#This Row],[kwota]])</f>
        <v>2E-3</v>
      </c>
    </row>
    <row r="687" spans="1:9" x14ac:dyDescent="0.3">
      <c r="A687">
        <v>686</v>
      </c>
      <c r="B687">
        <v>2012</v>
      </c>
      <c r="C687">
        <v>10</v>
      </c>
      <c r="D687">
        <v>31</v>
      </c>
      <c r="E687" s="1">
        <v>-1.198</v>
      </c>
      <c r="F687" t="s">
        <v>14</v>
      </c>
      <c r="G687" t="str">
        <f>_xlfn.XLOOKUP(transakcje[[#This Row],[podkategoria]],parametr[podkategoria],parametr[kategoria])</f>
        <v>opłaty stałe</v>
      </c>
      <c r="H687" t="str">
        <f>_xlfn.XLOOKUP(transakcje[[#This Row],[kategoria]],parametr[kategoria],parametr[typ])</f>
        <v>wydatki</v>
      </c>
      <c r="I687" s="1">
        <f>ABS(transakcje[[#This Row],[kwota]])</f>
        <v>1.198</v>
      </c>
    </row>
    <row r="688" spans="1:9" x14ac:dyDescent="0.3">
      <c r="A688">
        <v>687</v>
      </c>
      <c r="B688">
        <v>2012</v>
      </c>
      <c r="C688">
        <v>10</v>
      </c>
      <c r="D688">
        <v>31</v>
      </c>
      <c r="E688" s="1">
        <v>-0.8</v>
      </c>
      <c r="F688" t="s">
        <v>14</v>
      </c>
      <c r="G688" t="str">
        <f>_xlfn.XLOOKUP(transakcje[[#This Row],[podkategoria]],parametr[podkategoria],parametr[kategoria])</f>
        <v>opłaty stałe</v>
      </c>
      <c r="H688" t="str">
        <f>_xlfn.XLOOKUP(transakcje[[#This Row],[kategoria]],parametr[kategoria],parametr[typ])</f>
        <v>wydatki</v>
      </c>
      <c r="I688" s="1">
        <f>ABS(transakcje[[#This Row],[kwota]])</f>
        <v>0.8</v>
      </c>
    </row>
    <row r="689" spans="1:9" x14ac:dyDescent="0.3">
      <c r="A689">
        <v>688</v>
      </c>
      <c r="B689">
        <v>2012</v>
      </c>
      <c r="C689">
        <v>10</v>
      </c>
      <c r="D689">
        <v>31</v>
      </c>
      <c r="E689" s="1">
        <v>-2E-3</v>
      </c>
      <c r="F689" t="s">
        <v>14</v>
      </c>
      <c r="G689" t="str">
        <f>_xlfn.XLOOKUP(transakcje[[#This Row],[podkategoria]],parametr[podkategoria],parametr[kategoria])</f>
        <v>opłaty stałe</v>
      </c>
      <c r="H689" t="str">
        <f>_xlfn.XLOOKUP(transakcje[[#This Row],[kategoria]],parametr[kategoria],parametr[typ])</f>
        <v>wydatki</v>
      </c>
      <c r="I689" s="1">
        <f>ABS(transakcje[[#This Row],[kwota]])</f>
        <v>2E-3</v>
      </c>
    </row>
    <row r="690" spans="1:9" x14ac:dyDescent="0.3">
      <c r="A690">
        <v>689</v>
      </c>
      <c r="B690">
        <v>2012</v>
      </c>
      <c r="C690">
        <v>11</v>
      </c>
      <c r="D690">
        <v>1</v>
      </c>
      <c r="E690" s="1">
        <v>-7.9799999999999995</v>
      </c>
      <c r="F690" t="s">
        <v>25</v>
      </c>
      <c r="G690" t="str">
        <f>_xlfn.XLOOKUP(transakcje[[#This Row],[podkategoria]],parametr[podkategoria],parametr[kategoria])</f>
        <v>opłaty stałe</v>
      </c>
      <c r="H690" t="str">
        <f>_xlfn.XLOOKUP(transakcje[[#This Row],[kategoria]],parametr[kategoria],parametr[typ])</f>
        <v>wydatki</v>
      </c>
      <c r="I690" s="1">
        <f>ABS(transakcje[[#This Row],[kwota]])</f>
        <v>7.9799999999999995</v>
      </c>
    </row>
    <row r="691" spans="1:9" x14ac:dyDescent="0.3">
      <c r="A691">
        <v>690</v>
      </c>
      <c r="B691">
        <v>2012</v>
      </c>
      <c r="C691">
        <v>11</v>
      </c>
      <c r="D691">
        <v>1</v>
      </c>
      <c r="E691" s="1">
        <v>-48.076000000000001</v>
      </c>
      <c r="F691" t="s">
        <v>31</v>
      </c>
      <c r="G691" t="str">
        <f>_xlfn.XLOOKUP(transakcje[[#This Row],[podkategoria]],parametr[podkategoria],parametr[kategoria])</f>
        <v>opłaty stałe</v>
      </c>
      <c r="H691" t="str">
        <f>_xlfn.XLOOKUP(transakcje[[#This Row],[kategoria]],parametr[kategoria],parametr[typ])</f>
        <v>wydatki</v>
      </c>
      <c r="I691" s="1">
        <f>ABS(transakcje[[#This Row],[kwota]])</f>
        <v>48.076000000000001</v>
      </c>
    </row>
    <row r="692" spans="1:9" x14ac:dyDescent="0.3">
      <c r="A692">
        <v>691</v>
      </c>
      <c r="B692">
        <v>2012</v>
      </c>
      <c r="C692">
        <v>11</v>
      </c>
      <c r="D692">
        <v>1</v>
      </c>
      <c r="E692" s="1">
        <v>-6.5680000000000005</v>
      </c>
      <c r="F692" t="s">
        <v>35</v>
      </c>
      <c r="G692" t="str">
        <f>_xlfn.XLOOKUP(transakcje[[#This Row],[podkategoria]],parametr[podkategoria],parametr[kategoria])</f>
        <v>opłaty stałe</v>
      </c>
      <c r="H692" t="str">
        <f>_xlfn.XLOOKUP(transakcje[[#This Row],[kategoria]],parametr[kategoria],parametr[typ])</f>
        <v>wydatki</v>
      </c>
      <c r="I692" s="1">
        <f>ABS(transakcje[[#This Row],[kwota]])</f>
        <v>6.5680000000000005</v>
      </c>
    </row>
    <row r="693" spans="1:9" x14ac:dyDescent="0.3">
      <c r="A693">
        <v>692</v>
      </c>
      <c r="B693">
        <v>2012</v>
      </c>
      <c r="C693">
        <v>11</v>
      </c>
      <c r="D693">
        <v>1</v>
      </c>
      <c r="E693" s="1">
        <v>-9.7200000000000006</v>
      </c>
      <c r="F693" t="s">
        <v>23</v>
      </c>
      <c r="G693" t="str">
        <f>_xlfn.XLOOKUP(transakcje[[#This Row],[podkategoria]],parametr[podkategoria],parametr[kategoria])</f>
        <v>opłaty stałe</v>
      </c>
      <c r="H693" t="str">
        <f>_xlfn.XLOOKUP(transakcje[[#This Row],[kategoria]],parametr[kategoria],parametr[typ])</f>
        <v>wydatki</v>
      </c>
      <c r="I693" s="1">
        <f>ABS(transakcje[[#This Row],[kwota]])</f>
        <v>9.7200000000000006</v>
      </c>
    </row>
    <row r="694" spans="1:9" x14ac:dyDescent="0.3">
      <c r="A694">
        <v>693</v>
      </c>
      <c r="B694">
        <v>2012</v>
      </c>
      <c r="C694">
        <v>11</v>
      </c>
      <c r="D694">
        <v>1</v>
      </c>
      <c r="E694" s="1">
        <v>-18.05</v>
      </c>
      <c r="F694" t="s">
        <v>34</v>
      </c>
      <c r="G694" t="str">
        <f>_xlfn.XLOOKUP(transakcje[[#This Row],[podkategoria]],parametr[podkategoria],parametr[kategoria])</f>
        <v>opłaty stałe</v>
      </c>
      <c r="H694" t="str">
        <f>_xlfn.XLOOKUP(transakcje[[#This Row],[kategoria]],parametr[kategoria],parametr[typ])</f>
        <v>wydatki</v>
      </c>
      <c r="I694" s="1">
        <f>ABS(transakcje[[#This Row],[kwota]])</f>
        <v>18.05</v>
      </c>
    </row>
    <row r="695" spans="1:9" x14ac:dyDescent="0.3">
      <c r="A695">
        <v>694</v>
      </c>
      <c r="B695">
        <v>2012</v>
      </c>
      <c r="C695">
        <v>11</v>
      </c>
      <c r="D695">
        <v>2</v>
      </c>
      <c r="E695" s="1">
        <v>-19.997999999999998</v>
      </c>
      <c r="F695" t="s">
        <v>11</v>
      </c>
      <c r="G695" t="str">
        <f>_xlfn.XLOOKUP(transakcje[[#This Row],[podkategoria]],parametr[podkategoria],parametr[kategoria])</f>
        <v>wydatki inne</v>
      </c>
      <c r="H695" t="str">
        <f>_xlfn.XLOOKUP(transakcje[[#This Row],[kategoria]],parametr[kategoria],parametr[typ])</f>
        <v>wydatki</v>
      </c>
      <c r="I695" s="1">
        <f>ABS(transakcje[[#This Row],[kwota]])</f>
        <v>19.997999999999998</v>
      </c>
    </row>
    <row r="696" spans="1:9" x14ac:dyDescent="0.3">
      <c r="A696">
        <v>695</v>
      </c>
      <c r="B696">
        <v>2012</v>
      </c>
      <c r="C696">
        <v>11</v>
      </c>
      <c r="D696">
        <v>6</v>
      </c>
      <c r="E696" s="1">
        <v>75.205999999999989</v>
      </c>
      <c r="F696" t="s">
        <v>19</v>
      </c>
      <c r="G696" t="str">
        <f>_xlfn.XLOOKUP(transakcje[[#This Row],[podkategoria]],parametr[podkategoria],parametr[kategoria])</f>
        <v>dochody z pracy</v>
      </c>
      <c r="H696" t="str">
        <f>_xlfn.XLOOKUP(transakcje[[#This Row],[kategoria]],parametr[kategoria],parametr[typ])</f>
        <v>dochody</v>
      </c>
      <c r="I696" s="1">
        <f>ABS(transakcje[[#This Row],[kwota]])</f>
        <v>75.205999999999989</v>
      </c>
    </row>
    <row r="697" spans="1:9" x14ac:dyDescent="0.3">
      <c r="A697">
        <v>696</v>
      </c>
      <c r="B697">
        <v>2012</v>
      </c>
      <c r="C697">
        <v>11</v>
      </c>
      <c r="D697">
        <v>6</v>
      </c>
      <c r="E697" s="1">
        <v>-9.33</v>
      </c>
      <c r="F697" t="s">
        <v>26</v>
      </c>
      <c r="G697" t="str">
        <f>_xlfn.XLOOKUP(transakcje[[#This Row],[podkategoria]],parametr[podkategoria],parametr[kategoria])</f>
        <v>życie</v>
      </c>
      <c r="H697" t="str">
        <f>_xlfn.XLOOKUP(transakcje[[#This Row],[kategoria]],parametr[kategoria],parametr[typ])</f>
        <v>wydatki</v>
      </c>
      <c r="I697" s="1">
        <f>ABS(transakcje[[#This Row],[kwota]])</f>
        <v>9.33</v>
      </c>
    </row>
    <row r="698" spans="1:9" x14ac:dyDescent="0.3">
      <c r="A698">
        <v>697</v>
      </c>
      <c r="B698">
        <v>2012</v>
      </c>
      <c r="C698">
        <v>11</v>
      </c>
      <c r="D698">
        <v>7</v>
      </c>
      <c r="E698" s="1">
        <v>-18.234000000000002</v>
      </c>
      <c r="F698" t="s">
        <v>26</v>
      </c>
      <c r="G698" t="str">
        <f>_xlfn.XLOOKUP(transakcje[[#This Row],[podkategoria]],parametr[podkategoria],parametr[kategoria])</f>
        <v>życie</v>
      </c>
      <c r="H698" t="str">
        <f>_xlfn.XLOOKUP(transakcje[[#This Row],[kategoria]],parametr[kategoria],parametr[typ])</f>
        <v>wydatki</v>
      </c>
      <c r="I698" s="1">
        <f>ABS(transakcje[[#This Row],[kwota]])</f>
        <v>18.234000000000002</v>
      </c>
    </row>
    <row r="699" spans="1:9" x14ac:dyDescent="0.3">
      <c r="A699">
        <v>698</v>
      </c>
      <c r="B699">
        <v>2012</v>
      </c>
      <c r="C699">
        <v>11</v>
      </c>
      <c r="D699">
        <v>9</v>
      </c>
      <c r="E699" s="1">
        <v>-7</v>
      </c>
      <c r="F699" t="s">
        <v>26</v>
      </c>
      <c r="G699" t="str">
        <f>_xlfn.XLOOKUP(transakcje[[#This Row],[podkategoria]],parametr[podkategoria],parametr[kategoria])</f>
        <v>życie</v>
      </c>
      <c r="H699" t="str">
        <f>_xlfn.XLOOKUP(transakcje[[#This Row],[kategoria]],parametr[kategoria],parametr[typ])</f>
        <v>wydatki</v>
      </c>
      <c r="I699" s="1">
        <f>ABS(transakcje[[#This Row],[kwota]])</f>
        <v>7</v>
      </c>
    </row>
    <row r="700" spans="1:9" x14ac:dyDescent="0.3">
      <c r="A700">
        <v>699</v>
      </c>
      <c r="B700">
        <v>2012</v>
      </c>
      <c r="C700">
        <v>11</v>
      </c>
      <c r="D700">
        <v>12</v>
      </c>
      <c r="E700" s="1">
        <v>-0.39800000000000002</v>
      </c>
      <c r="F700" t="s">
        <v>14</v>
      </c>
      <c r="G700" t="str">
        <f>_xlfn.XLOOKUP(transakcje[[#This Row],[podkategoria]],parametr[podkategoria],parametr[kategoria])</f>
        <v>opłaty stałe</v>
      </c>
      <c r="H700" t="str">
        <f>_xlfn.XLOOKUP(transakcje[[#This Row],[kategoria]],parametr[kategoria],parametr[typ])</f>
        <v>wydatki</v>
      </c>
      <c r="I700" s="1">
        <f>ABS(transakcje[[#This Row],[kwota]])</f>
        <v>0.39800000000000002</v>
      </c>
    </row>
    <row r="701" spans="1:9" x14ac:dyDescent="0.3">
      <c r="A701">
        <v>700</v>
      </c>
      <c r="B701">
        <v>2012</v>
      </c>
      <c r="C701">
        <v>11</v>
      </c>
      <c r="D701">
        <v>15</v>
      </c>
      <c r="E701" s="1">
        <v>-0.8</v>
      </c>
      <c r="F701" t="s">
        <v>14</v>
      </c>
      <c r="G701" t="str">
        <f>_xlfn.XLOOKUP(transakcje[[#This Row],[podkategoria]],parametr[podkategoria],parametr[kategoria])</f>
        <v>opłaty stałe</v>
      </c>
      <c r="H701" t="str">
        <f>_xlfn.XLOOKUP(transakcje[[#This Row],[kategoria]],parametr[kategoria],parametr[typ])</f>
        <v>wydatki</v>
      </c>
      <c r="I701" s="1">
        <f>ABS(transakcje[[#This Row],[kwota]])</f>
        <v>0.8</v>
      </c>
    </row>
    <row r="702" spans="1:9" x14ac:dyDescent="0.3">
      <c r="A702">
        <v>701</v>
      </c>
      <c r="B702">
        <v>2012</v>
      </c>
      <c r="C702">
        <v>11</v>
      </c>
      <c r="D702">
        <v>15</v>
      </c>
      <c r="E702" s="1">
        <v>-16.875999999999998</v>
      </c>
      <c r="F702" t="s">
        <v>11</v>
      </c>
      <c r="G702" t="str">
        <f>_xlfn.XLOOKUP(transakcje[[#This Row],[podkategoria]],parametr[podkategoria],parametr[kategoria])</f>
        <v>wydatki inne</v>
      </c>
      <c r="H702" t="str">
        <f>_xlfn.XLOOKUP(transakcje[[#This Row],[kategoria]],parametr[kategoria],parametr[typ])</f>
        <v>wydatki</v>
      </c>
      <c r="I702" s="1">
        <f>ABS(transakcje[[#This Row],[kwota]])</f>
        <v>16.875999999999998</v>
      </c>
    </row>
    <row r="703" spans="1:9" x14ac:dyDescent="0.3">
      <c r="A703">
        <v>702</v>
      </c>
      <c r="B703">
        <v>2012</v>
      </c>
      <c r="C703">
        <v>11</v>
      </c>
      <c r="D703">
        <v>17</v>
      </c>
      <c r="E703" s="1">
        <v>-7</v>
      </c>
      <c r="F703" t="s">
        <v>26</v>
      </c>
      <c r="G703" t="str">
        <f>_xlfn.XLOOKUP(transakcje[[#This Row],[podkategoria]],parametr[podkategoria],parametr[kategoria])</f>
        <v>życie</v>
      </c>
      <c r="H703" t="str">
        <f>_xlfn.XLOOKUP(transakcje[[#This Row],[kategoria]],parametr[kategoria],parametr[typ])</f>
        <v>wydatki</v>
      </c>
      <c r="I703" s="1">
        <f>ABS(transakcje[[#This Row],[kwota]])</f>
        <v>7</v>
      </c>
    </row>
    <row r="704" spans="1:9" x14ac:dyDescent="0.3">
      <c r="A704">
        <v>703</v>
      </c>
      <c r="B704">
        <v>2012</v>
      </c>
      <c r="C704">
        <v>11</v>
      </c>
      <c r="D704">
        <v>21</v>
      </c>
      <c r="E704" s="1">
        <v>-37.989999999999995</v>
      </c>
      <c r="F704" t="s">
        <v>26</v>
      </c>
      <c r="G704" t="str">
        <f>_xlfn.XLOOKUP(transakcje[[#This Row],[podkategoria]],parametr[podkategoria],parametr[kategoria])</f>
        <v>życie</v>
      </c>
      <c r="H704" t="str">
        <f>_xlfn.XLOOKUP(transakcje[[#This Row],[kategoria]],parametr[kategoria],parametr[typ])</f>
        <v>wydatki</v>
      </c>
      <c r="I704" s="1">
        <f>ABS(transakcje[[#This Row],[kwota]])</f>
        <v>37.989999999999995</v>
      </c>
    </row>
    <row r="705" spans="1:9" x14ac:dyDescent="0.3">
      <c r="A705">
        <v>704</v>
      </c>
      <c r="B705">
        <v>2012</v>
      </c>
      <c r="C705">
        <v>11</v>
      </c>
      <c r="D705">
        <v>22</v>
      </c>
      <c r="E705" s="1">
        <v>-6.1959999999999997</v>
      </c>
      <c r="F705" t="s">
        <v>35</v>
      </c>
      <c r="G705" t="str">
        <f>_xlfn.XLOOKUP(transakcje[[#This Row],[podkategoria]],parametr[podkategoria],parametr[kategoria])</f>
        <v>opłaty stałe</v>
      </c>
      <c r="H705" t="str">
        <f>_xlfn.XLOOKUP(transakcje[[#This Row],[kategoria]],parametr[kategoria],parametr[typ])</f>
        <v>wydatki</v>
      </c>
      <c r="I705" s="1">
        <f>ABS(transakcje[[#This Row],[kwota]])</f>
        <v>6.1959999999999997</v>
      </c>
    </row>
    <row r="706" spans="1:9" x14ac:dyDescent="0.3">
      <c r="A706">
        <v>705</v>
      </c>
      <c r="B706">
        <v>2012</v>
      </c>
      <c r="C706">
        <v>11</v>
      </c>
      <c r="D706">
        <v>26</v>
      </c>
      <c r="E706" s="1">
        <v>-8</v>
      </c>
      <c r="F706" t="s">
        <v>26</v>
      </c>
      <c r="G706" t="str">
        <f>_xlfn.XLOOKUP(transakcje[[#This Row],[podkategoria]],parametr[podkategoria],parametr[kategoria])</f>
        <v>życie</v>
      </c>
      <c r="H706" t="str">
        <f>_xlfn.XLOOKUP(transakcje[[#This Row],[kategoria]],parametr[kategoria],parametr[typ])</f>
        <v>wydatki</v>
      </c>
      <c r="I706" s="1">
        <f>ABS(transakcje[[#This Row],[kwota]])</f>
        <v>8</v>
      </c>
    </row>
    <row r="707" spans="1:9" x14ac:dyDescent="0.3">
      <c r="A707">
        <v>706</v>
      </c>
      <c r="B707">
        <v>2012</v>
      </c>
      <c r="C707">
        <v>11</v>
      </c>
      <c r="D707">
        <v>26</v>
      </c>
      <c r="E707" s="1">
        <v>421.392</v>
      </c>
      <c r="F707" t="s">
        <v>8</v>
      </c>
      <c r="G707" t="str">
        <f>_xlfn.XLOOKUP(transakcje[[#This Row],[podkategoria]],parametr[podkategoria],parametr[kategoria])</f>
        <v>dochody z pracy</v>
      </c>
      <c r="H707" t="str">
        <f>_xlfn.XLOOKUP(transakcje[[#This Row],[kategoria]],parametr[kategoria],parametr[typ])</f>
        <v>dochody</v>
      </c>
      <c r="I707" s="1">
        <f>ABS(transakcje[[#This Row],[kwota]])</f>
        <v>421.392</v>
      </c>
    </row>
    <row r="708" spans="1:9" x14ac:dyDescent="0.3">
      <c r="A708">
        <v>707</v>
      </c>
      <c r="B708">
        <v>2012</v>
      </c>
      <c r="C708">
        <v>11</v>
      </c>
      <c r="D708">
        <v>27</v>
      </c>
      <c r="E708" s="1">
        <v>-32.4</v>
      </c>
      <c r="F708" t="s">
        <v>32</v>
      </c>
      <c r="G708" t="str">
        <f>_xlfn.XLOOKUP(transakcje[[#This Row],[podkategoria]],parametr[podkategoria],parametr[kategoria])</f>
        <v>opłaty stałe</v>
      </c>
      <c r="H708" t="str">
        <f>_xlfn.XLOOKUP(transakcje[[#This Row],[kategoria]],parametr[kategoria],parametr[typ])</f>
        <v>wydatki</v>
      </c>
      <c r="I708" s="1">
        <f>ABS(transakcje[[#This Row],[kwota]])</f>
        <v>32.4</v>
      </c>
    </row>
    <row r="709" spans="1:9" x14ac:dyDescent="0.3">
      <c r="A709">
        <v>708</v>
      </c>
      <c r="B709">
        <v>2012</v>
      </c>
      <c r="C709">
        <v>11</v>
      </c>
      <c r="D709">
        <v>27</v>
      </c>
      <c r="E709" s="1">
        <v>-12.934000000000001</v>
      </c>
      <c r="F709" t="s">
        <v>26</v>
      </c>
      <c r="G709" t="str">
        <f>_xlfn.XLOOKUP(transakcje[[#This Row],[podkategoria]],parametr[podkategoria],parametr[kategoria])</f>
        <v>życie</v>
      </c>
      <c r="H709" t="str">
        <f>_xlfn.XLOOKUP(transakcje[[#This Row],[kategoria]],parametr[kategoria],parametr[typ])</f>
        <v>wydatki</v>
      </c>
      <c r="I709" s="1">
        <f>ABS(transakcje[[#This Row],[kwota]])</f>
        <v>12.934000000000001</v>
      </c>
    </row>
    <row r="710" spans="1:9" x14ac:dyDescent="0.3">
      <c r="A710">
        <v>709</v>
      </c>
      <c r="B710">
        <v>2012</v>
      </c>
      <c r="C710">
        <v>11</v>
      </c>
      <c r="D710">
        <v>30</v>
      </c>
      <c r="E710" s="1">
        <v>2E-3</v>
      </c>
      <c r="F710" t="s">
        <v>17</v>
      </c>
      <c r="G710" t="str">
        <f>_xlfn.XLOOKUP(transakcje[[#This Row],[podkategoria]],parametr[podkategoria],parametr[kategoria])</f>
        <v>dochody pozostałe</v>
      </c>
      <c r="H710" t="str">
        <f>_xlfn.XLOOKUP(transakcje[[#This Row],[kategoria]],parametr[kategoria],parametr[typ])</f>
        <v>dochody</v>
      </c>
      <c r="I710" s="1">
        <f>ABS(transakcje[[#This Row],[kwota]])</f>
        <v>2E-3</v>
      </c>
    </row>
    <row r="711" spans="1:9" x14ac:dyDescent="0.3">
      <c r="A711">
        <v>710</v>
      </c>
      <c r="B711">
        <v>2012</v>
      </c>
      <c r="C711">
        <v>11</v>
      </c>
      <c r="D711">
        <v>30</v>
      </c>
      <c r="E711" s="1">
        <v>-1.198</v>
      </c>
      <c r="F711" t="s">
        <v>14</v>
      </c>
      <c r="G711" t="str">
        <f>_xlfn.XLOOKUP(transakcje[[#This Row],[podkategoria]],parametr[podkategoria],parametr[kategoria])</f>
        <v>opłaty stałe</v>
      </c>
      <c r="H711" t="str">
        <f>_xlfn.XLOOKUP(transakcje[[#This Row],[kategoria]],parametr[kategoria],parametr[typ])</f>
        <v>wydatki</v>
      </c>
      <c r="I711" s="1">
        <f>ABS(transakcje[[#This Row],[kwota]])</f>
        <v>1.198</v>
      </c>
    </row>
    <row r="712" spans="1:9" x14ac:dyDescent="0.3">
      <c r="A712">
        <v>711</v>
      </c>
      <c r="B712">
        <v>2012</v>
      </c>
      <c r="C712">
        <v>11</v>
      </c>
      <c r="D712">
        <v>30</v>
      </c>
      <c r="E712" s="1">
        <v>-0.2</v>
      </c>
      <c r="F712" t="s">
        <v>14</v>
      </c>
      <c r="G712" t="str">
        <f>_xlfn.XLOOKUP(transakcje[[#This Row],[podkategoria]],parametr[podkategoria],parametr[kategoria])</f>
        <v>opłaty stałe</v>
      </c>
      <c r="H712" t="str">
        <f>_xlfn.XLOOKUP(transakcje[[#This Row],[kategoria]],parametr[kategoria],parametr[typ])</f>
        <v>wydatki</v>
      </c>
      <c r="I712" s="1">
        <f>ABS(transakcje[[#This Row],[kwota]])</f>
        <v>0.2</v>
      </c>
    </row>
    <row r="713" spans="1:9" x14ac:dyDescent="0.3">
      <c r="A713">
        <v>712</v>
      </c>
      <c r="B713">
        <v>2012</v>
      </c>
      <c r="C713">
        <v>11</v>
      </c>
      <c r="D713">
        <v>30</v>
      </c>
      <c r="E713" s="1">
        <v>-2E-3</v>
      </c>
      <c r="F713" t="s">
        <v>14</v>
      </c>
      <c r="G713" t="str">
        <f>_xlfn.XLOOKUP(transakcje[[#This Row],[podkategoria]],parametr[podkategoria],parametr[kategoria])</f>
        <v>opłaty stałe</v>
      </c>
      <c r="H713" t="str">
        <f>_xlfn.XLOOKUP(transakcje[[#This Row],[kategoria]],parametr[kategoria],parametr[typ])</f>
        <v>wydatki</v>
      </c>
      <c r="I713" s="1">
        <f>ABS(transakcje[[#This Row],[kwota]])</f>
        <v>2E-3</v>
      </c>
    </row>
    <row r="714" spans="1:9" x14ac:dyDescent="0.3">
      <c r="A714">
        <v>713</v>
      </c>
      <c r="B714">
        <v>2012</v>
      </c>
      <c r="C714">
        <v>12</v>
      </c>
      <c r="D714">
        <v>1</v>
      </c>
      <c r="E714" s="1">
        <v>-48.076000000000001</v>
      </c>
      <c r="F714" t="s">
        <v>31</v>
      </c>
      <c r="G714" t="str">
        <f>_xlfn.XLOOKUP(transakcje[[#This Row],[podkategoria]],parametr[podkategoria],parametr[kategoria])</f>
        <v>opłaty stałe</v>
      </c>
      <c r="H714" t="str">
        <f>_xlfn.XLOOKUP(transakcje[[#This Row],[kategoria]],parametr[kategoria],parametr[typ])</f>
        <v>wydatki</v>
      </c>
      <c r="I714" s="1">
        <f>ABS(transakcje[[#This Row],[kwota]])</f>
        <v>48.076000000000001</v>
      </c>
    </row>
    <row r="715" spans="1:9" x14ac:dyDescent="0.3">
      <c r="A715">
        <v>714</v>
      </c>
      <c r="B715">
        <v>2012</v>
      </c>
      <c r="C715">
        <v>12</v>
      </c>
      <c r="D715">
        <v>1</v>
      </c>
      <c r="E715" s="1">
        <v>-9.7200000000000006</v>
      </c>
      <c r="F715" t="s">
        <v>23</v>
      </c>
      <c r="G715" t="str">
        <f>_xlfn.XLOOKUP(transakcje[[#This Row],[podkategoria]],parametr[podkategoria],parametr[kategoria])</f>
        <v>opłaty stałe</v>
      </c>
      <c r="H715" t="str">
        <f>_xlfn.XLOOKUP(transakcje[[#This Row],[kategoria]],parametr[kategoria],parametr[typ])</f>
        <v>wydatki</v>
      </c>
      <c r="I715" s="1">
        <f>ABS(transakcje[[#This Row],[kwota]])</f>
        <v>9.7200000000000006</v>
      </c>
    </row>
    <row r="716" spans="1:9" x14ac:dyDescent="0.3">
      <c r="A716">
        <v>715</v>
      </c>
      <c r="B716">
        <v>2012</v>
      </c>
      <c r="C716">
        <v>12</v>
      </c>
      <c r="D716">
        <v>1</v>
      </c>
      <c r="E716" s="1">
        <v>-3.9899999999999998</v>
      </c>
      <c r="F716" t="s">
        <v>25</v>
      </c>
      <c r="G716" t="str">
        <f>_xlfn.XLOOKUP(transakcje[[#This Row],[podkategoria]],parametr[podkategoria],parametr[kategoria])</f>
        <v>opłaty stałe</v>
      </c>
      <c r="H716" t="str">
        <f>_xlfn.XLOOKUP(transakcje[[#This Row],[kategoria]],parametr[kategoria],parametr[typ])</f>
        <v>wydatki</v>
      </c>
      <c r="I716" s="1">
        <f>ABS(transakcje[[#This Row],[kwota]])</f>
        <v>3.9899999999999998</v>
      </c>
    </row>
    <row r="717" spans="1:9" x14ac:dyDescent="0.3">
      <c r="A717">
        <v>716</v>
      </c>
      <c r="B717">
        <v>2012</v>
      </c>
      <c r="C717">
        <v>12</v>
      </c>
      <c r="D717">
        <v>3</v>
      </c>
      <c r="E717" s="1">
        <v>22.240000000000002</v>
      </c>
      <c r="F717" t="s">
        <v>17</v>
      </c>
      <c r="G717" t="str">
        <f>_xlfn.XLOOKUP(transakcje[[#This Row],[podkategoria]],parametr[podkategoria],parametr[kategoria])</f>
        <v>dochody pozostałe</v>
      </c>
      <c r="H717" t="str">
        <f>_xlfn.XLOOKUP(transakcje[[#This Row],[kategoria]],parametr[kategoria],parametr[typ])</f>
        <v>dochody</v>
      </c>
      <c r="I717" s="1">
        <f>ABS(transakcje[[#This Row],[kwota]])</f>
        <v>22.240000000000002</v>
      </c>
    </row>
    <row r="718" spans="1:9" x14ac:dyDescent="0.3">
      <c r="A718">
        <v>717</v>
      </c>
      <c r="B718">
        <v>2012</v>
      </c>
      <c r="C718">
        <v>12</v>
      </c>
      <c r="D718">
        <v>5</v>
      </c>
      <c r="E718" s="1">
        <v>-5</v>
      </c>
      <c r="F718" t="s">
        <v>26</v>
      </c>
      <c r="G718" t="str">
        <f>_xlfn.XLOOKUP(transakcje[[#This Row],[podkategoria]],parametr[podkategoria],parametr[kategoria])</f>
        <v>życie</v>
      </c>
      <c r="H718" t="str">
        <f>_xlfn.XLOOKUP(transakcje[[#This Row],[kategoria]],parametr[kategoria],parametr[typ])</f>
        <v>wydatki</v>
      </c>
      <c r="I718" s="1">
        <f>ABS(transakcje[[#This Row],[kwota]])</f>
        <v>5</v>
      </c>
    </row>
    <row r="719" spans="1:9" x14ac:dyDescent="0.3">
      <c r="A719">
        <v>718</v>
      </c>
      <c r="B719">
        <v>2012</v>
      </c>
      <c r="C719">
        <v>12</v>
      </c>
      <c r="D719">
        <v>7</v>
      </c>
      <c r="E719" s="1">
        <v>-6.7439999999999998</v>
      </c>
      <c r="F719" t="s">
        <v>26</v>
      </c>
      <c r="G719" t="str">
        <f>_xlfn.XLOOKUP(transakcje[[#This Row],[podkategoria]],parametr[podkategoria],parametr[kategoria])</f>
        <v>życie</v>
      </c>
      <c r="H719" t="str">
        <f>_xlfn.XLOOKUP(transakcje[[#This Row],[kategoria]],parametr[kategoria],parametr[typ])</f>
        <v>wydatki</v>
      </c>
      <c r="I719" s="1">
        <f>ABS(transakcje[[#This Row],[kwota]])</f>
        <v>6.7439999999999998</v>
      </c>
    </row>
    <row r="720" spans="1:9" x14ac:dyDescent="0.3">
      <c r="A720">
        <v>719</v>
      </c>
      <c r="B720">
        <v>2012</v>
      </c>
      <c r="C720">
        <v>12</v>
      </c>
      <c r="D720">
        <v>7</v>
      </c>
      <c r="E720" s="1">
        <v>-2.8780000000000001</v>
      </c>
      <c r="F720" t="s">
        <v>26</v>
      </c>
      <c r="G720" t="str">
        <f>_xlfn.XLOOKUP(transakcje[[#This Row],[podkategoria]],parametr[podkategoria],parametr[kategoria])</f>
        <v>życie</v>
      </c>
      <c r="H720" t="str">
        <f>_xlfn.XLOOKUP(transakcje[[#This Row],[kategoria]],parametr[kategoria],parametr[typ])</f>
        <v>wydatki</v>
      </c>
      <c r="I720" s="1">
        <f>ABS(transakcje[[#This Row],[kwota]])</f>
        <v>2.8780000000000001</v>
      </c>
    </row>
    <row r="721" spans="1:9" x14ac:dyDescent="0.3">
      <c r="A721">
        <v>720</v>
      </c>
      <c r="B721">
        <v>2012</v>
      </c>
      <c r="C721">
        <v>12</v>
      </c>
      <c r="D721">
        <v>10</v>
      </c>
      <c r="E721" s="1">
        <v>-10.926</v>
      </c>
      <c r="F721" t="s">
        <v>26</v>
      </c>
      <c r="G721" t="str">
        <f>_xlfn.XLOOKUP(transakcje[[#This Row],[podkategoria]],parametr[podkategoria],parametr[kategoria])</f>
        <v>życie</v>
      </c>
      <c r="H721" t="str">
        <f>_xlfn.XLOOKUP(transakcje[[#This Row],[kategoria]],parametr[kategoria],parametr[typ])</f>
        <v>wydatki</v>
      </c>
      <c r="I721" s="1">
        <f>ABS(transakcje[[#This Row],[kwota]])</f>
        <v>10.926</v>
      </c>
    </row>
    <row r="722" spans="1:9" x14ac:dyDescent="0.3">
      <c r="A722">
        <v>721</v>
      </c>
      <c r="B722">
        <v>2012</v>
      </c>
      <c r="C722">
        <v>12</v>
      </c>
      <c r="D722">
        <v>10</v>
      </c>
      <c r="E722" s="1">
        <v>-3.6040000000000001</v>
      </c>
      <c r="F722" t="s">
        <v>26</v>
      </c>
      <c r="G722" t="str">
        <f>_xlfn.XLOOKUP(transakcje[[#This Row],[podkategoria]],parametr[podkategoria],parametr[kategoria])</f>
        <v>życie</v>
      </c>
      <c r="H722" t="str">
        <f>_xlfn.XLOOKUP(transakcje[[#This Row],[kategoria]],parametr[kategoria],parametr[typ])</f>
        <v>wydatki</v>
      </c>
      <c r="I722" s="1">
        <f>ABS(transakcje[[#This Row],[kwota]])</f>
        <v>3.6040000000000001</v>
      </c>
    </row>
    <row r="723" spans="1:9" x14ac:dyDescent="0.3">
      <c r="A723">
        <v>722</v>
      </c>
      <c r="B723">
        <v>2012</v>
      </c>
      <c r="C723">
        <v>12</v>
      </c>
      <c r="D723">
        <v>14</v>
      </c>
      <c r="E723" s="1">
        <v>421.392</v>
      </c>
      <c r="F723" t="s">
        <v>8</v>
      </c>
      <c r="G723" t="str">
        <f>_xlfn.XLOOKUP(transakcje[[#This Row],[podkategoria]],parametr[podkategoria],parametr[kategoria])</f>
        <v>dochody z pracy</v>
      </c>
      <c r="H723" t="str">
        <f>_xlfn.XLOOKUP(transakcje[[#This Row],[kategoria]],parametr[kategoria],parametr[typ])</f>
        <v>dochody</v>
      </c>
      <c r="I723" s="1">
        <f>ABS(transakcje[[#This Row],[kwota]])</f>
        <v>421.392</v>
      </c>
    </row>
    <row r="724" spans="1:9" x14ac:dyDescent="0.3">
      <c r="A724">
        <v>723</v>
      </c>
      <c r="B724">
        <v>2012</v>
      </c>
      <c r="C724">
        <v>12</v>
      </c>
      <c r="D724">
        <v>15</v>
      </c>
      <c r="E724" s="1">
        <v>-4</v>
      </c>
      <c r="F724" t="s">
        <v>26</v>
      </c>
      <c r="G724" t="str">
        <f>_xlfn.XLOOKUP(transakcje[[#This Row],[podkategoria]],parametr[podkategoria],parametr[kategoria])</f>
        <v>życie</v>
      </c>
      <c r="H724" t="str">
        <f>_xlfn.XLOOKUP(transakcje[[#This Row],[kategoria]],parametr[kategoria],parametr[typ])</f>
        <v>wydatki</v>
      </c>
      <c r="I724" s="1">
        <f>ABS(transakcje[[#This Row],[kwota]])</f>
        <v>4</v>
      </c>
    </row>
    <row r="725" spans="1:9" x14ac:dyDescent="0.3">
      <c r="A725">
        <v>724</v>
      </c>
      <c r="B725">
        <v>2012</v>
      </c>
      <c r="C725">
        <v>12</v>
      </c>
      <c r="D725">
        <v>15</v>
      </c>
      <c r="E725" s="1">
        <v>-0.8</v>
      </c>
      <c r="F725" t="s">
        <v>14</v>
      </c>
      <c r="G725" t="str">
        <f>_xlfn.XLOOKUP(transakcje[[#This Row],[podkategoria]],parametr[podkategoria],parametr[kategoria])</f>
        <v>opłaty stałe</v>
      </c>
      <c r="H725" t="str">
        <f>_xlfn.XLOOKUP(transakcje[[#This Row],[kategoria]],parametr[kategoria],parametr[typ])</f>
        <v>wydatki</v>
      </c>
      <c r="I725" s="1">
        <f>ABS(transakcje[[#This Row],[kwota]])</f>
        <v>0.8</v>
      </c>
    </row>
    <row r="726" spans="1:9" x14ac:dyDescent="0.3">
      <c r="A726">
        <v>725</v>
      </c>
      <c r="B726">
        <v>2012</v>
      </c>
      <c r="C726">
        <v>12</v>
      </c>
      <c r="D726">
        <v>17</v>
      </c>
      <c r="E726" s="1">
        <v>-10.606</v>
      </c>
      <c r="F726" t="s">
        <v>26</v>
      </c>
      <c r="G726" t="str">
        <f>_xlfn.XLOOKUP(transakcje[[#This Row],[podkategoria]],parametr[podkategoria],parametr[kategoria])</f>
        <v>życie</v>
      </c>
      <c r="H726" t="str">
        <f>_xlfn.XLOOKUP(transakcje[[#This Row],[kategoria]],parametr[kategoria],parametr[typ])</f>
        <v>wydatki</v>
      </c>
      <c r="I726" s="1">
        <f>ABS(transakcje[[#This Row],[kwota]])</f>
        <v>10.606</v>
      </c>
    </row>
    <row r="727" spans="1:9" x14ac:dyDescent="0.3">
      <c r="A727">
        <v>726</v>
      </c>
      <c r="B727">
        <v>2012</v>
      </c>
      <c r="C727">
        <v>12</v>
      </c>
      <c r="D727">
        <v>17</v>
      </c>
      <c r="E727" s="1">
        <v>-18.148</v>
      </c>
      <c r="F727" t="s">
        <v>26</v>
      </c>
      <c r="G727" t="str">
        <f>_xlfn.XLOOKUP(transakcje[[#This Row],[podkategoria]],parametr[podkategoria],parametr[kategoria])</f>
        <v>życie</v>
      </c>
      <c r="H727" t="str">
        <f>_xlfn.XLOOKUP(transakcje[[#This Row],[kategoria]],parametr[kategoria],parametr[typ])</f>
        <v>wydatki</v>
      </c>
      <c r="I727" s="1">
        <f>ABS(transakcje[[#This Row],[kwota]])</f>
        <v>18.148</v>
      </c>
    </row>
    <row r="728" spans="1:9" x14ac:dyDescent="0.3">
      <c r="A728">
        <v>727</v>
      </c>
      <c r="B728">
        <v>2012</v>
      </c>
      <c r="C728">
        <v>12</v>
      </c>
      <c r="D728">
        <v>18</v>
      </c>
      <c r="E728" s="1">
        <v>-0.39800000000000002</v>
      </c>
      <c r="F728" t="s">
        <v>14</v>
      </c>
      <c r="G728" t="str">
        <f>_xlfn.XLOOKUP(transakcje[[#This Row],[podkategoria]],parametr[podkategoria],parametr[kategoria])</f>
        <v>opłaty stałe</v>
      </c>
      <c r="H728" t="str">
        <f>_xlfn.XLOOKUP(transakcje[[#This Row],[kategoria]],parametr[kategoria],parametr[typ])</f>
        <v>wydatki</v>
      </c>
      <c r="I728" s="1">
        <f>ABS(transakcje[[#This Row],[kwota]])</f>
        <v>0.39800000000000002</v>
      </c>
    </row>
    <row r="729" spans="1:9" x14ac:dyDescent="0.3">
      <c r="A729">
        <v>728</v>
      </c>
      <c r="B729">
        <v>2012</v>
      </c>
      <c r="C729">
        <v>12</v>
      </c>
      <c r="D729">
        <v>19</v>
      </c>
      <c r="E729" s="1">
        <v>114.06400000000001</v>
      </c>
      <c r="F729" t="s">
        <v>19</v>
      </c>
      <c r="G729" t="str">
        <f>_xlfn.XLOOKUP(transakcje[[#This Row],[podkategoria]],parametr[podkategoria],parametr[kategoria])</f>
        <v>dochody z pracy</v>
      </c>
      <c r="H729" t="str">
        <f>_xlfn.XLOOKUP(transakcje[[#This Row],[kategoria]],parametr[kategoria],parametr[typ])</f>
        <v>dochody</v>
      </c>
      <c r="I729" s="1">
        <f>ABS(transakcje[[#This Row],[kwota]])</f>
        <v>114.06400000000001</v>
      </c>
    </row>
    <row r="730" spans="1:9" x14ac:dyDescent="0.3">
      <c r="A730">
        <v>729</v>
      </c>
      <c r="B730">
        <v>2012</v>
      </c>
      <c r="C730">
        <v>12</v>
      </c>
      <c r="D730">
        <v>20</v>
      </c>
      <c r="E730" s="1">
        <v>62.672000000000004</v>
      </c>
      <c r="F730" t="s">
        <v>16</v>
      </c>
      <c r="G730" t="str">
        <f>_xlfn.XLOOKUP(transakcje[[#This Row],[podkategoria]],parametr[podkategoria],parametr[kategoria])</f>
        <v>dochody z pracy</v>
      </c>
      <c r="H730" t="str">
        <f>_xlfn.XLOOKUP(transakcje[[#This Row],[kategoria]],parametr[kategoria],parametr[typ])</f>
        <v>dochody</v>
      </c>
      <c r="I730" s="1">
        <f>ABS(transakcje[[#This Row],[kwota]])</f>
        <v>62.672000000000004</v>
      </c>
    </row>
    <row r="731" spans="1:9" x14ac:dyDescent="0.3">
      <c r="A731">
        <v>730</v>
      </c>
      <c r="B731">
        <v>2012</v>
      </c>
      <c r="C731">
        <v>12</v>
      </c>
      <c r="D731">
        <v>28</v>
      </c>
      <c r="E731" s="1">
        <v>-10.7</v>
      </c>
      <c r="F731" t="s">
        <v>20</v>
      </c>
      <c r="G731" t="str">
        <f>_xlfn.XLOOKUP(transakcje[[#This Row],[podkategoria]],parametr[podkategoria],parametr[kategoria])</f>
        <v>trwałe</v>
      </c>
      <c r="H731" t="str">
        <f>_xlfn.XLOOKUP(transakcje[[#This Row],[kategoria]],parametr[kategoria],parametr[typ])</f>
        <v>wydatki</v>
      </c>
      <c r="I731" s="1">
        <f>ABS(transakcje[[#This Row],[kwota]])</f>
        <v>10.7</v>
      </c>
    </row>
    <row r="732" spans="1:9" x14ac:dyDescent="0.3">
      <c r="A732">
        <v>731</v>
      </c>
      <c r="B732">
        <v>2012</v>
      </c>
      <c r="C732">
        <v>12</v>
      </c>
      <c r="D732">
        <v>31</v>
      </c>
      <c r="E732" s="1">
        <v>2E-3</v>
      </c>
      <c r="F732" t="s">
        <v>17</v>
      </c>
      <c r="G732" t="str">
        <f>_xlfn.XLOOKUP(transakcje[[#This Row],[podkategoria]],parametr[podkategoria],parametr[kategoria])</f>
        <v>dochody pozostałe</v>
      </c>
      <c r="H732" t="str">
        <f>_xlfn.XLOOKUP(transakcje[[#This Row],[kategoria]],parametr[kategoria],parametr[typ])</f>
        <v>dochody</v>
      </c>
      <c r="I732" s="1">
        <f>ABS(transakcje[[#This Row],[kwota]])</f>
        <v>2E-3</v>
      </c>
    </row>
    <row r="733" spans="1:9" x14ac:dyDescent="0.3">
      <c r="A733">
        <v>732</v>
      </c>
      <c r="B733">
        <v>2012</v>
      </c>
      <c r="C733">
        <v>12</v>
      </c>
      <c r="D733">
        <v>31</v>
      </c>
      <c r="E733" s="1">
        <v>-1.198</v>
      </c>
      <c r="F733" t="s">
        <v>14</v>
      </c>
      <c r="G733" t="str">
        <f>_xlfn.XLOOKUP(transakcje[[#This Row],[podkategoria]],parametr[podkategoria],parametr[kategoria])</f>
        <v>opłaty stałe</v>
      </c>
      <c r="H733" t="str">
        <f>_xlfn.XLOOKUP(transakcje[[#This Row],[kategoria]],parametr[kategoria],parametr[typ])</f>
        <v>wydatki</v>
      </c>
      <c r="I733" s="1">
        <f>ABS(transakcje[[#This Row],[kwota]])</f>
        <v>1.198</v>
      </c>
    </row>
    <row r="734" spans="1:9" x14ac:dyDescent="0.3">
      <c r="A734">
        <v>733</v>
      </c>
      <c r="B734">
        <v>2012</v>
      </c>
      <c r="C734">
        <v>12</v>
      </c>
      <c r="D734">
        <v>31</v>
      </c>
      <c r="E734" s="1">
        <v>-0.4</v>
      </c>
      <c r="F734" t="s">
        <v>14</v>
      </c>
      <c r="G734" t="str">
        <f>_xlfn.XLOOKUP(transakcje[[#This Row],[podkategoria]],parametr[podkategoria],parametr[kategoria])</f>
        <v>opłaty stałe</v>
      </c>
      <c r="H734" t="str">
        <f>_xlfn.XLOOKUP(transakcje[[#This Row],[kategoria]],parametr[kategoria],parametr[typ])</f>
        <v>wydatki</v>
      </c>
      <c r="I734" s="1">
        <f>ABS(transakcje[[#This Row],[kwota]])</f>
        <v>0.4</v>
      </c>
    </row>
    <row r="735" spans="1:9" x14ac:dyDescent="0.3">
      <c r="A735">
        <v>734</v>
      </c>
      <c r="B735">
        <v>2012</v>
      </c>
      <c r="C735">
        <v>12</v>
      </c>
      <c r="D735">
        <v>31</v>
      </c>
      <c r="E735" s="1">
        <v>-2E-3</v>
      </c>
      <c r="F735" t="s">
        <v>14</v>
      </c>
      <c r="G735" t="str">
        <f>_xlfn.XLOOKUP(transakcje[[#This Row],[podkategoria]],parametr[podkategoria],parametr[kategoria])</f>
        <v>opłaty stałe</v>
      </c>
      <c r="H735" t="str">
        <f>_xlfn.XLOOKUP(transakcje[[#This Row],[kategoria]],parametr[kategoria],parametr[typ])</f>
        <v>wydatki</v>
      </c>
      <c r="I735" s="1">
        <f>ABS(transakcje[[#This Row],[kwota]])</f>
        <v>2E-3</v>
      </c>
    </row>
    <row r="736" spans="1:9" x14ac:dyDescent="0.3">
      <c r="A736">
        <v>735</v>
      </c>
      <c r="B736">
        <v>2013</v>
      </c>
      <c r="C736">
        <v>1</v>
      </c>
      <c r="D736">
        <v>1</v>
      </c>
      <c r="E736" s="1">
        <v>-9.7200000000000006</v>
      </c>
      <c r="F736" t="s">
        <v>23</v>
      </c>
      <c r="G736" t="str">
        <f>_xlfn.XLOOKUP(transakcje[[#This Row],[podkategoria]],parametr[podkategoria],parametr[kategoria])</f>
        <v>opłaty stałe</v>
      </c>
      <c r="H736" t="str">
        <f>_xlfn.XLOOKUP(transakcje[[#This Row],[kategoria]],parametr[kategoria],parametr[typ])</f>
        <v>wydatki</v>
      </c>
      <c r="I736" s="1">
        <f>ABS(transakcje[[#This Row],[kwota]])</f>
        <v>9.7200000000000006</v>
      </c>
    </row>
    <row r="737" spans="1:9" x14ac:dyDescent="0.3">
      <c r="A737">
        <v>736</v>
      </c>
      <c r="B737">
        <v>2013</v>
      </c>
      <c r="C737">
        <v>1</v>
      </c>
      <c r="D737">
        <v>1</v>
      </c>
      <c r="E737" s="1">
        <v>-16.372</v>
      </c>
      <c r="F737" t="s">
        <v>34</v>
      </c>
      <c r="G737" t="str">
        <f>_xlfn.XLOOKUP(transakcje[[#This Row],[podkategoria]],parametr[podkategoria],parametr[kategoria])</f>
        <v>opłaty stałe</v>
      </c>
      <c r="H737" t="str">
        <f>_xlfn.XLOOKUP(transakcje[[#This Row],[kategoria]],parametr[kategoria],parametr[typ])</f>
        <v>wydatki</v>
      </c>
      <c r="I737" s="1">
        <f>ABS(transakcje[[#This Row],[kwota]])</f>
        <v>16.372</v>
      </c>
    </row>
    <row r="738" spans="1:9" x14ac:dyDescent="0.3">
      <c r="A738">
        <v>737</v>
      </c>
      <c r="B738">
        <v>2013</v>
      </c>
      <c r="C738">
        <v>1</v>
      </c>
      <c r="D738">
        <v>1</v>
      </c>
      <c r="E738" s="1">
        <v>-3.9899999999999998</v>
      </c>
      <c r="F738" t="s">
        <v>25</v>
      </c>
      <c r="G738" t="str">
        <f>_xlfn.XLOOKUP(transakcje[[#This Row],[podkategoria]],parametr[podkategoria],parametr[kategoria])</f>
        <v>opłaty stałe</v>
      </c>
      <c r="H738" t="str">
        <f>_xlfn.XLOOKUP(transakcje[[#This Row],[kategoria]],parametr[kategoria],parametr[typ])</f>
        <v>wydatki</v>
      </c>
      <c r="I738" s="1">
        <f>ABS(transakcje[[#This Row],[kwota]])</f>
        <v>3.9899999999999998</v>
      </c>
    </row>
    <row r="739" spans="1:9" x14ac:dyDescent="0.3">
      <c r="A739">
        <v>738</v>
      </c>
      <c r="B739">
        <v>2013</v>
      </c>
      <c r="C739">
        <v>1</v>
      </c>
      <c r="D739">
        <v>2</v>
      </c>
      <c r="E739" s="1">
        <v>-57.798000000000002</v>
      </c>
      <c r="F739" t="s">
        <v>26</v>
      </c>
      <c r="G739" t="str">
        <f>_xlfn.XLOOKUP(transakcje[[#This Row],[podkategoria]],parametr[podkategoria],parametr[kategoria])</f>
        <v>życie</v>
      </c>
      <c r="H739" t="str">
        <f>_xlfn.XLOOKUP(transakcje[[#This Row],[kategoria]],parametr[kategoria],parametr[typ])</f>
        <v>wydatki</v>
      </c>
      <c r="I739" s="1">
        <f>ABS(transakcje[[#This Row],[kwota]])</f>
        <v>57.798000000000002</v>
      </c>
    </row>
    <row r="740" spans="1:9" x14ac:dyDescent="0.3">
      <c r="A740">
        <v>739</v>
      </c>
      <c r="B740">
        <v>2013</v>
      </c>
      <c r="C740">
        <v>1</v>
      </c>
      <c r="D740">
        <v>2</v>
      </c>
      <c r="E740" s="1">
        <v>-6.5680000000000005</v>
      </c>
      <c r="F740" t="s">
        <v>35</v>
      </c>
      <c r="G740" t="str">
        <f>_xlfn.XLOOKUP(transakcje[[#This Row],[podkategoria]],parametr[podkategoria],parametr[kategoria])</f>
        <v>opłaty stałe</v>
      </c>
      <c r="H740" t="str">
        <f>_xlfn.XLOOKUP(transakcje[[#This Row],[kategoria]],parametr[kategoria],parametr[typ])</f>
        <v>wydatki</v>
      </c>
      <c r="I740" s="1">
        <f>ABS(transakcje[[#This Row],[kwota]])</f>
        <v>6.5680000000000005</v>
      </c>
    </row>
    <row r="741" spans="1:9" x14ac:dyDescent="0.3">
      <c r="A741">
        <v>740</v>
      </c>
      <c r="B741">
        <v>2013</v>
      </c>
      <c r="C741">
        <v>1</v>
      </c>
      <c r="D741">
        <v>9</v>
      </c>
      <c r="E741" s="1">
        <v>-14.1</v>
      </c>
      <c r="F741" t="s">
        <v>11</v>
      </c>
      <c r="G741" t="str">
        <f>_xlfn.XLOOKUP(transakcje[[#This Row],[podkategoria]],parametr[podkategoria],parametr[kategoria])</f>
        <v>wydatki inne</v>
      </c>
      <c r="H741" t="str">
        <f>_xlfn.XLOOKUP(transakcje[[#This Row],[kategoria]],parametr[kategoria],parametr[typ])</f>
        <v>wydatki</v>
      </c>
      <c r="I741" s="1">
        <f>ABS(transakcje[[#This Row],[kwota]])</f>
        <v>14.1</v>
      </c>
    </row>
    <row r="742" spans="1:9" x14ac:dyDescent="0.3">
      <c r="A742">
        <v>741</v>
      </c>
      <c r="B742">
        <v>2013</v>
      </c>
      <c r="C742">
        <v>1</v>
      </c>
      <c r="D742">
        <v>10</v>
      </c>
      <c r="E742" s="1">
        <v>-2.6</v>
      </c>
      <c r="F742" t="s">
        <v>26</v>
      </c>
      <c r="G742" t="str">
        <f>_xlfn.XLOOKUP(transakcje[[#This Row],[podkategoria]],parametr[podkategoria],parametr[kategoria])</f>
        <v>życie</v>
      </c>
      <c r="H742" t="str">
        <f>_xlfn.XLOOKUP(transakcje[[#This Row],[kategoria]],parametr[kategoria],parametr[typ])</f>
        <v>wydatki</v>
      </c>
      <c r="I742" s="1">
        <f>ABS(transakcje[[#This Row],[kwota]])</f>
        <v>2.6</v>
      </c>
    </row>
    <row r="743" spans="1:9" x14ac:dyDescent="0.3">
      <c r="A743">
        <v>742</v>
      </c>
      <c r="B743">
        <v>2013</v>
      </c>
      <c r="C743">
        <v>1</v>
      </c>
      <c r="D743">
        <v>15</v>
      </c>
      <c r="E743" s="1">
        <v>-0.8</v>
      </c>
      <c r="F743" t="s">
        <v>14</v>
      </c>
      <c r="G743" t="str">
        <f>_xlfn.XLOOKUP(transakcje[[#This Row],[podkategoria]],parametr[podkategoria],parametr[kategoria])</f>
        <v>opłaty stałe</v>
      </c>
      <c r="H743" t="str">
        <f>_xlfn.XLOOKUP(transakcje[[#This Row],[kategoria]],parametr[kategoria],parametr[typ])</f>
        <v>wydatki</v>
      </c>
      <c r="I743" s="1">
        <f>ABS(transakcje[[#This Row],[kwota]])</f>
        <v>0.8</v>
      </c>
    </row>
    <row r="744" spans="1:9" x14ac:dyDescent="0.3">
      <c r="A744">
        <v>743</v>
      </c>
      <c r="B744">
        <v>2013</v>
      </c>
      <c r="C744">
        <v>1</v>
      </c>
      <c r="D744">
        <v>15</v>
      </c>
      <c r="E744" s="1">
        <v>-0.39800000000000002</v>
      </c>
      <c r="F744" t="s">
        <v>14</v>
      </c>
      <c r="G744" t="str">
        <f>_xlfn.XLOOKUP(transakcje[[#This Row],[podkategoria]],parametr[podkategoria],parametr[kategoria])</f>
        <v>opłaty stałe</v>
      </c>
      <c r="H744" t="str">
        <f>_xlfn.XLOOKUP(transakcje[[#This Row],[kategoria]],parametr[kategoria],parametr[typ])</f>
        <v>wydatki</v>
      </c>
      <c r="I744" s="1">
        <f>ABS(transakcje[[#This Row],[kwota]])</f>
        <v>0.39800000000000002</v>
      </c>
    </row>
    <row r="745" spans="1:9" x14ac:dyDescent="0.3">
      <c r="A745">
        <v>744</v>
      </c>
      <c r="B745">
        <v>2013</v>
      </c>
      <c r="C745">
        <v>1</v>
      </c>
      <c r="D745">
        <v>18</v>
      </c>
      <c r="E745" s="1">
        <v>-3.63</v>
      </c>
      <c r="F745" t="s">
        <v>26</v>
      </c>
      <c r="G745" t="str">
        <f>_xlfn.XLOOKUP(transakcje[[#This Row],[podkategoria]],parametr[podkategoria],parametr[kategoria])</f>
        <v>życie</v>
      </c>
      <c r="H745" t="str">
        <f>_xlfn.XLOOKUP(transakcje[[#This Row],[kategoria]],parametr[kategoria],parametr[typ])</f>
        <v>wydatki</v>
      </c>
      <c r="I745" s="1">
        <f>ABS(transakcje[[#This Row],[kwota]])</f>
        <v>3.63</v>
      </c>
    </row>
    <row r="746" spans="1:9" x14ac:dyDescent="0.3">
      <c r="A746">
        <v>745</v>
      </c>
      <c r="B746">
        <v>2013</v>
      </c>
      <c r="C746">
        <v>1</v>
      </c>
      <c r="D746">
        <v>23</v>
      </c>
      <c r="E746" s="1">
        <v>-16.2</v>
      </c>
      <c r="F746" t="s">
        <v>32</v>
      </c>
      <c r="G746" t="str">
        <f>_xlfn.XLOOKUP(transakcje[[#This Row],[podkategoria]],parametr[podkategoria],parametr[kategoria])</f>
        <v>opłaty stałe</v>
      </c>
      <c r="H746" t="str">
        <f>_xlfn.XLOOKUP(transakcje[[#This Row],[kategoria]],parametr[kategoria],parametr[typ])</f>
        <v>wydatki</v>
      </c>
      <c r="I746" s="1">
        <f>ABS(transakcje[[#This Row],[kwota]])</f>
        <v>16.2</v>
      </c>
    </row>
    <row r="747" spans="1:9" x14ac:dyDescent="0.3">
      <c r="A747">
        <v>746</v>
      </c>
      <c r="B747">
        <v>2013</v>
      </c>
      <c r="C747">
        <v>1</v>
      </c>
      <c r="D747">
        <v>24</v>
      </c>
      <c r="E747" s="1">
        <v>-4.7840000000000007</v>
      </c>
      <c r="F747" t="s">
        <v>26</v>
      </c>
      <c r="G747" t="str">
        <f>_xlfn.XLOOKUP(transakcje[[#This Row],[podkategoria]],parametr[podkategoria],parametr[kategoria])</f>
        <v>życie</v>
      </c>
      <c r="H747" t="str">
        <f>_xlfn.XLOOKUP(transakcje[[#This Row],[kategoria]],parametr[kategoria],parametr[typ])</f>
        <v>wydatki</v>
      </c>
      <c r="I747" s="1">
        <f>ABS(transakcje[[#This Row],[kwota]])</f>
        <v>4.7840000000000007</v>
      </c>
    </row>
    <row r="748" spans="1:9" x14ac:dyDescent="0.3">
      <c r="A748">
        <v>747</v>
      </c>
      <c r="B748">
        <v>2013</v>
      </c>
      <c r="C748">
        <v>1</v>
      </c>
      <c r="D748">
        <v>25</v>
      </c>
      <c r="E748" s="1">
        <v>421.392</v>
      </c>
      <c r="F748" t="s">
        <v>8</v>
      </c>
      <c r="G748" t="str">
        <f>_xlfn.XLOOKUP(transakcje[[#This Row],[podkategoria]],parametr[podkategoria],parametr[kategoria])</f>
        <v>dochody z pracy</v>
      </c>
      <c r="H748" t="str">
        <f>_xlfn.XLOOKUP(transakcje[[#This Row],[kategoria]],parametr[kategoria],parametr[typ])</f>
        <v>dochody</v>
      </c>
      <c r="I748" s="1">
        <f>ABS(transakcje[[#This Row],[kwota]])</f>
        <v>421.392</v>
      </c>
    </row>
    <row r="749" spans="1:9" x14ac:dyDescent="0.3">
      <c r="A749">
        <v>748</v>
      </c>
      <c r="B749">
        <v>2013</v>
      </c>
      <c r="C749">
        <v>1</v>
      </c>
      <c r="D749">
        <v>25</v>
      </c>
      <c r="E749" s="1">
        <v>-2.5920000000000001</v>
      </c>
      <c r="F749" t="s">
        <v>26</v>
      </c>
      <c r="G749" t="str">
        <f>_xlfn.XLOOKUP(transakcje[[#This Row],[podkategoria]],parametr[podkategoria],parametr[kategoria])</f>
        <v>życie</v>
      </c>
      <c r="H749" t="str">
        <f>_xlfn.XLOOKUP(transakcje[[#This Row],[kategoria]],parametr[kategoria],parametr[typ])</f>
        <v>wydatki</v>
      </c>
      <c r="I749" s="1">
        <f>ABS(transakcje[[#This Row],[kwota]])</f>
        <v>2.5920000000000001</v>
      </c>
    </row>
    <row r="750" spans="1:9" x14ac:dyDescent="0.3">
      <c r="A750">
        <v>749</v>
      </c>
      <c r="B750">
        <v>2013</v>
      </c>
      <c r="C750">
        <v>1</v>
      </c>
      <c r="D750">
        <v>28</v>
      </c>
      <c r="E750" s="1">
        <v>-3.4619999999999997</v>
      </c>
      <c r="F750" t="s">
        <v>26</v>
      </c>
      <c r="G750" t="str">
        <f>_xlfn.XLOOKUP(transakcje[[#This Row],[podkategoria]],parametr[podkategoria],parametr[kategoria])</f>
        <v>życie</v>
      </c>
      <c r="H750" t="str">
        <f>_xlfn.XLOOKUP(transakcje[[#This Row],[kategoria]],parametr[kategoria],parametr[typ])</f>
        <v>wydatki</v>
      </c>
      <c r="I750" s="1">
        <f>ABS(transakcje[[#This Row],[kwota]])</f>
        <v>3.4619999999999997</v>
      </c>
    </row>
    <row r="751" spans="1:9" x14ac:dyDescent="0.3">
      <c r="A751">
        <v>750</v>
      </c>
      <c r="B751">
        <v>2013</v>
      </c>
      <c r="C751">
        <v>1</v>
      </c>
      <c r="D751">
        <v>31</v>
      </c>
      <c r="E751" s="1">
        <v>2E-3</v>
      </c>
      <c r="F751" t="s">
        <v>17</v>
      </c>
      <c r="G751" t="str">
        <f>_xlfn.XLOOKUP(transakcje[[#This Row],[podkategoria]],parametr[podkategoria],parametr[kategoria])</f>
        <v>dochody pozostałe</v>
      </c>
      <c r="H751" t="str">
        <f>_xlfn.XLOOKUP(transakcje[[#This Row],[kategoria]],parametr[kategoria],parametr[typ])</f>
        <v>dochody</v>
      </c>
      <c r="I751" s="1">
        <f>ABS(transakcje[[#This Row],[kwota]])</f>
        <v>2E-3</v>
      </c>
    </row>
    <row r="752" spans="1:9" x14ac:dyDescent="0.3">
      <c r="A752">
        <v>751</v>
      </c>
      <c r="B752">
        <v>2013</v>
      </c>
      <c r="C752">
        <v>1</v>
      </c>
      <c r="D752">
        <v>31</v>
      </c>
      <c r="E752" s="1">
        <v>-1.198</v>
      </c>
      <c r="F752" t="s">
        <v>14</v>
      </c>
      <c r="G752" t="str">
        <f>_xlfn.XLOOKUP(transakcje[[#This Row],[podkategoria]],parametr[podkategoria],parametr[kategoria])</f>
        <v>opłaty stałe</v>
      </c>
      <c r="H752" t="str">
        <f>_xlfn.XLOOKUP(transakcje[[#This Row],[kategoria]],parametr[kategoria],parametr[typ])</f>
        <v>wydatki</v>
      </c>
      <c r="I752" s="1">
        <f>ABS(transakcje[[#This Row],[kwota]])</f>
        <v>1.198</v>
      </c>
    </row>
    <row r="753" spans="1:9" x14ac:dyDescent="0.3">
      <c r="A753">
        <v>752</v>
      </c>
      <c r="B753">
        <v>2013</v>
      </c>
      <c r="C753">
        <v>1</v>
      </c>
      <c r="D753">
        <v>31</v>
      </c>
      <c r="E753" s="1">
        <v>-0.3</v>
      </c>
      <c r="F753" t="s">
        <v>14</v>
      </c>
      <c r="G753" t="str">
        <f>_xlfn.XLOOKUP(transakcje[[#This Row],[podkategoria]],parametr[podkategoria],parametr[kategoria])</f>
        <v>opłaty stałe</v>
      </c>
      <c r="H753" t="str">
        <f>_xlfn.XLOOKUP(transakcje[[#This Row],[kategoria]],parametr[kategoria],parametr[typ])</f>
        <v>wydatki</v>
      </c>
      <c r="I753" s="1">
        <f>ABS(transakcje[[#This Row],[kwota]])</f>
        <v>0.3</v>
      </c>
    </row>
    <row r="754" spans="1:9" x14ac:dyDescent="0.3">
      <c r="A754">
        <v>753</v>
      </c>
      <c r="B754">
        <v>2013</v>
      </c>
      <c r="C754">
        <v>1</v>
      </c>
      <c r="D754">
        <v>31</v>
      </c>
      <c r="E754" s="1">
        <v>-2E-3</v>
      </c>
      <c r="F754" t="s">
        <v>14</v>
      </c>
      <c r="G754" t="str">
        <f>_xlfn.XLOOKUP(transakcje[[#This Row],[podkategoria]],parametr[podkategoria],parametr[kategoria])</f>
        <v>opłaty stałe</v>
      </c>
      <c r="H754" t="str">
        <f>_xlfn.XLOOKUP(transakcje[[#This Row],[kategoria]],parametr[kategoria],parametr[typ])</f>
        <v>wydatki</v>
      </c>
      <c r="I754" s="1">
        <f>ABS(transakcje[[#This Row],[kwota]])</f>
        <v>2E-3</v>
      </c>
    </row>
    <row r="755" spans="1:9" x14ac:dyDescent="0.3">
      <c r="A755">
        <v>754</v>
      </c>
      <c r="B755">
        <v>2013</v>
      </c>
      <c r="C755">
        <v>2</v>
      </c>
      <c r="D755">
        <v>1</v>
      </c>
      <c r="E755" s="1">
        <v>-6.0619999999999994</v>
      </c>
      <c r="F755" t="s">
        <v>26</v>
      </c>
      <c r="G755" t="str">
        <f>_xlfn.XLOOKUP(transakcje[[#This Row],[podkategoria]],parametr[podkategoria],parametr[kategoria])</f>
        <v>życie</v>
      </c>
      <c r="H755" t="str">
        <f>_xlfn.XLOOKUP(transakcje[[#This Row],[kategoria]],parametr[kategoria],parametr[typ])</f>
        <v>wydatki</v>
      </c>
      <c r="I755" s="1">
        <f>ABS(transakcje[[#This Row],[kwota]])</f>
        <v>6.0619999999999994</v>
      </c>
    </row>
    <row r="756" spans="1:9" x14ac:dyDescent="0.3">
      <c r="A756">
        <v>755</v>
      </c>
      <c r="B756">
        <v>2013</v>
      </c>
      <c r="C756">
        <v>2</v>
      </c>
      <c r="D756">
        <v>2</v>
      </c>
      <c r="E756" s="1">
        <v>-5.2759999999999998</v>
      </c>
      <c r="F756" t="s">
        <v>31</v>
      </c>
      <c r="G756" t="str">
        <f>_xlfn.XLOOKUP(transakcje[[#This Row],[podkategoria]],parametr[podkategoria],parametr[kategoria])</f>
        <v>opłaty stałe</v>
      </c>
      <c r="H756" t="str">
        <f>_xlfn.XLOOKUP(transakcje[[#This Row],[kategoria]],parametr[kategoria],parametr[typ])</f>
        <v>wydatki</v>
      </c>
      <c r="I756" s="1">
        <f>ABS(transakcje[[#This Row],[kwota]])</f>
        <v>5.2759999999999998</v>
      </c>
    </row>
    <row r="757" spans="1:9" x14ac:dyDescent="0.3">
      <c r="A757">
        <v>756</v>
      </c>
      <c r="B757">
        <v>2013</v>
      </c>
      <c r="C757">
        <v>2</v>
      </c>
      <c r="D757">
        <v>2</v>
      </c>
      <c r="E757" s="1">
        <v>-9.7200000000000006</v>
      </c>
      <c r="F757" t="s">
        <v>23</v>
      </c>
      <c r="G757" t="str">
        <f>_xlfn.XLOOKUP(transakcje[[#This Row],[podkategoria]],parametr[podkategoria],parametr[kategoria])</f>
        <v>opłaty stałe</v>
      </c>
      <c r="H757" t="str">
        <f>_xlfn.XLOOKUP(transakcje[[#This Row],[kategoria]],parametr[kategoria],parametr[typ])</f>
        <v>wydatki</v>
      </c>
      <c r="I757" s="1">
        <f>ABS(transakcje[[#This Row],[kwota]])</f>
        <v>9.7200000000000006</v>
      </c>
    </row>
    <row r="758" spans="1:9" x14ac:dyDescent="0.3">
      <c r="A758">
        <v>757</v>
      </c>
      <c r="B758">
        <v>2013</v>
      </c>
      <c r="C758">
        <v>2</v>
      </c>
      <c r="D758">
        <v>2</v>
      </c>
      <c r="E758" s="1">
        <v>-3.9899999999999998</v>
      </c>
      <c r="F758" t="s">
        <v>25</v>
      </c>
      <c r="G758" t="str">
        <f>_xlfn.XLOOKUP(transakcje[[#This Row],[podkategoria]],parametr[podkategoria],parametr[kategoria])</f>
        <v>opłaty stałe</v>
      </c>
      <c r="H758" t="str">
        <f>_xlfn.XLOOKUP(transakcje[[#This Row],[kategoria]],parametr[kategoria],parametr[typ])</f>
        <v>wydatki</v>
      </c>
      <c r="I758" s="1">
        <f>ABS(transakcje[[#This Row],[kwota]])</f>
        <v>3.9899999999999998</v>
      </c>
    </row>
    <row r="759" spans="1:9" x14ac:dyDescent="0.3">
      <c r="A759">
        <v>758</v>
      </c>
      <c r="B759">
        <v>2013</v>
      </c>
      <c r="C759">
        <v>2</v>
      </c>
      <c r="D759">
        <v>5</v>
      </c>
      <c r="E759" s="1">
        <v>413.23999999999995</v>
      </c>
      <c r="F759" t="s">
        <v>22</v>
      </c>
      <c r="G759" t="str">
        <f>_xlfn.XLOOKUP(transakcje[[#This Row],[podkategoria]],parametr[podkategoria],parametr[kategoria])</f>
        <v>dochody z pracy</v>
      </c>
      <c r="H759" t="str">
        <f>_xlfn.XLOOKUP(transakcje[[#This Row],[kategoria]],parametr[kategoria],parametr[typ])</f>
        <v>dochody</v>
      </c>
      <c r="I759" s="1">
        <f>ABS(transakcje[[#This Row],[kwota]])</f>
        <v>413.23999999999995</v>
      </c>
    </row>
    <row r="760" spans="1:9" x14ac:dyDescent="0.3">
      <c r="A760">
        <v>759</v>
      </c>
      <c r="B760">
        <v>2013</v>
      </c>
      <c r="C760">
        <v>2</v>
      </c>
      <c r="D760">
        <v>6</v>
      </c>
      <c r="E760" s="1">
        <v>20.6</v>
      </c>
      <c r="F760" t="s">
        <v>16</v>
      </c>
      <c r="G760" t="str">
        <f>_xlfn.XLOOKUP(transakcje[[#This Row],[podkategoria]],parametr[podkategoria],parametr[kategoria])</f>
        <v>dochody z pracy</v>
      </c>
      <c r="H760" t="str">
        <f>_xlfn.XLOOKUP(transakcje[[#This Row],[kategoria]],parametr[kategoria],parametr[typ])</f>
        <v>dochody</v>
      </c>
      <c r="I760" s="1">
        <f>ABS(transakcje[[#This Row],[kwota]])</f>
        <v>20.6</v>
      </c>
    </row>
    <row r="761" spans="1:9" x14ac:dyDescent="0.3">
      <c r="A761">
        <v>760</v>
      </c>
      <c r="B761">
        <v>2013</v>
      </c>
      <c r="C761">
        <v>2</v>
      </c>
      <c r="D761">
        <v>7</v>
      </c>
      <c r="E761" s="1">
        <v>-6.806</v>
      </c>
      <c r="F761" t="s">
        <v>26</v>
      </c>
      <c r="G761" t="str">
        <f>_xlfn.XLOOKUP(transakcje[[#This Row],[podkategoria]],parametr[podkategoria],parametr[kategoria])</f>
        <v>życie</v>
      </c>
      <c r="H761" t="str">
        <f>_xlfn.XLOOKUP(transakcje[[#This Row],[kategoria]],parametr[kategoria],parametr[typ])</f>
        <v>wydatki</v>
      </c>
      <c r="I761" s="1">
        <f>ABS(transakcje[[#This Row],[kwota]])</f>
        <v>6.806</v>
      </c>
    </row>
    <row r="762" spans="1:9" x14ac:dyDescent="0.3">
      <c r="A762">
        <v>761</v>
      </c>
      <c r="B762">
        <v>2013</v>
      </c>
      <c r="C762">
        <v>2</v>
      </c>
      <c r="D762">
        <v>13</v>
      </c>
      <c r="E762" s="1">
        <v>-5.9060000000000006</v>
      </c>
      <c r="F762" t="s">
        <v>26</v>
      </c>
      <c r="G762" t="str">
        <f>_xlfn.XLOOKUP(transakcje[[#This Row],[podkategoria]],parametr[podkategoria],parametr[kategoria])</f>
        <v>życie</v>
      </c>
      <c r="H762" t="str">
        <f>_xlfn.XLOOKUP(transakcje[[#This Row],[kategoria]],parametr[kategoria],parametr[typ])</f>
        <v>wydatki</v>
      </c>
      <c r="I762" s="1">
        <f>ABS(transakcje[[#This Row],[kwota]])</f>
        <v>5.9060000000000006</v>
      </c>
    </row>
    <row r="763" spans="1:9" x14ac:dyDescent="0.3">
      <c r="A763">
        <v>762</v>
      </c>
      <c r="B763">
        <v>2013</v>
      </c>
      <c r="C763">
        <v>2</v>
      </c>
      <c r="D763">
        <v>14</v>
      </c>
      <c r="E763" s="1">
        <v>-1.98</v>
      </c>
      <c r="F763" t="s">
        <v>26</v>
      </c>
      <c r="G763" t="str">
        <f>_xlfn.XLOOKUP(transakcje[[#This Row],[podkategoria]],parametr[podkategoria],parametr[kategoria])</f>
        <v>życie</v>
      </c>
      <c r="H763" t="str">
        <f>_xlfn.XLOOKUP(transakcje[[#This Row],[kategoria]],parametr[kategoria],parametr[typ])</f>
        <v>wydatki</v>
      </c>
      <c r="I763" s="1">
        <f>ABS(transakcje[[#This Row],[kwota]])</f>
        <v>1.98</v>
      </c>
    </row>
    <row r="764" spans="1:9" x14ac:dyDescent="0.3">
      <c r="A764">
        <v>763</v>
      </c>
      <c r="B764">
        <v>2013</v>
      </c>
      <c r="C764">
        <v>2</v>
      </c>
      <c r="D764">
        <v>15</v>
      </c>
      <c r="E764" s="1">
        <v>-0.8</v>
      </c>
      <c r="F764" t="s">
        <v>14</v>
      </c>
      <c r="G764" t="str">
        <f>_xlfn.XLOOKUP(transakcje[[#This Row],[podkategoria]],parametr[podkategoria],parametr[kategoria])</f>
        <v>opłaty stałe</v>
      </c>
      <c r="H764" t="str">
        <f>_xlfn.XLOOKUP(transakcje[[#This Row],[kategoria]],parametr[kategoria],parametr[typ])</f>
        <v>wydatki</v>
      </c>
      <c r="I764" s="1">
        <f>ABS(transakcje[[#This Row],[kwota]])</f>
        <v>0.8</v>
      </c>
    </row>
    <row r="765" spans="1:9" x14ac:dyDescent="0.3">
      <c r="A765">
        <v>764</v>
      </c>
      <c r="B765">
        <v>2013</v>
      </c>
      <c r="C765">
        <v>2</v>
      </c>
      <c r="D765">
        <v>16</v>
      </c>
      <c r="E765" s="1">
        <v>-7.8</v>
      </c>
      <c r="F765" t="s">
        <v>36</v>
      </c>
      <c r="G765" t="str">
        <f>_xlfn.XLOOKUP(transakcje[[#This Row],[podkategoria]],parametr[podkategoria],parametr[kategoria])</f>
        <v>opłaty stałe</v>
      </c>
      <c r="H765" t="str">
        <f>_xlfn.XLOOKUP(transakcje[[#This Row],[kategoria]],parametr[kategoria],parametr[typ])</f>
        <v>wydatki</v>
      </c>
      <c r="I765" s="1">
        <f>ABS(transakcje[[#This Row],[kwota]])</f>
        <v>7.8</v>
      </c>
    </row>
    <row r="766" spans="1:9" x14ac:dyDescent="0.3">
      <c r="A766">
        <v>765</v>
      </c>
      <c r="B766">
        <v>2013</v>
      </c>
      <c r="C766">
        <v>2</v>
      </c>
      <c r="D766">
        <v>18</v>
      </c>
      <c r="E766" s="1">
        <v>-16.2</v>
      </c>
      <c r="F766" t="s">
        <v>32</v>
      </c>
      <c r="G766" t="str">
        <f>_xlfn.XLOOKUP(transakcje[[#This Row],[podkategoria]],parametr[podkategoria],parametr[kategoria])</f>
        <v>opłaty stałe</v>
      </c>
      <c r="H766" t="str">
        <f>_xlfn.XLOOKUP(transakcje[[#This Row],[kategoria]],parametr[kategoria],parametr[typ])</f>
        <v>wydatki</v>
      </c>
      <c r="I766" s="1">
        <f>ABS(transakcje[[#This Row],[kwota]])</f>
        <v>16.2</v>
      </c>
    </row>
    <row r="767" spans="1:9" x14ac:dyDescent="0.3">
      <c r="A767">
        <v>766</v>
      </c>
      <c r="B767">
        <v>2013</v>
      </c>
      <c r="C767">
        <v>2</v>
      </c>
      <c r="D767">
        <v>18</v>
      </c>
      <c r="E767" s="1">
        <v>-31.268000000000001</v>
      </c>
      <c r="F767" t="s">
        <v>26</v>
      </c>
      <c r="G767" t="str">
        <f>_xlfn.XLOOKUP(transakcje[[#This Row],[podkategoria]],parametr[podkategoria],parametr[kategoria])</f>
        <v>życie</v>
      </c>
      <c r="H767" t="str">
        <f>_xlfn.XLOOKUP(transakcje[[#This Row],[kategoria]],parametr[kategoria],parametr[typ])</f>
        <v>wydatki</v>
      </c>
      <c r="I767" s="1">
        <f>ABS(transakcje[[#This Row],[kwota]])</f>
        <v>31.268000000000001</v>
      </c>
    </row>
    <row r="768" spans="1:9" x14ac:dyDescent="0.3">
      <c r="A768">
        <v>767</v>
      </c>
      <c r="B768">
        <v>2013</v>
      </c>
      <c r="C768">
        <v>2</v>
      </c>
      <c r="D768">
        <v>19</v>
      </c>
      <c r="E768" s="1">
        <v>-0.39800000000000002</v>
      </c>
      <c r="F768" t="s">
        <v>14</v>
      </c>
      <c r="G768" t="str">
        <f>_xlfn.XLOOKUP(transakcje[[#This Row],[podkategoria]],parametr[podkategoria],parametr[kategoria])</f>
        <v>opłaty stałe</v>
      </c>
      <c r="H768" t="str">
        <f>_xlfn.XLOOKUP(transakcje[[#This Row],[kategoria]],parametr[kategoria],parametr[typ])</f>
        <v>wydatki</v>
      </c>
      <c r="I768" s="1">
        <f>ABS(transakcje[[#This Row],[kwota]])</f>
        <v>0.39800000000000002</v>
      </c>
    </row>
    <row r="769" spans="1:9" x14ac:dyDescent="0.3">
      <c r="A769">
        <v>768</v>
      </c>
      <c r="B769">
        <v>2013</v>
      </c>
      <c r="C769">
        <v>2</v>
      </c>
      <c r="D769">
        <v>19</v>
      </c>
      <c r="E769" s="1">
        <v>-10.040000000000001</v>
      </c>
      <c r="F769" t="s">
        <v>26</v>
      </c>
      <c r="G769" t="str">
        <f>_xlfn.XLOOKUP(transakcje[[#This Row],[podkategoria]],parametr[podkategoria],parametr[kategoria])</f>
        <v>życie</v>
      </c>
      <c r="H769" t="str">
        <f>_xlfn.XLOOKUP(transakcje[[#This Row],[kategoria]],parametr[kategoria],parametr[typ])</f>
        <v>wydatki</v>
      </c>
      <c r="I769" s="1">
        <f>ABS(transakcje[[#This Row],[kwota]])</f>
        <v>10.040000000000001</v>
      </c>
    </row>
    <row r="770" spans="1:9" x14ac:dyDescent="0.3">
      <c r="A770">
        <v>769</v>
      </c>
      <c r="B770">
        <v>2013</v>
      </c>
      <c r="C770">
        <v>2</v>
      </c>
      <c r="D770">
        <v>19</v>
      </c>
      <c r="E770" s="1">
        <v>-8.4060000000000006</v>
      </c>
      <c r="F770" t="s">
        <v>26</v>
      </c>
      <c r="G770" t="str">
        <f>_xlfn.XLOOKUP(transakcje[[#This Row],[podkategoria]],parametr[podkategoria],parametr[kategoria])</f>
        <v>życie</v>
      </c>
      <c r="H770" t="str">
        <f>_xlfn.XLOOKUP(transakcje[[#This Row],[kategoria]],parametr[kategoria],parametr[typ])</f>
        <v>wydatki</v>
      </c>
      <c r="I770" s="1">
        <f>ABS(transakcje[[#This Row],[kwota]])</f>
        <v>8.4060000000000006</v>
      </c>
    </row>
    <row r="771" spans="1:9" x14ac:dyDescent="0.3">
      <c r="A771">
        <v>770</v>
      </c>
      <c r="B771">
        <v>2013</v>
      </c>
      <c r="C771">
        <v>2</v>
      </c>
      <c r="D771">
        <v>26</v>
      </c>
      <c r="E771" s="1">
        <v>421.392</v>
      </c>
      <c r="F771" t="s">
        <v>8</v>
      </c>
      <c r="G771" t="str">
        <f>_xlfn.XLOOKUP(transakcje[[#This Row],[podkategoria]],parametr[podkategoria],parametr[kategoria])</f>
        <v>dochody z pracy</v>
      </c>
      <c r="H771" t="str">
        <f>_xlfn.XLOOKUP(transakcje[[#This Row],[kategoria]],parametr[kategoria],parametr[typ])</f>
        <v>dochody</v>
      </c>
      <c r="I771" s="1">
        <f>ABS(transakcje[[#This Row],[kwota]])</f>
        <v>421.392</v>
      </c>
    </row>
    <row r="772" spans="1:9" x14ac:dyDescent="0.3">
      <c r="A772">
        <v>771</v>
      </c>
      <c r="B772">
        <v>2013</v>
      </c>
      <c r="C772">
        <v>2</v>
      </c>
      <c r="D772">
        <v>26</v>
      </c>
      <c r="E772" s="1">
        <v>-23.07</v>
      </c>
      <c r="F772" t="s">
        <v>26</v>
      </c>
      <c r="G772" t="str">
        <f>_xlfn.XLOOKUP(transakcje[[#This Row],[podkategoria]],parametr[podkategoria],parametr[kategoria])</f>
        <v>życie</v>
      </c>
      <c r="H772" t="str">
        <f>_xlfn.XLOOKUP(transakcje[[#This Row],[kategoria]],parametr[kategoria],parametr[typ])</f>
        <v>wydatki</v>
      </c>
      <c r="I772" s="1">
        <f>ABS(transakcje[[#This Row],[kwota]])</f>
        <v>23.07</v>
      </c>
    </row>
    <row r="773" spans="1:9" x14ac:dyDescent="0.3">
      <c r="A773">
        <v>772</v>
      </c>
      <c r="B773">
        <v>2013</v>
      </c>
      <c r="C773">
        <v>2</v>
      </c>
      <c r="D773">
        <v>28</v>
      </c>
      <c r="E773" s="1">
        <v>2E-3</v>
      </c>
      <c r="F773" t="s">
        <v>17</v>
      </c>
      <c r="G773" t="str">
        <f>_xlfn.XLOOKUP(transakcje[[#This Row],[podkategoria]],parametr[podkategoria],parametr[kategoria])</f>
        <v>dochody pozostałe</v>
      </c>
      <c r="H773" t="str">
        <f>_xlfn.XLOOKUP(transakcje[[#This Row],[kategoria]],parametr[kategoria],parametr[typ])</f>
        <v>dochody</v>
      </c>
      <c r="I773" s="1">
        <f>ABS(transakcje[[#This Row],[kwota]])</f>
        <v>2E-3</v>
      </c>
    </row>
    <row r="774" spans="1:9" x14ac:dyDescent="0.3">
      <c r="A774">
        <v>773</v>
      </c>
      <c r="B774">
        <v>2013</v>
      </c>
      <c r="C774">
        <v>2</v>
      </c>
      <c r="D774">
        <v>28</v>
      </c>
      <c r="E774" s="1">
        <v>-1.198</v>
      </c>
      <c r="F774" t="s">
        <v>14</v>
      </c>
      <c r="G774" t="str">
        <f>_xlfn.XLOOKUP(transakcje[[#This Row],[podkategoria]],parametr[podkategoria],parametr[kategoria])</f>
        <v>opłaty stałe</v>
      </c>
      <c r="H774" t="str">
        <f>_xlfn.XLOOKUP(transakcje[[#This Row],[kategoria]],parametr[kategoria],parametr[typ])</f>
        <v>wydatki</v>
      </c>
      <c r="I774" s="1">
        <f>ABS(transakcje[[#This Row],[kwota]])</f>
        <v>1.198</v>
      </c>
    </row>
    <row r="775" spans="1:9" x14ac:dyDescent="0.3">
      <c r="A775">
        <v>774</v>
      </c>
      <c r="B775">
        <v>2013</v>
      </c>
      <c r="C775">
        <v>2</v>
      </c>
      <c r="D775">
        <v>28</v>
      </c>
      <c r="E775" s="1">
        <v>-0.6</v>
      </c>
      <c r="F775" t="s">
        <v>14</v>
      </c>
      <c r="G775" t="str">
        <f>_xlfn.XLOOKUP(transakcje[[#This Row],[podkategoria]],parametr[podkategoria],parametr[kategoria])</f>
        <v>opłaty stałe</v>
      </c>
      <c r="H775" t="str">
        <f>_xlfn.XLOOKUP(transakcje[[#This Row],[kategoria]],parametr[kategoria],parametr[typ])</f>
        <v>wydatki</v>
      </c>
      <c r="I775" s="1">
        <f>ABS(transakcje[[#This Row],[kwota]])</f>
        <v>0.6</v>
      </c>
    </row>
    <row r="776" spans="1:9" x14ac:dyDescent="0.3">
      <c r="A776">
        <v>775</v>
      </c>
      <c r="B776">
        <v>2013</v>
      </c>
      <c r="C776">
        <v>2</v>
      </c>
      <c r="D776">
        <v>28</v>
      </c>
      <c r="E776" s="1">
        <v>-2E-3</v>
      </c>
      <c r="F776" t="s">
        <v>14</v>
      </c>
      <c r="G776" t="str">
        <f>_xlfn.XLOOKUP(transakcje[[#This Row],[podkategoria]],parametr[podkategoria],parametr[kategoria])</f>
        <v>opłaty stałe</v>
      </c>
      <c r="H776" t="str">
        <f>_xlfn.XLOOKUP(transakcje[[#This Row],[kategoria]],parametr[kategoria],parametr[typ])</f>
        <v>wydatki</v>
      </c>
      <c r="I776" s="1">
        <f>ABS(transakcje[[#This Row],[kwota]])</f>
        <v>2E-3</v>
      </c>
    </row>
    <row r="777" spans="1:9" x14ac:dyDescent="0.3">
      <c r="A777">
        <v>776</v>
      </c>
      <c r="B777">
        <v>2013</v>
      </c>
      <c r="C777">
        <v>3</v>
      </c>
      <c r="D777">
        <v>1</v>
      </c>
      <c r="E777" s="1">
        <v>-52.152000000000001</v>
      </c>
      <c r="F777" t="s">
        <v>31</v>
      </c>
      <c r="G777" t="str">
        <f>_xlfn.XLOOKUP(transakcje[[#This Row],[podkategoria]],parametr[podkategoria],parametr[kategoria])</f>
        <v>opłaty stałe</v>
      </c>
      <c r="H777" t="str">
        <f>_xlfn.XLOOKUP(transakcje[[#This Row],[kategoria]],parametr[kategoria],parametr[typ])</f>
        <v>wydatki</v>
      </c>
      <c r="I777" s="1">
        <f>ABS(transakcje[[#This Row],[kwota]])</f>
        <v>52.152000000000001</v>
      </c>
    </row>
    <row r="778" spans="1:9" x14ac:dyDescent="0.3">
      <c r="A778">
        <v>777</v>
      </c>
      <c r="B778">
        <v>2013</v>
      </c>
      <c r="C778">
        <v>3</v>
      </c>
      <c r="D778">
        <v>1</v>
      </c>
      <c r="E778" s="1">
        <v>-9.7200000000000006</v>
      </c>
      <c r="F778" t="s">
        <v>23</v>
      </c>
      <c r="G778" t="str">
        <f>_xlfn.XLOOKUP(transakcje[[#This Row],[podkategoria]],parametr[podkategoria],parametr[kategoria])</f>
        <v>opłaty stałe</v>
      </c>
      <c r="H778" t="str">
        <f>_xlfn.XLOOKUP(transakcje[[#This Row],[kategoria]],parametr[kategoria],parametr[typ])</f>
        <v>wydatki</v>
      </c>
      <c r="I778" s="1">
        <f>ABS(transakcje[[#This Row],[kwota]])</f>
        <v>9.7200000000000006</v>
      </c>
    </row>
    <row r="779" spans="1:9" x14ac:dyDescent="0.3">
      <c r="A779">
        <v>778</v>
      </c>
      <c r="B779">
        <v>2013</v>
      </c>
      <c r="C779">
        <v>3</v>
      </c>
      <c r="D779">
        <v>1</v>
      </c>
      <c r="E779" s="1">
        <v>-24.16</v>
      </c>
      <c r="F779" t="s">
        <v>34</v>
      </c>
      <c r="G779" t="str">
        <f>_xlfn.XLOOKUP(transakcje[[#This Row],[podkategoria]],parametr[podkategoria],parametr[kategoria])</f>
        <v>opłaty stałe</v>
      </c>
      <c r="H779" t="str">
        <f>_xlfn.XLOOKUP(transakcje[[#This Row],[kategoria]],parametr[kategoria],parametr[typ])</f>
        <v>wydatki</v>
      </c>
      <c r="I779" s="1">
        <f>ABS(transakcje[[#This Row],[kwota]])</f>
        <v>24.16</v>
      </c>
    </row>
    <row r="780" spans="1:9" x14ac:dyDescent="0.3">
      <c r="A780">
        <v>779</v>
      </c>
      <c r="B780">
        <v>2013</v>
      </c>
      <c r="C780">
        <v>3</v>
      </c>
      <c r="D780">
        <v>1</v>
      </c>
      <c r="E780" s="1">
        <v>-3.9899999999999998</v>
      </c>
      <c r="F780" t="s">
        <v>25</v>
      </c>
      <c r="G780" t="str">
        <f>_xlfn.XLOOKUP(transakcje[[#This Row],[podkategoria]],parametr[podkategoria],parametr[kategoria])</f>
        <v>opłaty stałe</v>
      </c>
      <c r="H780" t="str">
        <f>_xlfn.XLOOKUP(transakcje[[#This Row],[kategoria]],parametr[kategoria],parametr[typ])</f>
        <v>wydatki</v>
      </c>
      <c r="I780" s="1">
        <f>ABS(transakcje[[#This Row],[kwota]])</f>
        <v>3.9899999999999998</v>
      </c>
    </row>
    <row r="781" spans="1:9" x14ac:dyDescent="0.3">
      <c r="A781">
        <v>780</v>
      </c>
      <c r="B781">
        <v>2013</v>
      </c>
      <c r="C781">
        <v>3</v>
      </c>
      <c r="D781">
        <v>2</v>
      </c>
      <c r="E781" s="1">
        <v>-6.5680000000000005</v>
      </c>
      <c r="F781" t="s">
        <v>35</v>
      </c>
      <c r="G781" t="str">
        <f>_xlfn.XLOOKUP(transakcje[[#This Row],[podkategoria]],parametr[podkategoria],parametr[kategoria])</f>
        <v>opłaty stałe</v>
      </c>
      <c r="H781" t="str">
        <f>_xlfn.XLOOKUP(transakcje[[#This Row],[kategoria]],parametr[kategoria],parametr[typ])</f>
        <v>wydatki</v>
      </c>
      <c r="I781" s="1">
        <f>ABS(transakcje[[#This Row],[kwota]])</f>
        <v>6.5680000000000005</v>
      </c>
    </row>
    <row r="782" spans="1:9" x14ac:dyDescent="0.3">
      <c r="A782">
        <v>781</v>
      </c>
      <c r="B782">
        <v>2013</v>
      </c>
      <c r="C782">
        <v>3</v>
      </c>
      <c r="D782">
        <v>4</v>
      </c>
      <c r="E782" s="1">
        <v>-4.01</v>
      </c>
      <c r="F782" t="s">
        <v>26</v>
      </c>
      <c r="G782" t="str">
        <f>_xlfn.XLOOKUP(transakcje[[#This Row],[podkategoria]],parametr[podkategoria],parametr[kategoria])</f>
        <v>życie</v>
      </c>
      <c r="H782" t="str">
        <f>_xlfn.XLOOKUP(transakcje[[#This Row],[kategoria]],parametr[kategoria],parametr[typ])</f>
        <v>wydatki</v>
      </c>
      <c r="I782" s="1">
        <f>ABS(transakcje[[#This Row],[kwota]])</f>
        <v>4.01</v>
      </c>
    </row>
    <row r="783" spans="1:9" x14ac:dyDescent="0.3">
      <c r="A783">
        <v>782</v>
      </c>
      <c r="B783">
        <v>2013</v>
      </c>
      <c r="C783">
        <v>3</v>
      </c>
      <c r="D783">
        <v>8</v>
      </c>
      <c r="E783" s="1">
        <v>-4.9539999999999997</v>
      </c>
      <c r="F783" t="s">
        <v>26</v>
      </c>
      <c r="G783" t="str">
        <f>_xlfn.XLOOKUP(transakcje[[#This Row],[podkategoria]],parametr[podkategoria],parametr[kategoria])</f>
        <v>życie</v>
      </c>
      <c r="H783" t="str">
        <f>_xlfn.XLOOKUP(transakcje[[#This Row],[kategoria]],parametr[kategoria],parametr[typ])</f>
        <v>wydatki</v>
      </c>
      <c r="I783" s="1">
        <f>ABS(transakcje[[#This Row],[kwota]])</f>
        <v>4.9539999999999997</v>
      </c>
    </row>
    <row r="784" spans="1:9" x14ac:dyDescent="0.3">
      <c r="A784">
        <v>783</v>
      </c>
      <c r="B784">
        <v>2013</v>
      </c>
      <c r="C784">
        <v>3</v>
      </c>
      <c r="D784">
        <v>8</v>
      </c>
      <c r="E784" s="1">
        <v>-5.6020000000000003</v>
      </c>
      <c r="F784" t="s">
        <v>26</v>
      </c>
      <c r="G784" t="str">
        <f>_xlfn.XLOOKUP(transakcje[[#This Row],[podkategoria]],parametr[podkategoria],parametr[kategoria])</f>
        <v>życie</v>
      </c>
      <c r="H784" t="str">
        <f>_xlfn.XLOOKUP(transakcje[[#This Row],[kategoria]],parametr[kategoria],parametr[typ])</f>
        <v>wydatki</v>
      </c>
      <c r="I784" s="1">
        <f>ABS(transakcje[[#This Row],[kwota]])</f>
        <v>5.6020000000000003</v>
      </c>
    </row>
    <row r="785" spans="1:9" x14ac:dyDescent="0.3">
      <c r="A785">
        <v>784</v>
      </c>
      <c r="B785">
        <v>2013</v>
      </c>
      <c r="C785">
        <v>3</v>
      </c>
      <c r="D785">
        <v>10</v>
      </c>
      <c r="E785" s="1">
        <v>7.1959999999999997</v>
      </c>
      <c r="F785" t="s">
        <v>17</v>
      </c>
      <c r="G785" t="str">
        <f>_xlfn.XLOOKUP(transakcje[[#This Row],[podkategoria]],parametr[podkategoria],parametr[kategoria])</f>
        <v>dochody pozostałe</v>
      </c>
      <c r="H785" t="str">
        <f>_xlfn.XLOOKUP(transakcje[[#This Row],[kategoria]],parametr[kategoria],parametr[typ])</f>
        <v>dochody</v>
      </c>
      <c r="I785" s="1">
        <f>ABS(transakcje[[#This Row],[kwota]])</f>
        <v>7.1959999999999997</v>
      </c>
    </row>
    <row r="786" spans="1:9" x14ac:dyDescent="0.3">
      <c r="A786">
        <v>785</v>
      </c>
      <c r="B786">
        <v>2013</v>
      </c>
      <c r="C786">
        <v>3</v>
      </c>
      <c r="D786">
        <v>11</v>
      </c>
      <c r="E786" s="1">
        <v>-1.1960000000000002</v>
      </c>
      <c r="F786" t="s">
        <v>26</v>
      </c>
      <c r="G786" t="str">
        <f>_xlfn.XLOOKUP(transakcje[[#This Row],[podkategoria]],parametr[podkategoria],parametr[kategoria])</f>
        <v>życie</v>
      </c>
      <c r="H786" t="str">
        <f>_xlfn.XLOOKUP(transakcje[[#This Row],[kategoria]],parametr[kategoria],parametr[typ])</f>
        <v>wydatki</v>
      </c>
      <c r="I786" s="1">
        <f>ABS(transakcje[[#This Row],[kwota]])</f>
        <v>1.1960000000000002</v>
      </c>
    </row>
    <row r="787" spans="1:9" x14ac:dyDescent="0.3">
      <c r="A787">
        <v>786</v>
      </c>
      <c r="B787">
        <v>2013</v>
      </c>
      <c r="C787">
        <v>3</v>
      </c>
      <c r="D787">
        <v>12</v>
      </c>
      <c r="E787" s="1">
        <v>-5.6779999999999999</v>
      </c>
      <c r="F787" t="s">
        <v>26</v>
      </c>
      <c r="G787" t="str">
        <f>_xlfn.XLOOKUP(transakcje[[#This Row],[podkategoria]],parametr[podkategoria],parametr[kategoria])</f>
        <v>życie</v>
      </c>
      <c r="H787" t="str">
        <f>_xlfn.XLOOKUP(transakcje[[#This Row],[kategoria]],parametr[kategoria],parametr[typ])</f>
        <v>wydatki</v>
      </c>
      <c r="I787" s="1">
        <f>ABS(transakcje[[#This Row],[kwota]])</f>
        <v>5.6779999999999999</v>
      </c>
    </row>
    <row r="788" spans="1:9" x14ac:dyDescent="0.3">
      <c r="A788">
        <v>787</v>
      </c>
      <c r="B788">
        <v>2013</v>
      </c>
      <c r="C788">
        <v>3</v>
      </c>
      <c r="D788">
        <v>14</v>
      </c>
      <c r="E788" s="1">
        <v>-16.2</v>
      </c>
      <c r="F788" t="s">
        <v>32</v>
      </c>
      <c r="G788" t="str">
        <f>_xlfn.XLOOKUP(transakcje[[#This Row],[podkategoria]],parametr[podkategoria],parametr[kategoria])</f>
        <v>opłaty stałe</v>
      </c>
      <c r="H788" t="str">
        <f>_xlfn.XLOOKUP(transakcje[[#This Row],[kategoria]],parametr[kategoria],parametr[typ])</f>
        <v>wydatki</v>
      </c>
      <c r="I788" s="1">
        <f>ABS(transakcje[[#This Row],[kwota]])</f>
        <v>16.2</v>
      </c>
    </row>
    <row r="789" spans="1:9" x14ac:dyDescent="0.3">
      <c r="A789">
        <v>788</v>
      </c>
      <c r="B789">
        <v>2013</v>
      </c>
      <c r="C789">
        <v>3</v>
      </c>
      <c r="D789">
        <v>15</v>
      </c>
      <c r="E789" s="1">
        <v>-0.8</v>
      </c>
      <c r="F789" t="s">
        <v>14</v>
      </c>
      <c r="G789" t="str">
        <f>_xlfn.XLOOKUP(transakcje[[#This Row],[podkategoria]],parametr[podkategoria],parametr[kategoria])</f>
        <v>opłaty stałe</v>
      </c>
      <c r="H789" t="str">
        <f>_xlfn.XLOOKUP(transakcje[[#This Row],[kategoria]],parametr[kategoria],parametr[typ])</f>
        <v>wydatki</v>
      </c>
      <c r="I789" s="1">
        <f>ABS(transakcje[[#This Row],[kwota]])</f>
        <v>0.8</v>
      </c>
    </row>
    <row r="790" spans="1:9" x14ac:dyDescent="0.3">
      <c r="A790">
        <v>789</v>
      </c>
      <c r="B790">
        <v>2013</v>
      </c>
      <c r="C790">
        <v>3</v>
      </c>
      <c r="D790">
        <v>19</v>
      </c>
      <c r="E790" s="1">
        <v>-0.39800000000000002</v>
      </c>
      <c r="F790" t="s">
        <v>14</v>
      </c>
      <c r="G790" t="str">
        <f>_xlfn.XLOOKUP(transakcje[[#This Row],[podkategoria]],parametr[podkategoria],parametr[kategoria])</f>
        <v>opłaty stałe</v>
      </c>
      <c r="H790" t="str">
        <f>_xlfn.XLOOKUP(transakcje[[#This Row],[kategoria]],parametr[kategoria],parametr[typ])</f>
        <v>wydatki</v>
      </c>
      <c r="I790" s="1">
        <f>ABS(transakcje[[#This Row],[kwota]])</f>
        <v>0.39800000000000002</v>
      </c>
    </row>
    <row r="791" spans="1:9" x14ac:dyDescent="0.3">
      <c r="A791">
        <v>790</v>
      </c>
      <c r="B791">
        <v>2013</v>
      </c>
      <c r="C791">
        <v>3</v>
      </c>
      <c r="D791">
        <v>22</v>
      </c>
      <c r="E791" s="1">
        <v>-2.456</v>
      </c>
      <c r="F791" t="s">
        <v>26</v>
      </c>
      <c r="G791" t="str">
        <f>_xlfn.XLOOKUP(transakcje[[#This Row],[podkategoria]],parametr[podkategoria],parametr[kategoria])</f>
        <v>życie</v>
      </c>
      <c r="H791" t="str">
        <f>_xlfn.XLOOKUP(transakcje[[#This Row],[kategoria]],parametr[kategoria],parametr[typ])</f>
        <v>wydatki</v>
      </c>
      <c r="I791" s="1">
        <f>ABS(transakcje[[#This Row],[kwota]])</f>
        <v>2.456</v>
      </c>
    </row>
    <row r="792" spans="1:9" x14ac:dyDescent="0.3">
      <c r="A792">
        <v>791</v>
      </c>
      <c r="B792">
        <v>2013</v>
      </c>
      <c r="C792">
        <v>3</v>
      </c>
      <c r="D792">
        <v>25</v>
      </c>
      <c r="E792" s="1">
        <v>421.392</v>
      </c>
      <c r="F792" t="s">
        <v>8</v>
      </c>
      <c r="G792" t="str">
        <f>_xlfn.XLOOKUP(transakcje[[#This Row],[podkategoria]],parametr[podkategoria],parametr[kategoria])</f>
        <v>dochody z pracy</v>
      </c>
      <c r="H792" t="str">
        <f>_xlfn.XLOOKUP(transakcje[[#This Row],[kategoria]],parametr[kategoria],parametr[typ])</f>
        <v>dochody</v>
      </c>
      <c r="I792" s="1">
        <f>ABS(transakcje[[#This Row],[kwota]])</f>
        <v>421.392</v>
      </c>
    </row>
    <row r="793" spans="1:9" x14ac:dyDescent="0.3">
      <c r="A793">
        <v>792</v>
      </c>
      <c r="B793">
        <v>2013</v>
      </c>
      <c r="C793">
        <v>3</v>
      </c>
      <c r="D793">
        <v>28</v>
      </c>
      <c r="E793" s="1">
        <v>-43.8</v>
      </c>
      <c r="F793" t="s">
        <v>26</v>
      </c>
      <c r="G793" t="str">
        <f>_xlfn.XLOOKUP(transakcje[[#This Row],[podkategoria]],parametr[podkategoria],parametr[kategoria])</f>
        <v>życie</v>
      </c>
      <c r="H793" t="str">
        <f>_xlfn.XLOOKUP(transakcje[[#This Row],[kategoria]],parametr[kategoria],parametr[typ])</f>
        <v>wydatki</v>
      </c>
      <c r="I793" s="1">
        <f>ABS(transakcje[[#This Row],[kwota]])</f>
        <v>43.8</v>
      </c>
    </row>
    <row r="794" spans="1:9" x14ac:dyDescent="0.3">
      <c r="A794">
        <v>793</v>
      </c>
      <c r="B794">
        <v>2013</v>
      </c>
      <c r="C794">
        <v>3</v>
      </c>
      <c r="D794">
        <v>28</v>
      </c>
      <c r="E794" s="1">
        <v>-16.2</v>
      </c>
      <c r="F794" t="s">
        <v>32</v>
      </c>
      <c r="G794" t="str">
        <f>_xlfn.XLOOKUP(transakcje[[#This Row],[podkategoria]],parametr[podkategoria],parametr[kategoria])</f>
        <v>opłaty stałe</v>
      </c>
      <c r="H794" t="str">
        <f>_xlfn.XLOOKUP(transakcje[[#This Row],[kategoria]],parametr[kategoria],parametr[typ])</f>
        <v>wydatki</v>
      </c>
      <c r="I794" s="1">
        <f>ABS(transakcje[[#This Row],[kwota]])</f>
        <v>16.2</v>
      </c>
    </row>
    <row r="795" spans="1:9" x14ac:dyDescent="0.3">
      <c r="A795">
        <v>794</v>
      </c>
      <c r="B795">
        <v>2013</v>
      </c>
      <c r="C795">
        <v>3</v>
      </c>
      <c r="D795">
        <v>31</v>
      </c>
      <c r="E795" s="1">
        <v>4.0000000000000001E-3</v>
      </c>
      <c r="F795" t="s">
        <v>17</v>
      </c>
      <c r="G795" t="str">
        <f>_xlfn.XLOOKUP(transakcje[[#This Row],[podkategoria]],parametr[podkategoria],parametr[kategoria])</f>
        <v>dochody pozostałe</v>
      </c>
      <c r="H795" t="str">
        <f>_xlfn.XLOOKUP(transakcje[[#This Row],[kategoria]],parametr[kategoria],parametr[typ])</f>
        <v>dochody</v>
      </c>
      <c r="I795" s="1">
        <f>ABS(transakcje[[#This Row],[kwota]])</f>
        <v>4.0000000000000001E-3</v>
      </c>
    </row>
    <row r="796" spans="1:9" x14ac:dyDescent="0.3">
      <c r="A796">
        <v>795</v>
      </c>
      <c r="B796">
        <v>2013</v>
      </c>
      <c r="C796">
        <v>3</v>
      </c>
      <c r="D796">
        <v>31</v>
      </c>
      <c r="E796" s="1">
        <v>-1.198</v>
      </c>
      <c r="F796" t="s">
        <v>14</v>
      </c>
      <c r="G796" t="str">
        <f>_xlfn.XLOOKUP(transakcje[[#This Row],[podkategoria]],parametr[podkategoria],parametr[kategoria])</f>
        <v>opłaty stałe</v>
      </c>
      <c r="H796" t="str">
        <f>_xlfn.XLOOKUP(transakcje[[#This Row],[kategoria]],parametr[kategoria],parametr[typ])</f>
        <v>wydatki</v>
      </c>
      <c r="I796" s="1">
        <f>ABS(transakcje[[#This Row],[kwota]])</f>
        <v>1.198</v>
      </c>
    </row>
    <row r="797" spans="1:9" x14ac:dyDescent="0.3">
      <c r="A797">
        <v>796</v>
      </c>
      <c r="B797">
        <v>2013</v>
      </c>
      <c r="C797">
        <v>3</v>
      </c>
      <c r="D797">
        <v>31</v>
      </c>
      <c r="E797" s="1">
        <v>-0.4</v>
      </c>
      <c r="F797" t="s">
        <v>14</v>
      </c>
      <c r="G797" t="str">
        <f>_xlfn.XLOOKUP(transakcje[[#This Row],[podkategoria]],parametr[podkategoria],parametr[kategoria])</f>
        <v>opłaty stałe</v>
      </c>
      <c r="H797" t="str">
        <f>_xlfn.XLOOKUP(transakcje[[#This Row],[kategoria]],parametr[kategoria],parametr[typ])</f>
        <v>wydatki</v>
      </c>
      <c r="I797" s="1">
        <f>ABS(transakcje[[#This Row],[kwota]])</f>
        <v>0.4</v>
      </c>
    </row>
    <row r="798" spans="1:9" x14ac:dyDescent="0.3">
      <c r="A798">
        <v>797</v>
      </c>
      <c r="B798">
        <v>2013</v>
      </c>
      <c r="C798">
        <v>3</v>
      </c>
      <c r="D798">
        <v>31</v>
      </c>
      <c r="E798" s="1">
        <v>-2E-3</v>
      </c>
      <c r="F798" t="s">
        <v>14</v>
      </c>
      <c r="G798" t="str">
        <f>_xlfn.XLOOKUP(transakcje[[#This Row],[podkategoria]],parametr[podkategoria],parametr[kategoria])</f>
        <v>opłaty stałe</v>
      </c>
      <c r="H798" t="str">
        <f>_xlfn.XLOOKUP(transakcje[[#This Row],[kategoria]],parametr[kategoria],parametr[typ])</f>
        <v>wydatki</v>
      </c>
      <c r="I798" s="1">
        <f>ABS(transakcje[[#This Row],[kwota]])</f>
        <v>2E-3</v>
      </c>
    </row>
    <row r="799" spans="1:9" x14ac:dyDescent="0.3">
      <c r="A799">
        <v>798</v>
      </c>
      <c r="B799">
        <v>2013</v>
      </c>
      <c r="C799">
        <v>4</v>
      </c>
      <c r="D799">
        <v>5</v>
      </c>
      <c r="E799" s="1">
        <v>-5.3140000000000001</v>
      </c>
      <c r="F799" t="s">
        <v>26</v>
      </c>
      <c r="G799" t="str">
        <f>_xlfn.XLOOKUP(transakcje[[#This Row],[podkategoria]],parametr[podkategoria],parametr[kategoria])</f>
        <v>życie</v>
      </c>
      <c r="H799" t="str">
        <f>_xlfn.XLOOKUP(transakcje[[#This Row],[kategoria]],parametr[kategoria],parametr[typ])</f>
        <v>wydatki</v>
      </c>
      <c r="I799" s="1">
        <f>ABS(transakcje[[#This Row],[kwota]])</f>
        <v>5.3140000000000001</v>
      </c>
    </row>
    <row r="800" spans="1:9" x14ac:dyDescent="0.3">
      <c r="A800">
        <v>799</v>
      </c>
      <c r="B800">
        <v>2013</v>
      </c>
      <c r="C800">
        <v>4</v>
      </c>
      <c r="D800">
        <v>6</v>
      </c>
      <c r="E800" s="1">
        <v>-52.152000000000001</v>
      </c>
      <c r="F800" t="s">
        <v>31</v>
      </c>
      <c r="G800" t="str">
        <f>_xlfn.XLOOKUP(transakcje[[#This Row],[podkategoria]],parametr[podkategoria],parametr[kategoria])</f>
        <v>opłaty stałe</v>
      </c>
      <c r="H800" t="str">
        <f>_xlfn.XLOOKUP(transakcje[[#This Row],[kategoria]],parametr[kategoria],parametr[typ])</f>
        <v>wydatki</v>
      </c>
      <c r="I800" s="1">
        <f>ABS(transakcje[[#This Row],[kwota]])</f>
        <v>52.152000000000001</v>
      </c>
    </row>
    <row r="801" spans="1:9" x14ac:dyDescent="0.3">
      <c r="A801">
        <v>800</v>
      </c>
      <c r="B801">
        <v>2013</v>
      </c>
      <c r="C801">
        <v>4</v>
      </c>
      <c r="D801">
        <v>6</v>
      </c>
      <c r="E801" s="1">
        <v>-9.7200000000000006</v>
      </c>
      <c r="F801" t="s">
        <v>23</v>
      </c>
      <c r="G801" t="str">
        <f>_xlfn.XLOOKUP(transakcje[[#This Row],[podkategoria]],parametr[podkategoria],parametr[kategoria])</f>
        <v>opłaty stałe</v>
      </c>
      <c r="H801" t="str">
        <f>_xlfn.XLOOKUP(transakcje[[#This Row],[kategoria]],parametr[kategoria],parametr[typ])</f>
        <v>wydatki</v>
      </c>
      <c r="I801" s="1">
        <f>ABS(transakcje[[#This Row],[kwota]])</f>
        <v>9.7200000000000006</v>
      </c>
    </row>
    <row r="802" spans="1:9" x14ac:dyDescent="0.3">
      <c r="A802">
        <v>801</v>
      </c>
      <c r="B802">
        <v>2013</v>
      </c>
      <c r="C802">
        <v>4</v>
      </c>
      <c r="D802">
        <v>6</v>
      </c>
      <c r="E802" s="1">
        <v>-3.9899999999999998</v>
      </c>
      <c r="F802" t="s">
        <v>25</v>
      </c>
      <c r="G802" t="str">
        <f>_xlfn.XLOOKUP(transakcje[[#This Row],[podkategoria]],parametr[podkategoria],parametr[kategoria])</f>
        <v>opłaty stałe</v>
      </c>
      <c r="H802" t="str">
        <f>_xlfn.XLOOKUP(transakcje[[#This Row],[kategoria]],parametr[kategoria],parametr[typ])</f>
        <v>wydatki</v>
      </c>
      <c r="I802" s="1">
        <f>ABS(transakcje[[#This Row],[kwota]])</f>
        <v>3.9899999999999998</v>
      </c>
    </row>
    <row r="803" spans="1:9" x14ac:dyDescent="0.3">
      <c r="A803">
        <v>802</v>
      </c>
      <c r="B803">
        <v>2013</v>
      </c>
      <c r="C803">
        <v>4</v>
      </c>
      <c r="D803">
        <v>8</v>
      </c>
      <c r="E803" s="1">
        <v>-14.268000000000001</v>
      </c>
      <c r="F803" t="s">
        <v>26</v>
      </c>
      <c r="G803" t="str">
        <f>_xlfn.XLOOKUP(transakcje[[#This Row],[podkategoria]],parametr[podkategoria],parametr[kategoria])</f>
        <v>życie</v>
      </c>
      <c r="H803" t="str">
        <f>_xlfn.XLOOKUP(transakcje[[#This Row],[kategoria]],parametr[kategoria],parametr[typ])</f>
        <v>wydatki</v>
      </c>
      <c r="I803" s="1">
        <f>ABS(transakcje[[#This Row],[kwota]])</f>
        <v>14.268000000000001</v>
      </c>
    </row>
    <row r="804" spans="1:9" x14ac:dyDescent="0.3">
      <c r="A804">
        <v>803</v>
      </c>
      <c r="B804">
        <v>2013</v>
      </c>
      <c r="C804">
        <v>4</v>
      </c>
      <c r="D804">
        <v>9</v>
      </c>
      <c r="E804" s="1">
        <v>-9.0120000000000005</v>
      </c>
      <c r="F804" t="s">
        <v>26</v>
      </c>
      <c r="G804" t="str">
        <f>_xlfn.XLOOKUP(transakcje[[#This Row],[podkategoria]],parametr[podkategoria],parametr[kategoria])</f>
        <v>życie</v>
      </c>
      <c r="H804" t="str">
        <f>_xlfn.XLOOKUP(transakcje[[#This Row],[kategoria]],parametr[kategoria],parametr[typ])</f>
        <v>wydatki</v>
      </c>
      <c r="I804" s="1">
        <f>ABS(transakcje[[#This Row],[kwota]])</f>
        <v>9.0120000000000005</v>
      </c>
    </row>
    <row r="805" spans="1:9" x14ac:dyDescent="0.3">
      <c r="A805">
        <v>804</v>
      </c>
      <c r="B805">
        <v>2013</v>
      </c>
      <c r="C805">
        <v>4</v>
      </c>
      <c r="D805">
        <v>12</v>
      </c>
      <c r="E805" s="1">
        <v>-3.8759999999999999</v>
      </c>
      <c r="F805" t="s">
        <v>26</v>
      </c>
      <c r="G805" t="str">
        <f>_xlfn.XLOOKUP(transakcje[[#This Row],[podkategoria]],parametr[podkategoria],parametr[kategoria])</f>
        <v>życie</v>
      </c>
      <c r="H805" t="str">
        <f>_xlfn.XLOOKUP(transakcje[[#This Row],[kategoria]],parametr[kategoria],parametr[typ])</f>
        <v>wydatki</v>
      </c>
      <c r="I805" s="1">
        <f>ABS(transakcje[[#This Row],[kwota]])</f>
        <v>3.8759999999999999</v>
      </c>
    </row>
    <row r="806" spans="1:9" x14ac:dyDescent="0.3">
      <c r="A806">
        <v>805</v>
      </c>
      <c r="B806">
        <v>2013</v>
      </c>
      <c r="C806">
        <v>4</v>
      </c>
      <c r="D806">
        <v>15</v>
      </c>
      <c r="E806" s="1">
        <v>-0.8</v>
      </c>
      <c r="F806" t="s">
        <v>14</v>
      </c>
      <c r="G806" t="str">
        <f>_xlfn.XLOOKUP(transakcje[[#This Row],[podkategoria]],parametr[podkategoria],parametr[kategoria])</f>
        <v>opłaty stałe</v>
      </c>
      <c r="H806" t="str">
        <f>_xlfn.XLOOKUP(transakcje[[#This Row],[kategoria]],parametr[kategoria],parametr[typ])</f>
        <v>wydatki</v>
      </c>
      <c r="I806" s="1">
        <f>ABS(transakcje[[#This Row],[kwota]])</f>
        <v>0.8</v>
      </c>
    </row>
    <row r="807" spans="1:9" x14ac:dyDescent="0.3">
      <c r="A807">
        <v>806</v>
      </c>
      <c r="B807">
        <v>2013</v>
      </c>
      <c r="C807">
        <v>4</v>
      </c>
      <c r="D807">
        <v>15</v>
      </c>
      <c r="E807" s="1">
        <v>-3.8520000000000003</v>
      </c>
      <c r="F807" t="s">
        <v>26</v>
      </c>
      <c r="G807" t="str">
        <f>_xlfn.XLOOKUP(transakcje[[#This Row],[podkategoria]],parametr[podkategoria],parametr[kategoria])</f>
        <v>życie</v>
      </c>
      <c r="H807" t="str">
        <f>_xlfn.XLOOKUP(transakcje[[#This Row],[kategoria]],parametr[kategoria],parametr[typ])</f>
        <v>wydatki</v>
      </c>
      <c r="I807" s="1">
        <f>ABS(transakcje[[#This Row],[kwota]])</f>
        <v>3.8520000000000003</v>
      </c>
    </row>
    <row r="808" spans="1:9" x14ac:dyDescent="0.3">
      <c r="A808">
        <v>807</v>
      </c>
      <c r="B808">
        <v>2013</v>
      </c>
      <c r="C808">
        <v>4</v>
      </c>
      <c r="D808">
        <v>16</v>
      </c>
      <c r="E808" s="1">
        <v>-0.39800000000000002</v>
      </c>
      <c r="F808" t="s">
        <v>14</v>
      </c>
      <c r="G808" t="str">
        <f>_xlfn.XLOOKUP(transakcje[[#This Row],[podkategoria]],parametr[podkategoria],parametr[kategoria])</f>
        <v>opłaty stałe</v>
      </c>
      <c r="H808" t="str">
        <f>_xlfn.XLOOKUP(transakcje[[#This Row],[kategoria]],parametr[kategoria],parametr[typ])</f>
        <v>wydatki</v>
      </c>
      <c r="I808" s="1">
        <f>ABS(transakcje[[#This Row],[kwota]])</f>
        <v>0.39800000000000002</v>
      </c>
    </row>
    <row r="809" spans="1:9" x14ac:dyDescent="0.3">
      <c r="A809">
        <v>808</v>
      </c>
      <c r="B809">
        <v>2013</v>
      </c>
      <c r="C809">
        <v>4</v>
      </c>
      <c r="D809">
        <v>19</v>
      </c>
      <c r="E809" s="1">
        <v>-4.1440000000000001</v>
      </c>
      <c r="F809" t="s">
        <v>26</v>
      </c>
      <c r="G809" t="str">
        <f>_xlfn.XLOOKUP(transakcje[[#This Row],[podkategoria]],parametr[podkategoria],parametr[kategoria])</f>
        <v>życie</v>
      </c>
      <c r="H809" t="str">
        <f>_xlfn.XLOOKUP(transakcje[[#This Row],[kategoria]],parametr[kategoria],parametr[typ])</f>
        <v>wydatki</v>
      </c>
      <c r="I809" s="1">
        <f>ABS(transakcje[[#This Row],[kwota]])</f>
        <v>4.1440000000000001</v>
      </c>
    </row>
    <row r="810" spans="1:9" x14ac:dyDescent="0.3">
      <c r="A810">
        <v>809</v>
      </c>
      <c r="B810">
        <v>2013</v>
      </c>
      <c r="C810">
        <v>4</v>
      </c>
      <c r="D810">
        <v>24</v>
      </c>
      <c r="E810" s="1">
        <v>-15.8</v>
      </c>
      <c r="F810" t="s">
        <v>26</v>
      </c>
      <c r="G810" t="str">
        <f>_xlfn.XLOOKUP(transakcje[[#This Row],[podkategoria]],parametr[podkategoria],parametr[kategoria])</f>
        <v>życie</v>
      </c>
      <c r="H810" t="str">
        <f>_xlfn.XLOOKUP(transakcje[[#This Row],[kategoria]],parametr[kategoria],parametr[typ])</f>
        <v>wydatki</v>
      </c>
      <c r="I810" s="1">
        <f>ABS(transakcje[[#This Row],[kwota]])</f>
        <v>15.8</v>
      </c>
    </row>
    <row r="811" spans="1:9" x14ac:dyDescent="0.3">
      <c r="A811">
        <v>810</v>
      </c>
      <c r="B811">
        <v>2013</v>
      </c>
      <c r="C811">
        <v>4</v>
      </c>
      <c r="D811">
        <v>24</v>
      </c>
      <c r="E811" s="1">
        <v>-7.9060000000000006</v>
      </c>
      <c r="F811" t="s">
        <v>26</v>
      </c>
      <c r="G811" t="str">
        <f>_xlfn.XLOOKUP(transakcje[[#This Row],[podkategoria]],parametr[podkategoria],parametr[kategoria])</f>
        <v>życie</v>
      </c>
      <c r="H811" t="str">
        <f>_xlfn.XLOOKUP(transakcje[[#This Row],[kategoria]],parametr[kategoria],parametr[typ])</f>
        <v>wydatki</v>
      </c>
      <c r="I811" s="1">
        <f>ABS(transakcje[[#This Row],[kwota]])</f>
        <v>7.9060000000000006</v>
      </c>
    </row>
    <row r="812" spans="1:9" x14ac:dyDescent="0.3">
      <c r="A812">
        <v>811</v>
      </c>
      <c r="B812">
        <v>2013</v>
      </c>
      <c r="C812">
        <v>4</v>
      </c>
      <c r="D812">
        <v>25</v>
      </c>
      <c r="E812" s="1">
        <v>421.392</v>
      </c>
      <c r="F812" t="s">
        <v>8</v>
      </c>
      <c r="G812" t="str">
        <f>_xlfn.XLOOKUP(transakcje[[#This Row],[podkategoria]],parametr[podkategoria],parametr[kategoria])</f>
        <v>dochody z pracy</v>
      </c>
      <c r="H812" t="str">
        <f>_xlfn.XLOOKUP(transakcje[[#This Row],[kategoria]],parametr[kategoria],parametr[typ])</f>
        <v>dochody</v>
      </c>
      <c r="I812" s="1">
        <f>ABS(transakcje[[#This Row],[kwota]])</f>
        <v>421.392</v>
      </c>
    </row>
    <row r="813" spans="1:9" x14ac:dyDescent="0.3">
      <c r="A813">
        <v>812</v>
      </c>
      <c r="B813">
        <v>2013</v>
      </c>
      <c r="C813">
        <v>4</v>
      </c>
      <c r="D813">
        <v>29</v>
      </c>
      <c r="E813" s="1">
        <v>-8.0359999999999996</v>
      </c>
      <c r="F813" t="s">
        <v>26</v>
      </c>
      <c r="G813" t="str">
        <f>_xlfn.XLOOKUP(transakcje[[#This Row],[podkategoria]],parametr[podkategoria],parametr[kategoria])</f>
        <v>życie</v>
      </c>
      <c r="H813" t="str">
        <f>_xlfn.XLOOKUP(transakcje[[#This Row],[kategoria]],parametr[kategoria],parametr[typ])</f>
        <v>wydatki</v>
      </c>
      <c r="I813" s="1">
        <f>ABS(transakcje[[#This Row],[kwota]])</f>
        <v>8.0359999999999996</v>
      </c>
    </row>
    <row r="814" spans="1:9" x14ac:dyDescent="0.3">
      <c r="A814">
        <v>813</v>
      </c>
      <c r="B814">
        <v>2013</v>
      </c>
      <c r="C814">
        <v>4</v>
      </c>
      <c r="D814">
        <v>30</v>
      </c>
      <c r="E814" s="1">
        <v>4.0000000000000001E-3</v>
      </c>
      <c r="F814" t="s">
        <v>17</v>
      </c>
      <c r="G814" t="str">
        <f>_xlfn.XLOOKUP(transakcje[[#This Row],[podkategoria]],parametr[podkategoria],parametr[kategoria])</f>
        <v>dochody pozostałe</v>
      </c>
      <c r="H814" t="str">
        <f>_xlfn.XLOOKUP(transakcje[[#This Row],[kategoria]],parametr[kategoria],parametr[typ])</f>
        <v>dochody</v>
      </c>
      <c r="I814" s="1">
        <f>ABS(transakcje[[#This Row],[kwota]])</f>
        <v>4.0000000000000001E-3</v>
      </c>
    </row>
    <row r="815" spans="1:9" x14ac:dyDescent="0.3">
      <c r="A815">
        <v>814</v>
      </c>
      <c r="B815">
        <v>2013</v>
      </c>
      <c r="C815">
        <v>4</v>
      </c>
      <c r="D815">
        <v>30</v>
      </c>
      <c r="E815" s="1">
        <v>-1.198</v>
      </c>
      <c r="F815" t="s">
        <v>14</v>
      </c>
      <c r="G815" t="str">
        <f>_xlfn.XLOOKUP(transakcje[[#This Row],[podkategoria]],parametr[podkategoria],parametr[kategoria])</f>
        <v>opłaty stałe</v>
      </c>
      <c r="H815" t="str">
        <f>_xlfn.XLOOKUP(transakcje[[#This Row],[kategoria]],parametr[kategoria],parametr[typ])</f>
        <v>wydatki</v>
      </c>
      <c r="I815" s="1">
        <f>ABS(transakcje[[#This Row],[kwota]])</f>
        <v>1.198</v>
      </c>
    </row>
    <row r="816" spans="1:9" x14ac:dyDescent="0.3">
      <c r="A816">
        <v>815</v>
      </c>
      <c r="B816">
        <v>2013</v>
      </c>
      <c r="C816">
        <v>4</v>
      </c>
      <c r="D816">
        <v>30</v>
      </c>
      <c r="E816" s="1">
        <v>-0.3</v>
      </c>
      <c r="F816" t="s">
        <v>14</v>
      </c>
      <c r="G816" t="str">
        <f>_xlfn.XLOOKUP(transakcje[[#This Row],[podkategoria]],parametr[podkategoria],parametr[kategoria])</f>
        <v>opłaty stałe</v>
      </c>
      <c r="H816" t="str">
        <f>_xlfn.XLOOKUP(transakcje[[#This Row],[kategoria]],parametr[kategoria],parametr[typ])</f>
        <v>wydatki</v>
      </c>
      <c r="I816" s="1">
        <f>ABS(transakcje[[#This Row],[kwota]])</f>
        <v>0.3</v>
      </c>
    </row>
    <row r="817" spans="1:9" x14ac:dyDescent="0.3">
      <c r="A817">
        <v>816</v>
      </c>
      <c r="B817">
        <v>2013</v>
      </c>
      <c r="C817">
        <v>4</v>
      </c>
      <c r="D817">
        <v>30</v>
      </c>
      <c r="E817" s="1">
        <v>-2E-3</v>
      </c>
      <c r="F817" t="s">
        <v>14</v>
      </c>
      <c r="G817" t="str">
        <f>_xlfn.XLOOKUP(transakcje[[#This Row],[podkategoria]],parametr[podkategoria],parametr[kategoria])</f>
        <v>opłaty stałe</v>
      </c>
      <c r="H817" t="str">
        <f>_xlfn.XLOOKUP(transakcje[[#This Row],[kategoria]],parametr[kategoria],parametr[typ])</f>
        <v>wydatki</v>
      </c>
      <c r="I817" s="1">
        <f>ABS(transakcje[[#This Row],[kwota]])</f>
        <v>2E-3</v>
      </c>
    </row>
    <row r="818" spans="1:9" x14ac:dyDescent="0.3">
      <c r="A818">
        <v>817</v>
      </c>
      <c r="B818">
        <v>2013</v>
      </c>
      <c r="C818">
        <v>5</v>
      </c>
      <c r="D818">
        <v>1</v>
      </c>
      <c r="E818" s="1">
        <v>-52.152000000000001</v>
      </c>
      <c r="F818" t="s">
        <v>31</v>
      </c>
      <c r="G818" t="str">
        <f>_xlfn.XLOOKUP(transakcje[[#This Row],[podkategoria]],parametr[podkategoria],parametr[kategoria])</f>
        <v>opłaty stałe</v>
      </c>
      <c r="H818" t="str">
        <f>_xlfn.XLOOKUP(transakcje[[#This Row],[kategoria]],parametr[kategoria],parametr[typ])</f>
        <v>wydatki</v>
      </c>
      <c r="I818" s="1">
        <f>ABS(transakcje[[#This Row],[kwota]])</f>
        <v>52.152000000000001</v>
      </c>
    </row>
    <row r="819" spans="1:9" x14ac:dyDescent="0.3">
      <c r="A819">
        <v>818</v>
      </c>
      <c r="B819">
        <v>2013</v>
      </c>
      <c r="C819">
        <v>5</v>
      </c>
      <c r="D819">
        <v>1</v>
      </c>
      <c r="E819" s="1">
        <v>-9.7200000000000006</v>
      </c>
      <c r="F819" t="s">
        <v>23</v>
      </c>
      <c r="G819" t="str">
        <f>_xlfn.XLOOKUP(transakcje[[#This Row],[podkategoria]],parametr[podkategoria],parametr[kategoria])</f>
        <v>opłaty stałe</v>
      </c>
      <c r="H819" t="str">
        <f>_xlfn.XLOOKUP(transakcje[[#This Row],[kategoria]],parametr[kategoria],parametr[typ])</f>
        <v>wydatki</v>
      </c>
      <c r="I819" s="1">
        <f>ABS(transakcje[[#This Row],[kwota]])</f>
        <v>9.7200000000000006</v>
      </c>
    </row>
    <row r="820" spans="1:9" x14ac:dyDescent="0.3">
      <c r="A820">
        <v>819</v>
      </c>
      <c r="B820">
        <v>2013</v>
      </c>
      <c r="C820">
        <v>5</v>
      </c>
      <c r="D820">
        <v>1</v>
      </c>
      <c r="E820" s="1">
        <v>-14.040000000000001</v>
      </c>
      <c r="F820" t="s">
        <v>34</v>
      </c>
      <c r="G820" t="str">
        <f>_xlfn.XLOOKUP(transakcje[[#This Row],[podkategoria]],parametr[podkategoria],parametr[kategoria])</f>
        <v>opłaty stałe</v>
      </c>
      <c r="H820" t="str">
        <f>_xlfn.XLOOKUP(transakcje[[#This Row],[kategoria]],parametr[kategoria],parametr[typ])</f>
        <v>wydatki</v>
      </c>
      <c r="I820" s="1">
        <f>ABS(transakcje[[#This Row],[kwota]])</f>
        <v>14.040000000000001</v>
      </c>
    </row>
    <row r="821" spans="1:9" x14ac:dyDescent="0.3">
      <c r="A821">
        <v>820</v>
      </c>
      <c r="B821">
        <v>2013</v>
      </c>
      <c r="C821">
        <v>5</v>
      </c>
      <c r="D821">
        <v>1</v>
      </c>
      <c r="E821" s="1">
        <v>-3.9899999999999998</v>
      </c>
      <c r="F821" t="s">
        <v>25</v>
      </c>
      <c r="G821" t="str">
        <f>_xlfn.XLOOKUP(transakcje[[#This Row],[podkategoria]],parametr[podkategoria],parametr[kategoria])</f>
        <v>opłaty stałe</v>
      </c>
      <c r="H821" t="str">
        <f>_xlfn.XLOOKUP(transakcje[[#This Row],[kategoria]],parametr[kategoria],parametr[typ])</f>
        <v>wydatki</v>
      </c>
      <c r="I821" s="1">
        <f>ABS(transakcje[[#This Row],[kwota]])</f>
        <v>3.9899999999999998</v>
      </c>
    </row>
    <row r="822" spans="1:9" x14ac:dyDescent="0.3">
      <c r="A822">
        <v>821</v>
      </c>
      <c r="B822">
        <v>2013</v>
      </c>
      <c r="C822">
        <v>5</v>
      </c>
      <c r="D822">
        <v>1</v>
      </c>
      <c r="E822" s="1">
        <v>-39.58</v>
      </c>
      <c r="F822" t="s">
        <v>20</v>
      </c>
      <c r="G822" t="str">
        <f>_xlfn.XLOOKUP(transakcje[[#This Row],[podkategoria]],parametr[podkategoria],parametr[kategoria])</f>
        <v>trwałe</v>
      </c>
      <c r="H822" t="str">
        <f>_xlfn.XLOOKUP(transakcje[[#This Row],[kategoria]],parametr[kategoria],parametr[typ])</f>
        <v>wydatki</v>
      </c>
      <c r="I822" s="1">
        <f>ABS(transakcje[[#This Row],[kwota]])</f>
        <v>39.58</v>
      </c>
    </row>
    <row r="823" spans="1:9" x14ac:dyDescent="0.3">
      <c r="A823">
        <v>822</v>
      </c>
      <c r="B823">
        <v>2013</v>
      </c>
      <c r="C823">
        <v>5</v>
      </c>
      <c r="D823">
        <v>2</v>
      </c>
      <c r="E823" s="1">
        <v>-46.4</v>
      </c>
      <c r="F823" t="s">
        <v>30</v>
      </c>
      <c r="G823" t="str">
        <f>_xlfn.XLOOKUP(transakcje[[#This Row],[podkategoria]],parametr[podkategoria],parametr[kategoria])</f>
        <v>opłaty stałe</v>
      </c>
      <c r="H823" t="str">
        <f>_xlfn.XLOOKUP(transakcje[[#This Row],[kategoria]],parametr[kategoria],parametr[typ])</f>
        <v>wydatki</v>
      </c>
      <c r="I823" s="1">
        <f>ABS(transakcje[[#This Row],[kwota]])</f>
        <v>46.4</v>
      </c>
    </row>
    <row r="824" spans="1:9" x14ac:dyDescent="0.3">
      <c r="A824">
        <v>823</v>
      </c>
      <c r="B824">
        <v>2013</v>
      </c>
      <c r="C824">
        <v>5</v>
      </c>
      <c r="D824">
        <v>10</v>
      </c>
      <c r="E824" s="1">
        <v>72.465999999999994</v>
      </c>
      <c r="F824" t="s">
        <v>19</v>
      </c>
      <c r="G824" t="str">
        <f>_xlfn.XLOOKUP(transakcje[[#This Row],[podkategoria]],parametr[podkategoria],parametr[kategoria])</f>
        <v>dochody z pracy</v>
      </c>
      <c r="H824" t="str">
        <f>_xlfn.XLOOKUP(transakcje[[#This Row],[kategoria]],parametr[kategoria],parametr[typ])</f>
        <v>dochody</v>
      </c>
      <c r="I824" s="1">
        <f>ABS(transakcje[[#This Row],[kwota]])</f>
        <v>72.465999999999994</v>
      </c>
    </row>
    <row r="825" spans="1:9" x14ac:dyDescent="0.3">
      <c r="A825">
        <v>824</v>
      </c>
      <c r="B825">
        <v>2013</v>
      </c>
      <c r="C825">
        <v>5</v>
      </c>
      <c r="D825">
        <v>10</v>
      </c>
      <c r="E825" s="1">
        <v>-32.799999999999997</v>
      </c>
      <c r="F825" t="s">
        <v>29</v>
      </c>
      <c r="G825" t="str">
        <f>_xlfn.XLOOKUP(transakcje[[#This Row],[podkategoria]],parametr[podkategoria],parametr[kategoria])</f>
        <v>opłaty stałe</v>
      </c>
      <c r="H825" t="str">
        <f>_xlfn.XLOOKUP(transakcje[[#This Row],[kategoria]],parametr[kategoria],parametr[typ])</f>
        <v>wydatki</v>
      </c>
      <c r="I825" s="1">
        <f>ABS(transakcje[[#This Row],[kwota]])</f>
        <v>32.799999999999997</v>
      </c>
    </row>
    <row r="826" spans="1:9" x14ac:dyDescent="0.3">
      <c r="A826">
        <v>825</v>
      </c>
      <c r="B826">
        <v>2013</v>
      </c>
      <c r="C826">
        <v>5</v>
      </c>
      <c r="D826">
        <v>10</v>
      </c>
      <c r="E826" s="1">
        <v>-10.098000000000001</v>
      </c>
      <c r="F826" t="s">
        <v>26</v>
      </c>
      <c r="G826" t="str">
        <f>_xlfn.XLOOKUP(transakcje[[#This Row],[podkategoria]],parametr[podkategoria],parametr[kategoria])</f>
        <v>życie</v>
      </c>
      <c r="H826" t="str">
        <f>_xlfn.XLOOKUP(transakcje[[#This Row],[kategoria]],parametr[kategoria],parametr[typ])</f>
        <v>wydatki</v>
      </c>
      <c r="I826" s="1">
        <f>ABS(transakcje[[#This Row],[kwota]])</f>
        <v>10.098000000000001</v>
      </c>
    </row>
    <row r="827" spans="1:9" x14ac:dyDescent="0.3">
      <c r="A827">
        <v>826</v>
      </c>
      <c r="B827">
        <v>2013</v>
      </c>
      <c r="C827">
        <v>5</v>
      </c>
      <c r="D827">
        <v>13</v>
      </c>
      <c r="E827" s="1">
        <v>-4.7219999999999995</v>
      </c>
      <c r="F827" t="s">
        <v>26</v>
      </c>
      <c r="G827" t="str">
        <f>_xlfn.XLOOKUP(transakcje[[#This Row],[podkategoria]],parametr[podkategoria],parametr[kategoria])</f>
        <v>życie</v>
      </c>
      <c r="H827" t="str">
        <f>_xlfn.XLOOKUP(transakcje[[#This Row],[kategoria]],parametr[kategoria],parametr[typ])</f>
        <v>wydatki</v>
      </c>
      <c r="I827" s="1">
        <f>ABS(transakcje[[#This Row],[kwota]])</f>
        <v>4.7219999999999995</v>
      </c>
    </row>
    <row r="828" spans="1:9" x14ac:dyDescent="0.3">
      <c r="A828">
        <v>827</v>
      </c>
      <c r="B828">
        <v>2013</v>
      </c>
      <c r="C828">
        <v>5</v>
      </c>
      <c r="D828">
        <v>14</v>
      </c>
      <c r="E828" s="1">
        <v>-0.39800000000000002</v>
      </c>
      <c r="F828" t="s">
        <v>14</v>
      </c>
      <c r="G828" t="str">
        <f>_xlfn.XLOOKUP(transakcje[[#This Row],[podkategoria]],parametr[podkategoria],parametr[kategoria])</f>
        <v>opłaty stałe</v>
      </c>
      <c r="H828" t="str">
        <f>_xlfn.XLOOKUP(transakcje[[#This Row],[kategoria]],parametr[kategoria],parametr[typ])</f>
        <v>wydatki</v>
      </c>
      <c r="I828" s="1">
        <f>ABS(transakcje[[#This Row],[kwota]])</f>
        <v>0.39800000000000002</v>
      </c>
    </row>
    <row r="829" spans="1:9" x14ac:dyDescent="0.3">
      <c r="A829">
        <v>828</v>
      </c>
      <c r="B829">
        <v>2013</v>
      </c>
      <c r="C829">
        <v>5</v>
      </c>
      <c r="D829">
        <v>14</v>
      </c>
      <c r="E829" s="1">
        <v>-31.03</v>
      </c>
      <c r="F829" t="s">
        <v>26</v>
      </c>
      <c r="G829" t="str">
        <f>_xlfn.XLOOKUP(transakcje[[#This Row],[podkategoria]],parametr[podkategoria],parametr[kategoria])</f>
        <v>życie</v>
      </c>
      <c r="H829" t="str">
        <f>_xlfn.XLOOKUP(transakcje[[#This Row],[kategoria]],parametr[kategoria],parametr[typ])</f>
        <v>wydatki</v>
      </c>
      <c r="I829" s="1">
        <f>ABS(transakcje[[#This Row],[kwota]])</f>
        <v>31.03</v>
      </c>
    </row>
    <row r="830" spans="1:9" x14ac:dyDescent="0.3">
      <c r="A830">
        <v>829</v>
      </c>
      <c r="B830">
        <v>2013</v>
      </c>
      <c r="C830">
        <v>5</v>
      </c>
      <c r="D830">
        <v>15</v>
      </c>
      <c r="E830" s="1">
        <v>-0.8</v>
      </c>
      <c r="F830" t="s">
        <v>14</v>
      </c>
      <c r="G830" t="str">
        <f>_xlfn.XLOOKUP(transakcje[[#This Row],[podkategoria]],parametr[podkategoria],parametr[kategoria])</f>
        <v>opłaty stałe</v>
      </c>
      <c r="H830" t="str">
        <f>_xlfn.XLOOKUP(transakcje[[#This Row],[kategoria]],parametr[kategoria],parametr[typ])</f>
        <v>wydatki</v>
      </c>
      <c r="I830" s="1">
        <f>ABS(transakcje[[#This Row],[kwota]])</f>
        <v>0.8</v>
      </c>
    </row>
    <row r="831" spans="1:9" x14ac:dyDescent="0.3">
      <c r="A831">
        <v>830</v>
      </c>
      <c r="B831">
        <v>2013</v>
      </c>
      <c r="C831">
        <v>5</v>
      </c>
      <c r="D831">
        <v>15</v>
      </c>
      <c r="E831" s="1">
        <v>-27.463999999999999</v>
      </c>
      <c r="F831" t="s">
        <v>11</v>
      </c>
      <c r="G831" t="str">
        <f>_xlfn.XLOOKUP(transakcje[[#This Row],[podkategoria]],parametr[podkategoria],parametr[kategoria])</f>
        <v>wydatki inne</v>
      </c>
      <c r="H831" t="str">
        <f>_xlfn.XLOOKUP(transakcje[[#This Row],[kategoria]],parametr[kategoria],parametr[typ])</f>
        <v>wydatki</v>
      </c>
      <c r="I831" s="1">
        <f>ABS(transakcje[[#This Row],[kwota]])</f>
        <v>27.463999999999999</v>
      </c>
    </row>
    <row r="832" spans="1:9" x14ac:dyDescent="0.3">
      <c r="A832">
        <v>831</v>
      </c>
      <c r="B832">
        <v>2013</v>
      </c>
      <c r="C832">
        <v>5</v>
      </c>
      <c r="D832">
        <v>21</v>
      </c>
      <c r="E832" s="1">
        <v>-5.8819999999999997</v>
      </c>
      <c r="F832" t="s">
        <v>26</v>
      </c>
      <c r="G832" t="str">
        <f>_xlfn.XLOOKUP(transakcje[[#This Row],[podkategoria]],parametr[podkategoria],parametr[kategoria])</f>
        <v>życie</v>
      </c>
      <c r="H832" t="str">
        <f>_xlfn.XLOOKUP(transakcje[[#This Row],[kategoria]],parametr[kategoria],parametr[typ])</f>
        <v>wydatki</v>
      </c>
      <c r="I832" s="1">
        <f>ABS(transakcje[[#This Row],[kwota]])</f>
        <v>5.8819999999999997</v>
      </c>
    </row>
    <row r="833" spans="1:9" x14ac:dyDescent="0.3">
      <c r="A833">
        <v>832</v>
      </c>
      <c r="B833">
        <v>2013</v>
      </c>
      <c r="C833">
        <v>5</v>
      </c>
      <c r="D833">
        <v>21</v>
      </c>
      <c r="E833" s="1">
        <v>-9.57</v>
      </c>
      <c r="F833" t="s">
        <v>26</v>
      </c>
      <c r="G833" t="str">
        <f>_xlfn.XLOOKUP(transakcje[[#This Row],[podkategoria]],parametr[podkategoria],parametr[kategoria])</f>
        <v>życie</v>
      </c>
      <c r="H833" t="str">
        <f>_xlfn.XLOOKUP(transakcje[[#This Row],[kategoria]],parametr[kategoria],parametr[typ])</f>
        <v>wydatki</v>
      </c>
      <c r="I833" s="1">
        <f>ABS(transakcje[[#This Row],[kwota]])</f>
        <v>9.57</v>
      </c>
    </row>
    <row r="834" spans="1:9" x14ac:dyDescent="0.3">
      <c r="A834">
        <v>833</v>
      </c>
      <c r="B834">
        <v>2013</v>
      </c>
      <c r="C834">
        <v>5</v>
      </c>
      <c r="D834">
        <v>22</v>
      </c>
      <c r="E834" s="1">
        <v>-4.7799999999999994</v>
      </c>
      <c r="F834" t="s">
        <v>26</v>
      </c>
      <c r="G834" t="str">
        <f>_xlfn.XLOOKUP(transakcje[[#This Row],[podkategoria]],parametr[podkategoria],parametr[kategoria])</f>
        <v>życie</v>
      </c>
      <c r="H834" t="str">
        <f>_xlfn.XLOOKUP(transakcje[[#This Row],[kategoria]],parametr[kategoria],parametr[typ])</f>
        <v>wydatki</v>
      </c>
      <c r="I834" s="1">
        <f>ABS(transakcje[[#This Row],[kwota]])</f>
        <v>4.7799999999999994</v>
      </c>
    </row>
    <row r="835" spans="1:9" x14ac:dyDescent="0.3">
      <c r="A835">
        <v>834</v>
      </c>
      <c r="B835">
        <v>2013</v>
      </c>
      <c r="C835">
        <v>5</v>
      </c>
      <c r="D835">
        <v>23</v>
      </c>
      <c r="E835" s="1">
        <v>-2.9859999999999998</v>
      </c>
      <c r="F835" t="s">
        <v>26</v>
      </c>
      <c r="G835" t="str">
        <f>_xlfn.XLOOKUP(transakcje[[#This Row],[podkategoria]],parametr[podkategoria],parametr[kategoria])</f>
        <v>życie</v>
      </c>
      <c r="H835" t="str">
        <f>_xlfn.XLOOKUP(transakcje[[#This Row],[kategoria]],parametr[kategoria],parametr[typ])</f>
        <v>wydatki</v>
      </c>
      <c r="I835" s="1">
        <f>ABS(transakcje[[#This Row],[kwota]])</f>
        <v>2.9859999999999998</v>
      </c>
    </row>
    <row r="836" spans="1:9" x14ac:dyDescent="0.3">
      <c r="A836">
        <v>835</v>
      </c>
      <c r="B836">
        <v>2013</v>
      </c>
      <c r="C836">
        <v>5</v>
      </c>
      <c r="D836">
        <v>27</v>
      </c>
      <c r="E836" s="1">
        <v>-16.2</v>
      </c>
      <c r="F836" t="s">
        <v>32</v>
      </c>
      <c r="G836" t="str">
        <f>_xlfn.XLOOKUP(transakcje[[#This Row],[podkategoria]],parametr[podkategoria],parametr[kategoria])</f>
        <v>opłaty stałe</v>
      </c>
      <c r="H836" t="str">
        <f>_xlfn.XLOOKUP(transakcje[[#This Row],[kategoria]],parametr[kategoria],parametr[typ])</f>
        <v>wydatki</v>
      </c>
      <c r="I836" s="1">
        <f>ABS(transakcje[[#This Row],[kwota]])</f>
        <v>16.2</v>
      </c>
    </row>
    <row r="837" spans="1:9" x14ac:dyDescent="0.3">
      <c r="A837">
        <v>836</v>
      </c>
      <c r="B837">
        <v>2013</v>
      </c>
      <c r="C837">
        <v>5</v>
      </c>
      <c r="D837">
        <v>27</v>
      </c>
      <c r="E837" s="1">
        <v>-13.8</v>
      </c>
      <c r="F837" t="s">
        <v>26</v>
      </c>
      <c r="G837" t="str">
        <f>_xlfn.XLOOKUP(transakcje[[#This Row],[podkategoria]],parametr[podkategoria],parametr[kategoria])</f>
        <v>życie</v>
      </c>
      <c r="H837" t="str">
        <f>_xlfn.XLOOKUP(transakcje[[#This Row],[kategoria]],parametr[kategoria],parametr[typ])</f>
        <v>wydatki</v>
      </c>
      <c r="I837" s="1">
        <f>ABS(transakcje[[#This Row],[kwota]])</f>
        <v>13.8</v>
      </c>
    </row>
    <row r="838" spans="1:9" x14ac:dyDescent="0.3">
      <c r="A838">
        <v>837</v>
      </c>
      <c r="B838">
        <v>2013</v>
      </c>
      <c r="C838">
        <v>5</v>
      </c>
      <c r="D838">
        <v>27</v>
      </c>
      <c r="E838" s="1">
        <v>421.392</v>
      </c>
      <c r="F838" t="s">
        <v>8</v>
      </c>
      <c r="G838" t="str">
        <f>_xlfn.XLOOKUP(transakcje[[#This Row],[podkategoria]],parametr[podkategoria],parametr[kategoria])</f>
        <v>dochody z pracy</v>
      </c>
      <c r="H838" t="str">
        <f>_xlfn.XLOOKUP(transakcje[[#This Row],[kategoria]],parametr[kategoria],parametr[typ])</f>
        <v>dochody</v>
      </c>
      <c r="I838" s="1">
        <f>ABS(transakcje[[#This Row],[kwota]])</f>
        <v>421.392</v>
      </c>
    </row>
    <row r="839" spans="1:9" x14ac:dyDescent="0.3">
      <c r="A839">
        <v>838</v>
      </c>
      <c r="B839">
        <v>2013</v>
      </c>
      <c r="C839">
        <v>5</v>
      </c>
      <c r="D839">
        <v>27</v>
      </c>
      <c r="E839" s="1">
        <v>-3.5979999999999999</v>
      </c>
      <c r="F839" t="s">
        <v>26</v>
      </c>
      <c r="G839" t="str">
        <f>_xlfn.XLOOKUP(transakcje[[#This Row],[podkategoria]],parametr[podkategoria],parametr[kategoria])</f>
        <v>życie</v>
      </c>
      <c r="H839" t="str">
        <f>_xlfn.XLOOKUP(transakcje[[#This Row],[kategoria]],parametr[kategoria],parametr[typ])</f>
        <v>wydatki</v>
      </c>
      <c r="I839" s="1">
        <f>ABS(transakcje[[#This Row],[kwota]])</f>
        <v>3.5979999999999999</v>
      </c>
    </row>
    <row r="840" spans="1:9" x14ac:dyDescent="0.3">
      <c r="A840">
        <v>839</v>
      </c>
      <c r="B840">
        <v>2013</v>
      </c>
      <c r="C840">
        <v>5</v>
      </c>
      <c r="D840">
        <v>28</v>
      </c>
      <c r="E840" s="1">
        <v>-6.3579999999999997</v>
      </c>
      <c r="F840" t="s">
        <v>35</v>
      </c>
      <c r="G840" t="str">
        <f>_xlfn.XLOOKUP(transakcje[[#This Row],[podkategoria]],parametr[podkategoria],parametr[kategoria])</f>
        <v>opłaty stałe</v>
      </c>
      <c r="H840" t="str">
        <f>_xlfn.XLOOKUP(transakcje[[#This Row],[kategoria]],parametr[kategoria],parametr[typ])</f>
        <v>wydatki</v>
      </c>
      <c r="I840" s="1">
        <f>ABS(transakcje[[#This Row],[kwota]])</f>
        <v>6.3579999999999997</v>
      </c>
    </row>
    <row r="841" spans="1:9" x14ac:dyDescent="0.3">
      <c r="A841">
        <v>840</v>
      </c>
      <c r="B841">
        <v>2013</v>
      </c>
      <c r="C841">
        <v>5</v>
      </c>
      <c r="D841">
        <v>31</v>
      </c>
      <c r="E841" s="1">
        <v>4.0000000000000001E-3</v>
      </c>
      <c r="F841" t="s">
        <v>17</v>
      </c>
      <c r="G841" t="str">
        <f>_xlfn.XLOOKUP(transakcje[[#This Row],[podkategoria]],parametr[podkategoria],parametr[kategoria])</f>
        <v>dochody pozostałe</v>
      </c>
      <c r="H841" t="str">
        <f>_xlfn.XLOOKUP(transakcje[[#This Row],[kategoria]],parametr[kategoria],parametr[typ])</f>
        <v>dochody</v>
      </c>
      <c r="I841" s="1">
        <f>ABS(transakcje[[#This Row],[kwota]])</f>
        <v>4.0000000000000001E-3</v>
      </c>
    </row>
    <row r="842" spans="1:9" x14ac:dyDescent="0.3">
      <c r="A842">
        <v>841</v>
      </c>
      <c r="B842">
        <v>2013</v>
      </c>
      <c r="C842">
        <v>5</v>
      </c>
      <c r="D842">
        <v>31</v>
      </c>
      <c r="E842" s="1">
        <v>-1.198</v>
      </c>
      <c r="F842" t="s">
        <v>14</v>
      </c>
      <c r="G842" t="str">
        <f>_xlfn.XLOOKUP(transakcje[[#This Row],[podkategoria]],parametr[podkategoria],parametr[kategoria])</f>
        <v>opłaty stałe</v>
      </c>
      <c r="H842" t="str">
        <f>_xlfn.XLOOKUP(transakcje[[#This Row],[kategoria]],parametr[kategoria],parametr[typ])</f>
        <v>wydatki</v>
      </c>
      <c r="I842" s="1">
        <f>ABS(transakcje[[#This Row],[kwota]])</f>
        <v>1.198</v>
      </c>
    </row>
    <row r="843" spans="1:9" x14ac:dyDescent="0.3">
      <c r="A843">
        <v>842</v>
      </c>
      <c r="B843">
        <v>2013</v>
      </c>
      <c r="C843">
        <v>5</v>
      </c>
      <c r="D843">
        <v>31</v>
      </c>
      <c r="E843" s="1">
        <v>-0.6</v>
      </c>
      <c r="F843" t="s">
        <v>14</v>
      </c>
      <c r="G843" t="str">
        <f>_xlfn.XLOOKUP(transakcje[[#This Row],[podkategoria]],parametr[podkategoria],parametr[kategoria])</f>
        <v>opłaty stałe</v>
      </c>
      <c r="H843" t="str">
        <f>_xlfn.XLOOKUP(transakcje[[#This Row],[kategoria]],parametr[kategoria],parametr[typ])</f>
        <v>wydatki</v>
      </c>
      <c r="I843" s="1">
        <f>ABS(transakcje[[#This Row],[kwota]])</f>
        <v>0.6</v>
      </c>
    </row>
    <row r="844" spans="1:9" x14ac:dyDescent="0.3">
      <c r="A844">
        <v>843</v>
      </c>
      <c r="B844">
        <v>2013</v>
      </c>
      <c r="C844">
        <v>5</v>
      </c>
      <c r="D844">
        <v>31</v>
      </c>
      <c r="E844" s="1">
        <v>-2E-3</v>
      </c>
      <c r="F844" t="s">
        <v>14</v>
      </c>
      <c r="G844" t="str">
        <f>_xlfn.XLOOKUP(transakcje[[#This Row],[podkategoria]],parametr[podkategoria],parametr[kategoria])</f>
        <v>opłaty stałe</v>
      </c>
      <c r="H844" t="str">
        <f>_xlfn.XLOOKUP(transakcje[[#This Row],[kategoria]],parametr[kategoria],parametr[typ])</f>
        <v>wydatki</v>
      </c>
      <c r="I844" s="1">
        <f>ABS(transakcje[[#This Row],[kwota]])</f>
        <v>2E-3</v>
      </c>
    </row>
    <row r="845" spans="1:9" x14ac:dyDescent="0.3">
      <c r="A845">
        <v>844</v>
      </c>
      <c r="B845">
        <v>2013</v>
      </c>
      <c r="C845">
        <v>6</v>
      </c>
      <c r="D845">
        <v>1</v>
      </c>
      <c r="E845" s="1">
        <v>-28.93</v>
      </c>
      <c r="F845" t="s">
        <v>20</v>
      </c>
      <c r="G845" t="str">
        <f>_xlfn.XLOOKUP(transakcje[[#This Row],[podkategoria]],parametr[podkategoria],parametr[kategoria])</f>
        <v>trwałe</v>
      </c>
      <c r="H845" t="str">
        <f>_xlfn.XLOOKUP(transakcje[[#This Row],[kategoria]],parametr[kategoria],parametr[typ])</f>
        <v>wydatki</v>
      </c>
      <c r="I845" s="1">
        <f>ABS(transakcje[[#This Row],[kwota]])</f>
        <v>28.93</v>
      </c>
    </row>
    <row r="846" spans="1:9" x14ac:dyDescent="0.3">
      <c r="A846">
        <v>845</v>
      </c>
      <c r="B846">
        <v>2013</v>
      </c>
      <c r="C846">
        <v>6</v>
      </c>
      <c r="D846">
        <v>1</v>
      </c>
      <c r="E846" s="1">
        <v>-52.152000000000001</v>
      </c>
      <c r="F846" t="s">
        <v>31</v>
      </c>
      <c r="G846" t="str">
        <f>_xlfn.XLOOKUP(transakcje[[#This Row],[podkategoria]],parametr[podkategoria],parametr[kategoria])</f>
        <v>opłaty stałe</v>
      </c>
      <c r="H846" t="str">
        <f>_xlfn.XLOOKUP(transakcje[[#This Row],[kategoria]],parametr[kategoria],parametr[typ])</f>
        <v>wydatki</v>
      </c>
      <c r="I846" s="1">
        <f>ABS(transakcje[[#This Row],[kwota]])</f>
        <v>52.152000000000001</v>
      </c>
    </row>
    <row r="847" spans="1:9" x14ac:dyDescent="0.3">
      <c r="A847">
        <v>846</v>
      </c>
      <c r="B847">
        <v>2013</v>
      </c>
      <c r="C847">
        <v>6</v>
      </c>
      <c r="D847">
        <v>1</v>
      </c>
      <c r="E847" s="1">
        <v>-9.7200000000000006</v>
      </c>
      <c r="F847" t="s">
        <v>23</v>
      </c>
      <c r="G847" t="str">
        <f>_xlfn.XLOOKUP(transakcje[[#This Row],[podkategoria]],parametr[podkategoria],parametr[kategoria])</f>
        <v>opłaty stałe</v>
      </c>
      <c r="H847" t="str">
        <f>_xlfn.XLOOKUP(transakcje[[#This Row],[kategoria]],parametr[kategoria],parametr[typ])</f>
        <v>wydatki</v>
      </c>
      <c r="I847" s="1">
        <f>ABS(transakcje[[#This Row],[kwota]])</f>
        <v>9.7200000000000006</v>
      </c>
    </row>
    <row r="848" spans="1:9" x14ac:dyDescent="0.3">
      <c r="A848">
        <v>847</v>
      </c>
      <c r="B848">
        <v>2013</v>
      </c>
      <c r="C848">
        <v>6</v>
      </c>
      <c r="D848">
        <v>1</v>
      </c>
      <c r="E848" s="1">
        <v>-9.379999999999999</v>
      </c>
      <c r="F848" t="s">
        <v>26</v>
      </c>
      <c r="G848" t="str">
        <f>_xlfn.XLOOKUP(transakcje[[#This Row],[podkategoria]],parametr[podkategoria],parametr[kategoria])</f>
        <v>życie</v>
      </c>
      <c r="H848" t="str">
        <f>_xlfn.XLOOKUP(transakcje[[#This Row],[kategoria]],parametr[kategoria],parametr[typ])</f>
        <v>wydatki</v>
      </c>
      <c r="I848" s="1">
        <f>ABS(transakcje[[#This Row],[kwota]])</f>
        <v>9.379999999999999</v>
      </c>
    </row>
    <row r="849" spans="1:9" x14ac:dyDescent="0.3">
      <c r="A849">
        <v>848</v>
      </c>
      <c r="B849">
        <v>2013</v>
      </c>
      <c r="C849">
        <v>6</v>
      </c>
      <c r="D849">
        <v>5</v>
      </c>
      <c r="E849" s="1">
        <v>-3.7439999999999998</v>
      </c>
      <c r="F849" t="s">
        <v>26</v>
      </c>
      <c r="G849" t="str">
        <f>_xlfn.XLOOKUP(transakcje[[#This Row],[podkategoria]],parametr[podkategoria],parametr[kategoria])</f>
        <v>życie</v>
      </c>
      <c r="H849" t="str">
        <f>_xlfn.XLOOKUP(transakcje[[#This Row],[kategoria]],parametr[kategoria],parametr[typ])</f>
        <v>wydatki</v>
      </c>
      <c r="I849" s="1">
        <f>ABS(transakcje[[#This Row],[kwota]])</f>
        <v>3.7439999999999998</v>
      </c>
    </row>
    <row r="850" spans="1:9" x14ac:dyDescent="0.3">
      <c r="A850">
        <v>849</v>
      </c>
      <c r="B850">
        <v>2013</v>
      </c>
      <c r="C850">
        <v>6</v>
      </c>
      <c r="D850">
        <v>7</v>
      </c>
      <c r="E850" s="1">
        <v>-5.8079999999999998</v>
      </c>
      <c r="F850" t="s">
        <v>25</v>
      </c>
      <c r="G850" t="str">
        <f>_xlfn.XLOOKUP(transakcje[[#This Row],[podkategoria]],parametr[podkategoria],parametr[kategoria])</f>
        <v>opłaty stałe</v>
      </c>
      <c r="H850" t="str">
        <f>_xlfn.XLOOKUP(transakcje[[#This Row],[kategoria]],parametr[kategoria],parametr[typ])</f>
        <v>wydatki</v>
      </c>
      <c r="I850" s="1">
        <f>ABS(transakcje[[#This Row],[kwota]])</f>
        <v>5.8079999999999998</v>
      </c>
    </row>
    <row r="851" spans="1:9" x14ac:dyDescent="0.3">
      <c r="A851">
        <v>850</v>
      </c>
      <c r="B851">
        <v>2013</v>
      </c>
      <c r="C851">
        <v>6</v>
      </c>
      <c r="D851">
        <v>8</v>
      </c>
      <c r="E851" s="1">
        <v>-35.792000000000002</v>
      </c>
      <c r="F851" t="s">
        <v>20</v>
      </c>
      <c r="G851" t="str">
        <f>_xlfn.XLOOKUP(transakcje[[#This Row],[podkategoria]],parametr[podkategoria],parametr[kategoria])</f>
        <v>trwałe</v>
      </c>
      <c r="H851" t="str">
        <f>_xlfn.XLOOKUP(transakcje[[#This Row],[kategoria]],parametr[kategoria],parametr[typ])</f>
        <v>wydatki</v>
      </c>
      <c r="I851" s="1">
        <f>ABS(transakcje[[#This Row],[kwota]])</f>
        <v>35.792000000000002</v>
      </c>
    </row>
    <row r="852" spans="1:9" x14ac:dyDescent="0.3">
      <c r="A852">
        <v>851</v>
      </c>
      <c r="B852">
        <v>2013</v>
      </c>
      <c r="C852">
        <v>6</v>
      </c>
      <c r="D852">
        <v>8</v>
      </c>
      <c r="E852" s="1">
        <v>-60.664000000000001</v>
      </c>
      <c r="F852" t="s">
        <v>20</v>
      </c>
      <c r="G852" t="str">
        <f>_xlfn.XLOOKUP(transakcje[[#This Row],[podkategoria]],parametr[podkategoria],parametr[kategoria])</f>
        <v>trwałe</v>
      </c>
      <c r="H852" t="str">
        <f>_xlfn.XLOOKUP(transakcje[[#This Row],[kategoria]],parametr[kategoria],parametr[typ])</f>
        <v>wydatki</v>
      </c>
      <c r="I852" s="1">
        <f>ABS(transakcje[[#This Row],[kwota]])</f>
        <v>60.664000000000001</v>
      </c>
    </row>
    <row r="853" spans="1:9" x14ac:dyDescent="0.3">
      <c r="A853">
        <v>852</v>
      </c>
      <c r="B853">
        <v>2013</v>
      </c>
      <c r="C853">
        <v>6</v>
      </c>
      <c r="D853">
        <v>11</v>
      </c>
      <c r="E853" s="1">
        <v>-16.2</v>
      </c>
      <c r="F853" t="s">
        <v>32</v>
      </c>
      <c r="G853" t="str">
        <f>_xlfn.XLOOKUP(transakcje[[#This Row],[podkategoria]],parametr[podkategoria],parametr[kategoria])</f>
        <v>opłaty stałe</v>
      </c>
      <c r="H853" t="str">
        <f>_xlfn.XLOOKUP(transakcje[[#This Row],[kategoria]],parametr[kategoria],parametr[typ])</f>
        <v>wydatki</v>
      </c>
      <c r="I853" s="1">
        <f>ABS(transakcje[[#This Row],[kwota]])</f>
        <v>16.2</v>
      </c>
    </row>
    <row r="854" spans="1:9" x14ac:dyDescent="0.3">
      <c r="A854">
        <v>853</v>
      </c>
      <c r="B854">
        <v>2013</v>
      </c>
      <c r="C854">
        <v>6</v>
      </c>
      <c r="D854">
        <v>11</v>
      </c>
      <c r="E854" s="1">
        <v>-0.39800000000000002</v>
      </c>
      <c r="F854" t="s">
        <v>14</v>
      </c>
      <c r="G854" t="str">
        <f>_xlfn.XLOOKUP(transakcje[[#This Row],[podkategoria]],parametr[podkategoria],parametr[kategoria])</f>
        <v>opłaty stałe</v>
      </c>
      <c r="H854" t="str">
        <f>_xlfn.XLOOKUP(transakcje[[#This Row],[kategoria]],parametr[kategoria],parametr[typ])</f>
        <v>wydatki</v>
      </c>
      <c r="I854" s="1">
        <f>ABS(transakcje[[#This Row],[kwota]])</f>
        <v>0.39800000000000002</v>
      </c>
    </row>
    <row r="855" spans="1:9" x14ac:dyDescent="0.3">
      <c r="A855">
        <v>854</v>
      </c>
      <c r="B855">
        <v>2013</v>
      </c>
      <c r="C855">
        <v>6</v>
      </c>
      <c r="D855">
        <v>15</v>
      </c>
      <c r="E855" s="1">
        <v>-16.622</v>
      </c>
      <c r="F855" t="s">
        <v>20</v>
      </c>
      <c r="G855" t="str">
        <f>_xlfn.XLOOKUP(transakcje[[#This Row],[podkategoria]],parametr[podkategoria],parametr[kategoria])</f>
        <v>trwałe</v>
      </c>
      <c r="H855" t="str">
        <f>_xlfn.XLOOKUP(transakcje[[#This Row],[kategoria]],parametr[kategoria],parametr[typ])</f>
        <v>wydatki</v>
      </c>
      <c r="I855" s="1">
        <f>ABS(transakcje[[#This Row],[kwota]])</f>
        <v>16.622</v>
      </c>
    </row>
    <row r="856" spans="1:9" x14ac:dyDescent="0.3">
      <c r="A856">
        <v>855</v>
      </c>
      <c r="B856">
        <v>2013</v>
      </c>
      <c r="C856">
        <v>6</v>
      </c>
      <c r="D856">
        <v>15</v>
      </c>
      <c r="E856" s="1">
        <v>-0.8</v>
      </c>
      <c r="F856" t="s">
        <v>14</v>
      </c>
      <c r="G856" t="str">
        <f>_xlfn.XLOOKUP(transakcje[[#This Row],[podkategoria]],parametr[podkategoria],parametr[kategoria])</f>
        <v>opłaty stałe</v>
      </c>
      <c r="H856" t="str">
        <f>_xlfn.XLOOKUP(transakcje[[#This Row],[kategoria]],parametr[kategoria],parametr[typ])</f>
        <v>wydatki</v>
      </c>
      <c r="I856" s="1">
        <f>ABS(transakcje[[#This Row],[kwota]])</f>
        <v>0.8</v>
      </c>
    </row>
    <row r="857" spans="1:9" x14ac:dyDescent="0.3">
      <c r="A857">
        <v>856</v>
      </c>
      <c r="B857">
        <v>2013</v>
      </c>
      <c r="C857">
        <v>6</v>
      </c>
      <c r="D857">
        <v>16</v>
      </c>
      <c r="E857" s="1">
        <v>-5.1760000000000002</v>
      </c>
      <c r="F857" t="s">
        <v>26</v>
      </c>
      <c r="G857" t="str">
        <f>_xlfn.XLOOKUP(transakcje[[#This Row],[podkategoria]],parametr[podkategoria],parametr[kategoria])</f>
        <v>życie</v>
      </c>
      <c r="H857" t="str">
        <f>_xlfn.XLOOKUP(transakcje[[#This Row],[kategoria]],parametr[kategoria],parametr[typ])</f>
        <v>wydatki</v>
      </c>
      <c r="I857" s="1">
        <f>ABS(transakcje[[#This Row],[kwota]])</f>
        <v>5.1760000000000002</v>
      </c>
    </row>
    <row r="858" spans="1:9" x14ac:dyDescent="0.3">
      <c r="A858">
        <v>857</v>
      </c>
      <c r="B858">
        <v>2013</v>
      </c>
      <c r="C858">
        <v>6</v>
      </c>
      <c r="D858">
        <v>19</v>
      </c>
      <c r="E858" s="1">
        <v>-16.8</v>
      </c>
      <c r="F858" t="s">
        <v>33</v>
      </c>
      <c r="G858" t="str">
        <f>_xlfn.XLOOKUP(transakcje[[#This Row],[podkategoria]],parametr[podkategoria],parametr[kategoria])</f>
        <v>trwałe</v>
      </c>
      <c r="H858" t="str">
        <f>_xlfn.XLOOKUP(transakcje[[#This Row],[kategoria]],parametr[kategoria],parametr[typ])</f>
        <v>wydatki</v>
      </c>
      <c r="I858" s="1">
        <f>ABS(transakcje[[#This Row],[kwota]])</f>
        <v>16.8</v>
      </c>
    </row>
    <row r="859" spans="1:9" x14ac:dyDescent="0.3">
      <c r="A859">
        <v>858</v>
      </c>
      <c r="B859">
        <v>2013</v>
      </c>
      <c r="C859">
        <v>6</v>
      </c>
      <c r="D859">
        <v>25</v>
      </c>
      <c r="E859" s="1">
        <v>421.392</v>
      </c>
      <c r="F859" t="s">
        <v>8</v>
      </c>
      <c r="G859" t="str">
        <f>_xlfn.XLOOKUP(transakcje[[#This Row],[podkategoria]],parametr[podkategoria],parametr[kategoria])</f>
        <v>dochody z pracy</v>
      </c>
      <c r="H859" t="str">
        <f>_xlfn.XLOOKUP(transakcje[[#This Row],[kategoria]],parametr[kategoria],parametr[typ])</f>
        <v>dochody</v>
      </c>
      <c r="I859" s="1">
        <f>ABS(transakcje[[#This Row],[kwota]])</f>
        <v>421.392</v>
      </c>
    </row>
    <row r="860" spans="1:9" x14ac:dyDescent="0.3">
      <c r="A860">
        <v>859</v>
      </c>
      <c r="B860">
        <v>2013</v>
      </c>
      <c r="C860">
        <v>6</v>
      </c>
      <c r="D860">
        <v>26</v>
      </c>
      <c r="E860" s="1">
        <v>-19.731999999999999</v>
      </c>
      <c r="F860" t="s">
        <v>26</v>
      </c>
      <c r="G860" t="str">
        <f>_xlfn.XLOOKUP(transakcje[[#This Row],[podkategoria]],parametr[podkategoria],parametr[kategoria])</f>
        <v>życie</v>
      </c>
      <c r="H860" t="str">
        <f>_xlfn.XLOOKUP(transakcje[[#This Row],[kategoria]],parametr[kategoria],parametr[typ])</f>
        <v>wydatki</v>
      </c>
      <c r="I860" s="1">
        <f>ABS(transakcje[[#This Row],[kwota]])</f>
        <v>19.731999999999999</v>
      </c>
    </row>
    <row r="861" spans="1:9" x14ac:dyDescent="0.3">
      <c r="A861">
        <v>860</v>
      </c>
      <c r="B861">
        <v>2013</v>
      </c>
      <c r="C861">
        <v>6</v>
      </c>
      <c r="D861">
        <v>28</v>
      </c>
      <c r="E861" s="1">
        <v>-9.9540000000000006</v>
      </c>
      <c r="F861" t="s">
        <v>26</v>
      </c>
      <c r="G861" t="str">
        <f>_xlfn.XLOOKUP(transakcje[[#This Row],[podkategoria]],parametr[podkategoria],parametr[kategoria])</f>
        <v>życie</v>
      </c>
      <c r="H861" t="str">
        <f>_xlfn.XLOOKUP(transakcje[[#This Row],[kategoria]],parametr[kategoria],parametr[typ])</f>
        <v>wydatki</v>
      </c>
      <c r="I861" s="1">
        <f>ABS(transakcje[[#This Row],[kwota]])</f>
        <v>9.9540000000000006</v>
      </c>
    </row>
    <row r="862" spans="1:9" x14ac:dyDescent="0.3">
      <c r="A862">
        <v>861</v>
      </c>
      <c r="B862">
        <v>2013</v>
      </c>
      <c r="C862">
        <v>6</v>
      </c>
      <c r="D862">
        <v>29</v>
      </c>
      <c r="E862" s="1">
        <v>-39.091999999999999</v>
      </c>
      <c r="F862" t="s">
        <v>11</v>
      </c>
      <c r="G862" t="str">
        <f>_xlfn.XLOOKUP(transakcje[[#This Row],[podkategoria]],parametr[podkategoria],parametr[kategoria])</f>
        <v>wydatki inne</v>
      </c>
      <c r="H862" t="str">
        <f>_xlfn.XLOOKUP(transakcje[[#This Row],[kategoria]],parametr[kategoria],parametr[typ])</f>
        <v>wydatki</v>
      </c>
      <c r="I862" s="1">
        <f>ABS(transakcje[[#This Row],[kwota]])</f>
        <v>39.091999999999999</v>
      </c>
    </row>
    <row r="863" spans="1:9" x14ac:dyDescent="0.3">
      <c r="A863">
        <v>862</v>
      </c>
      <c r="B863">
        <v>2013</v>
      </c>
      <c r="C863">
        <v>6</v>
      </c>
      <c r="D863">
        <v>30</v>
      </c>
      <c r="E863" s="1">
        <v>4.0000000000000001E-3</v>
      </c>
      <c r="F863" t="s">
        <v>17</v>
      </c>
      <c r="G863" t="str">
        <f>_xlfn.XLOOKUP(transakcje[[#This Row],[podkategoria]],parametr[podkategoria],parametr[kategoria])</f>
        <v>dochody pozostałe</v>
      </c>
      <c r="H863" t="str">
        <f>_xlfn.XLOOKUP(transakcje[[#This Row],[kategoria]],parametr[kategoria],parametr[typ])</f>
        <v>dochody</v>
      </c>
      <c r="I863" s="1">
        <f>ABS(transakcje[[#This Row],[kwota]])</f>
        <v>4.0000000000000001E-3</v>
      </c>
    </row>
    <row r="864" spans="1:9" x14ac:dyDescent="0.3">
      <c r="A864">
        <v>863</v>
      </c>
      <c r="B864">
        <v>2013</v>
      </c>
      <c r="C864">
        <v>6</v>
      </c>
      <c r="D864">
        <v>30</v>
      </c>
      <c r="E864" s="1">
        <v>-1.198</v>
      </c>
      <c r="F864" t="s">
        <v>14</v>
      </c>
      <c r="G864" t="str">
        <f>_xlfn.XLOOKUP(transakcje[[#This Row],[podkategoria]],parametr[podkategoria],parametr[kategoria])</f>
        <v>opłaty stałe</v>
      </c>
      <c r="H864" t="str">
        <f>_xlfn.XLOOKUP(transakcje[[#This Row],[kategoria]],parametr[kategoria],parametr[typ])</f>
        <v>wydatki</v>
      </c>
      <c r="I864" s="1">
        <f>ABS(transakcje[[#This Row],[kwota]])</f>
        <v>1.198</v>
      </c>
    </row>
    <row r="865" spans="1:9" x14ac:dyDescent="0.3">
      <c r="A865">
        <v>864</v>
      </c>
      <c r="B865">
        <v>2013</v>
      </c>
      <c r="C865">
        <v>6</v>
      </c>
      <c r="D865">
        <v>30</v>
      </c>
      <c r="E865" s="1">
        <v>-0.8</v>
      </c>
      <c r="F865" t="s">
        <v>14</v>
      </c>
      <c r="G865" t="str">
        <f>_xlfn.XLOOKUP(transakcje[[#This Row],[podkategoria]],parametr[podkategoria],parametr[kategoria])</f>
        <v>opłaty stałe</v>
      </c>
      <c r="H865" t="str">
        <f>_xlfn.XLOOKUP(transakcje[[#This Row],[kategoria]],parametr[kategoria],parametr[typ])</f>
        <v>wydatki</v>
      </c>
      <c r="I865" s="1">
        <f>ABS(transakcje[[#This Row],[kwota]])</f>
        <v>0.8</v>
      </c>
    </row>
    <row r="866" spans="1:9" x14ac:dyDescent="0.3">
      <c r="A866">
        <v>865</v>
      </c>
      <c r="B866">
        <v>2013</v>
      </c>
      <c r="C866">
        <v>6</v>
      </c>
      <c r="D866">
        <v>30</v>
      </c>
      <c r="E866" s="1">
        <v>-2E-3</v>
      </c>
      <c r="F866" t="s">
        <v>14</v>
      </c>
      <c r="G866" t="str">
        <f>_xlfn.XLOOKUP(transakcje[[#This Row],[podkategoria]],parametr[podkategoria],parametr[kategoria])</f>
        <v>opłaty stałe</v>
      </c>
      <c r="H866" t="str">
        <f>_xlfn.XLOOKUP(transakcje[[#This Row],[kategoria]],parametr[kategoria],parametr[typ])</f>
        <v>wydatki</v>
      </c>
      <c r="I866" s="1">
        <f>ABS(transakcje[[#This Row],[kwota]])</f>
        <v>2E-3</v>
      </c>
    </row>
    <row r="867" spans="1:9" x14ac:dyDescent="0.3">
      <c r="A867">
        <v>866</v>
      </c>
      <c r="B867">
        <v>2013</v>
      </c>
      <c r="C867">
        <v>7</v>
      </c>
      <c r="D867">
        <v>1</v>
      </c>
      <c r="E867" s="1">
        <v>-6.806</v>
      </c>
      <c r="F867" t="s">
        <v>25</v>
      </c>
      <c r="G867" t="str">
        <f>_xlfn.XLOOKUP(transakcje[[#This Row],[podkategoria]],parametr[podkategoria],parametr[kategoria])</f>
        <v>opłaty stałe</v>
      </c>
      <c r="H867" t="str">
        <f>_xlfn.XLOOKUP(transakcje[[#This Row],[kategoria]],parametr[kategoria],parametr[typ])</f>
        <v>wydatki</v>
      </c>
      <c r="I867" s="1">
        <f>ABS(transakcje[[#This Row],[kwota]])</f>
        <v>6.806</v>
      </c>
    </row>
    <row r="868" spans="1:9" x14ac:dyDescent="0.3">
      <c r="A868">
        <v>867</v>
      </c>
      <c r="B868">
        <v>2013</v>
      </c>
      <c r="C868">
        <v>7</v>
      </c>
      <c r="D868">
        <v>1</v>
      </c>
      <c r="E868" s="1">
        <v>-52.152000000000001</v>
      </c>
      <c r="F868" t="s">
        <v>31</v>
      </c>
      <c r="G868" t="str">
        <f>_xlfn.XLOOKUP(transakcje[[#This Row],[podkategoria]],parametr[podkategoria],parametr[kategoria])</f>
        <v>opłaty stałe</v>
      </c>
      <c r="H868" t="str">
        <f>_xlfn.XLOOKUP(transakcje[[#This Row],[kategoria]],parametr[kategoria],parametr[typ])</f>
        <v>wydatki</v>
      </c>
      <c r="I868" s="1">
        <f>ABS(transakcje[[#This Row],[kwota]])</f>
        <v>52.152000000000001</v>
      </c>
    </row>
    <row r="869" spans="1:9" x14ac:dyDescent="0.3">
      <c r="A869">
        <v>868</v>
      </c>
      <c r="B869">
        <v>2013</v>
      </c>
      <c r="C869">
        <v>7</v>
      </c>
      <c r="D869">
        <v>1</v>
      </c>
      <c r="E869" s="1">
        <v>-7.0980000000000008</v>
      </c>
      <c r="F869" t="s">
        <v>35</v>
      </c>
      <c r="G869" t="str">
        <f>_xlfn.XLOOKUP(transakcje[[#This Row],[podkategoria]],parametr[podkategoria],parametr[kategoria])</f>
        <v>opłaty stałe</v>
      </c>
      <c r="H869" t="str">
        <f>_xlfn.XLOOKUP(transakcje[[#This Row],[kategoria]],parametr[kategoria],parametr[typ])</f>
        <v>wydatki</v>
      </c>
      <c r="I869" s="1">
        <f>ABS(transakcje[[#This Row],[kwota]])</f>
        <v>7.0980000000000008</v>
      </c>
    </row>
    <row r="870" spans="1:9" x14ac:dyDescent="0.3">
      <c r="A870">
        <v>869</v>
      </c>
      <c r="B870">
        <v>2013</v>
      </c>
      <c r="C870">
        <v>7</v>
      </c>
      <c r="D870">
        <v>1</v>
      </c>
      <c r="E870" s="1">
        <v>-9.7200000000000006</v>
      </c>
      <c r="F870" t="s">
        <v>23</v>
      </c>
      <c r="G870" t="str">
        <f>_xlfn.XLOOKUP(transakcje[[#This Row],[podkategoria]],parametr[podkategoria],parametr[kategoria])</f>
        <v>opłaty stałe</v>
      </c>
      <c r="H870" t="str">
        <f>_xlfn.XLOOKUP(transakcje[[#This Row],[kategoria]],parametr[kategoria],parametr[typ])</f>
        <v>wydatki</v>
      </c>
      <c r="I870" s="1">
        <f>ABS(transakcje[[#This Row],[kwota]])</f>
        <v>9.7200000000000006</v>
      </c>
    </row>
    <row r="871" spans="1:9" x14ac:dyDescent="0.3">
      <c r="A871">
        <v>870</v>
      </c>
      <c r="B871">
        <v>2013</v>
      </c>
      <c r="C871">
        <v>7</v>
      </c>
      <c r="D871">
        <v>1</v>
      </c>
      <c r="E871" s="1">
        <v>-46.8</v>
      </c>
      <c r="F871" t="s">
        <v>11</v>
      </c>
      <c r="G871" t="str">
        <f>_xlfn.XLOOKUP(transakcje[[#This Row],[podkategoria]],parametr[podkategoria],parametr[kategoria])</f>
        <v>wydatki inne</v>
      </c>
      <c r="H871" t="str">
        <f>_xlfn.XLOOKUP(transakcje[[#This Row],[kategoria]],parametr[kategoria],parametr[typ])</f>
        <v>wydatki</v>
      </c>
      <c r="I871" s="1">
        <f>ABS(transakcje[[#This Row],[kwota]])</f>
        <v>46.8</v>
      </c>
    </row>
    <row r="872" spans="1:9" x14ac:dyDescent="0.3">
      <c r="A872">
        <v>871</v>
      </c>
      <c r="B872">
        <v>2013</v>
      </c>
      <c r="C872">
        <v>7</v>
      </c>
      <c r="D872">
        <v>1</v>
      </c>
      <c r="E872" s="1">
        <v>-17.137999999999998</v>
      </c>
      <c r="F872" t="s">
        <v>34</v>
      </c>
      <c r="G872" t="str">
        <f>_xlfn.XLOOKUP(transakcje[[#This Row],[podkategoria]],parametr[podkategoria],parametr[kategoria])</f>
        <v>opłaty stałe</v>
      </c>
      <c r="H872" t="str">
        <f>_xlfn.XLOOKUP(transakcje[[#This Row],[kategoria]],parametr[kategoria],parametr[typ])</f>
        <v>wydatki</v>
      </c>
      <c r="I872" s="1">
        <f>ABS(transakcje[[#This Row],[kwota]])</f>
        <v>17.137999999999998</v>
      </c>
    </row>
    <row r="873" spans="1:9" x14ac:dyDescent="0.3">
      <c r="A873">
        <v>872</v>
      </c>
      <c r="B873">
        <v>2013</v>
      </c>
      <c r="C873">
        <v>7</v>
      </c>
      <c r="D873">
        <v>4</v>
      </c>
      <c r="E873" s="1">
        <v>-97.2</v>
      </c>
      <c r="F873" t="s">
        <v>32</v>
      </c>
      <c r="G873" t="str">
        <f>_xlfn.XLOOKUP(transakcje[[#This Row],[podkategoria]],parametr[podkategoria],parametr[kategoria])</f>
        <v>opłaty stałe</v>
      </c>
      <c r="H873" t="str">
        <f>_xlfn.XLOOKUP(transakcje[[#This Row],[kategoria]],parametr[kategoria],parametr[typ])</f>
        <v>wydatki</v>
      </c>
      <c r="I873" s="1">
        <f>ABS(transakcje[[#This Row],[kwota]])</f>
        <v>97.2</v>
      </c>
    </row>
    <row r="874" spans="1:9" x14ac:dyDescent="0.3">
      <c r="A874">
        <v>873</v>
      </c>
      <c r="B874">
        <v>2013</v>
      </c>
      <c r="C874">
        <v>7</v>
      </c>
      <c r="D874">
        <v>5</v>
      </c>
      <c r="E874" s="1">
        <v>-14.386000000000001</v>
      </c>
      <c r="F874" t="s">
        <v>26</v>
      </c>
      <c r="G874" t="str">
        <f>_xlfn.XLOOKUP(transakcje[[#This Row],[podkategoria]],parametr[podkategoria],parametr[kategoria])</f>
        <v>życie</v>
      </c>
      <c r="H874" t="str">
        <f>_xlfn.XLOOKUP(transakcje[[#This Row],[kategoria]],parametr[kategoria],parametr[typ])</f>
        <v>wydatki</v>
      </c>
      <c r="I874" s="1">
        <f>ABS(transakcje[[#This Row],[kwota]])</f>
        <v>14.386000000000001</v>
      </c>
    </row>
    <row r="875" spans="1:9" x14ac:dyDescent="0.3">
      <c r="A875">
        <v>874</v>
      </c>
      <c r="B875">
        <v>2013</v>
      </c>
      <c r="C875">
        <v>7</v>
      </c>
      <c r="D875">
        <v>10</v>
      </c>
      <c r="E875" s="1">
        <v>37</v>
      </c>
      <c r="F875" t="s">
        <v>16</v>
      </c>
      <c r="G875" t="str">
        <f>_xlfn.XLOOKUP(transakcje[[#This Row],[podkategoria]],parametr[podkategoria],parametr[kategoria])</f>
        <v>dochody z pracy</v>
      </c>
      <c r="H875" t="str">
        <f>_xlfn.XLOOKUP(transakcje[[#This Row],[kategoria]],parametr[kategoria],parametr[typ])</f>
        <v>dochody</v>
      </c>
      <c r="I875" s="1">
        <f>ABS(transakcje[[#This Row],[kwota]])</f>
        <v>37</v>
      </c>
    </row>
    <row r="876" spans="1:9" x14ac:dyDescent="0.3">
      <c r="A876">
        <v>875</v>
      </c>
      <c r="B876">
        <v>2013</v>
      </c>
      <c r="C876">
        <v>7</v>
      </c>
      <c r="D876">
        <v>12</v>
      </c>
      <c r="E876" s="1">
        <v>-2.4379999999999997</v>
      </c>
      <c r="F876" t="s">
        <v>26</v>
      </c>
      <c r="G876" t="str">
        <f>_xlfn.XLOOKUP(transakcje[[#This Row],[podkategoria]],parametr[podkategoria],parametr[kategoria])</f>
        <v>życie</v>
      </c>
      <c r="H876" t="str">
        <f>_xlfn.XLOOKUP(transakcje[[#This Row],[kategoria]],parametr[kategoria],parametr[typ])</f>
        <v>wydatki</v>
      </c>
      <c r="I876" s="1">
        <f>ABS(transakcje[[#This Row],[kwota]])</f>
        <v>2.4379999999999997</v>
      </c>
    </row>
    <row r="877" spans="1:9" x14ac:dyDescent="0.3">
      <c r="A877">
        <v>876</v>
      </c>
      <c r="B877">
        <v>2013</v>
      </c>
      <c r="C877">
        <v>7</v>
      </c>
      <c r="D877">
        <v>12</v>
      </c>
      <c r="E877" s="1">
        <v>-1.8719999999999999</v>
      </c>
      <c r="F877" t="s">
        <v>26</v>
      </c>
      <c r="G877" t="str">
        <f>_xlfn.XLOOKUP(transakcje[[#This Row],[podkategoria]],parametr[podkategoria],parametr[kategoria])</f>
        <v>życie</v>
      </c>
      <c r="H877" t="str">
        <f>_xlfn.XLOOKUP(transakcje[[#This Row],[kategoria]],parametr[kategoria],parametr[typ])</f>
        <v>wydatki</v>
      </c>
      <c r="I877" s="1">
        <f>ABS(transakcje[[#This Row],[kwota]])</f>
        <v>1.8719999999999999</v>
      </c>
    </row>
    <row r="878" spans="1:9" x14ac:dyDescent="0.3">
      <c r="A878">
        <v>877</v>
      </c>
      <c r="B878">
        <v>2013</v>
      </c>
      <c r="C878">
        <v>7</v>
      </c>
      <c r="D878">
        <v>13</v>
      </c>
      <c r="E878" s="1">
        <v>-3.9799999999999995</v>
      </c>
      <c r="F878" t="s">
        <v>26</v>
      </c>
      <c r="G878" t="str">
        <f>_xlfn.XLOOKUP(transakcje[[#This Row],[podkategoria]],parametr[podkategoria],parametr[kategoria])</f>
        <v>życie</v>
      </c>
      <c r="H878" t="str">
        <f>_xlfn.XLOOKUP(transakcje[[#This Row],[kategoria]],parametr[kategoria],parametr[typ])</f>
        <v>wydatki</v>
      </c>
      <c r="I878" s="1">
        <f>ABS(transakcje[[#This Row],[kwota]])</f>
        <v>3.9799999999999995</v>
      </c>
    </row>
    <row r="879" spans="1:9" x14ac:dyDescent="0.3">
      <c r="A879">
        <v>878</v>
      </c>
      <c r="B879">
        <v>2013</v>
      </c>
      <c r="C879">
        <v>7</v>
      </c>
      <c r="D879">
        <v>14</v>
      </c>
      <c r="E879" s="1">
        <v>-6</v>
      </c>
      <c r="F879" t="s">
        <v>26</v>
      </c>
      <c r="G879" t="str">
        <f>_xlfn.XLOOKUP(transakcje[[#This Row],[podkategoria]],parametr[podkategoria],parametr[kategoria])</f>
        <v>życie</v>
      </c>
      <c r="H879" t="str">
        <f>_xlfn.XLOOKUP(transakcje[[#This Row],[kategoria]],parametr[kategoria],parametr[typ])</f>
        <v>wydatki</v>
      </c>
      <c r="I879" s="1">
        <f>ABS(transakcje[[#This Row],[kwota]])</f>
        <v>6</v>
      </c>
    </row>
    <row r="880" spans="1:9" x14ac:dyDescent="0.3">
      <c r="A880">
        <v>879</v>
      </c>
      <c r="B880">
        <v>2013</v>
      </c>
      <c r="C880">
        <v>7</v>
      </c>
      <c r="D880">
        <v>15</v>
      </c>
      <c r="E880" s="1">
        <v>-39.799999999999997</v>
      </c>
      <c r="F880" t="s">
        <v>24</v>
      </c>
      <c r="G880" t="str">
        <f>_xlfn.XLOOKUP(transakcje[[#This Row],[podkategoria]],parametr[podkategoria],parametr[kategoria])</f>
        <v>trwałe</v>
      </c>
      <c r="H880" t="str">
        <f>_xlfn.XLOOKUP(transakcje[[#This Row],[kategoria]],parametr[kategoria],parametr[typ])</f>
        <v>wydatki</v>
      </c>
      <c r="I880" s="1">
        <f>ABS(transakcje[[#This Row],[kwota]])</f>
        <v>39.799999999999997</v>
      </c>
    </row>
    <row r="881" spans="1:9" x14ac:dyDescent="0.3">
      <c r="A881">
        <v>880</v>
      </c>
      <c r="B881">
        <v>2013</v>
      </c>
      <c r="C881">
        <v>7</v>
      </c>
      <c r="D881">
        <v>15</v>
      </c>
      <c r="E881" s="1">
        <v>-0.8</v>
      </c>
      <c r="F881" t="s">
        <v>14</v>
      </c>
      <c r="G881" t="str">
        <f>_xlfn.XLOOKUP(transakcje[[#This Row],[podkategoria]],parametr[podkategoria],parametr[kategoria])</f>
        <v>opłaty stałe</v>
      </c>
      <c r="H881" t="str">
        <f>_xlfn.XLOOKUP(transakcje[[#This Row],[kategoria]],parametr[kategoria],parametr[typ])</f>
        <v>wydatki</v>
      </c>
      <c r="I881" s="1">
        <f>ABS(transakcje[[#This Row],[kwota]])</f>
        <v>0.8</v>
      </c>
    </row>
    <row r="882" spans="1:9" x14ac:dyDescent="0.3">
      <c r="A882">
        <v>881</v>
      </c>
      <c r="B882">
        <v>2013</v>
      </c>
      <c r="C882">
        <v>7</v>
      </c>
      <c r="D882">
        <v>18</v>
      </c>
      <c r="E882" s="1">
        <v>-0.39800000000000002</v>
      </c>
      <c r="F882" t="s">
        <v>14</v>
      </c>
      <c r="G882" t="str">
        <f>_xlfn.XLOOKUP(transakcje[[#This Row],[podkategoria]],parametr[podkategoria],parametr[kategoria])</f>
        <v>opłaty stałe</v>
      </c>
      <c r="H882" t="str">
        <f>_xlfn.XLOOKUP(transakcje[[#This Row],[kategoria]],parametr[kategoria],parametr[typ])</f>
        <v>wydatki</v>
      </c>
      <c r="I882" s="1">
        <f>ABS(transakcje[[#This Row],[kwota]])</f>
        <v>0.39800000000000002</v>
      </c>
    </row>
    <row r="883" spans="1:9" x14ac:dyDescent="0.3">
      <c r="A883">
        <v>882</v>
      </c>
      <c r="B883">
        <v>2013</v>
      </c>
      <c r="C883">
        <v>7</v>
      </c>
      <c r="D883">
        <v>19</v>
      </c>
      <c r="E883" s="1">
        <v>-9.6720000000000006</v>
      </c>
      <c r="F883" t="s">
        <v>26</v>
      </c>
      <c r="G883" t="str">
        <f>_xlfn.XLOOKUP(transakcje[[#This Row],[podkategoria]],parametr[podkategoria],parametr[kategoria])</f>
        <v>życie</v>
      </c>
      <c r="H883" t="str">
        <f>_xlfn.XLOOKUP(transakcje[[#This Row],[kategoria]],parametr[kategoria],parametr[typ])</f>
        <v>wydatki</v>
      </c>
      <c r="I883" s="1">
        <f>ABS(transakcje[[#This Row],[kwota]])</f>
        <v>9.6720000000000006</v>
      </c>
    </row>
    <row r="884" spans="1:9" x14ac:dyDescent="0.3">
      <c r="A884">
        <v>883</v>
      </c>
      <c r="B884">
        <v>2013</v>
      </c>
      <c r="C884">
        <v>7</v>
      </c>
      <c r="D884">
        <v>23</v>
      </c>
      <c r="E884" s="1">
        <v>-10</v>
      </c>
      <c r="F884" t="s">
        <v>26</v>
      </c>
      <c r="G884" t="str">
        <f>_xlfn.XLOOKUP(transakcje[[#This Row],[podkategoria]],parametr[podkategoria],parametr[kategoria])</f>
        <v>życie</v>
      </c>
      <c r="H884" t="str">
        <f>_xlfn.XLOOKUP(transakcje[[#This Row],[kategoria]],parametr[kategoria],parametr[typ])</f>
        <v>wydatki</v>
      </c>
      <c r="I884" s="1">
        <f>ABS(transakcje[[#This Row],[kwota]])</f>
        <v>10</v>
      </c>
    </row>
    <row r="885" spans="1:9" x14ac:dyDescent="0.3">
      <c r="A885">
        <v>884</v>
      </c>
      <c r="B885">
        <v>2013</v>
      </c>
      <c r="C885">
        <v>7</v>
      </c>
      <c r="D885">
        <v>23</v>
      </c>
      <c r="E885" s="1">
        <v>-17.065999999999999</v>
      </c>
      <c r="F885" t="s">
        <v>26</v>
      </c>
      <c r="G885" t="str">
        <f>_xlfn.XLOOKUP(transakcje[[#This Row],[podkategoria]],parametr[podkategoria],parametr[kategoria])</f>
        <v>życie</v>
      </c>
      <c r="H885" t="str">
        <f>_xlfn.XLOOKUP(transakcje[[#This Row],[kategoria]],parametr[kategoria],parametr[typ])</f>
        <v>wydatki</v>
      </c>
      <c r="I885" s="1">
        <f>ABS(transakcje[[#This Row],[kwota]])</f>
        <v>17.065999999999999</v>
      </c>
    </row>
    <row r="886" spans="1:9" x14ac:dyDescent="0.3">
      <c r="A886">
        <v>885</v>
      </c>
      <c r="B886">
        <v>2013</v>
      </c>
      <c r="C886">
        <v>7</v>
      </c>
      <c r="D886">
        <v>25</v>
      </c>
      <c r="E886" s="1">
        <v>421.392</v>
      </c>
      <c r="F886" t="s">
        <v>8</v>
      </c>
      <c r="G886" t="str">
        <f>_xlfn.XLOOKUP(transakcje[[#This Row],[podkategoria]],parametr[podkategoria],parametr[kategoria])</f>
        <v>dochody z pracy</v>
      </c>
      <c r="H886" t="str">
        <f>_xlfn.XLOOKUP(transakcje[[#This Row],[kategoria]],parametr[kategoria],parametr[typ])</f>
        <v>dochody</v>
      </c>
      <c r="I886" s="1">
        <f>ABS(transakcje[[#This Row],[kwota]])</f>
        <v>421.392</v>
      </c>
    </row>
    <row r="887" spans="1:9" x14ac:dyDescent="0.3">
      <c r="A887">
        <v>886</v>
      </c>
      <c r="B887">
        <v>2013</v>
      </c>
      <c r="C887">
        <v>7</v>
      </c>
      <c r="D887">
        <v>25</v>
      </c>
      <c r="E887" s="1">
        <v>-6.1899999999999995</v>
      </c>
      <c r="F887" t="s">
        <v>26</v>
      </c>
      <c r="G887" t="str">
        <f>_xlfn.XLOOKUP(transakcje[[#This Row],[podkategoria]],parametr[podkategoria],parametr[kategoria])</f>
        <v>życie</v>
      </c>
      <c r="H887" t="str">
        <f>_xlfn.XLOOKUP(transakcje[[#This Row],[kategoria]],parametr[kategoria],parametr[typ])</f>
        <v>wydatki</v>
      </c>
      <c r="I887" s="1">
        <f>ABS(transakcje[[#This Row],[kwota]])</f>
        <v>6.1899999999999995</v>
      </c>
    </row>
    <row r="888" spans="1:9" x14ac:dyDescent="0.3">
      <c r="A888">
        <v>887</v>
      </c>
      <c r="B888">
        <v>2013</v>
      </c>
      <c r="C888">
        <v>7</v>
      </c>
      <c r="D888">
        <v>30</v>
      </c>
      <c r="E888" s="1">
        <v>-4.484</v>
      </c>
      <c r="F888" t="s">
        <v>26</v>
      </c>
      <c r="G888" t="str">
        <f>_xlfn.XLOOKUP(transakcje[[#This Row],[podkategoria]],parametr[podkategoria],parametr[kategoria])</f>
        <v>życie</v>
      </c>
      <c r="H888" t="str">
        <f>_xlfn.XLOOKUP(transakcje[[#This Row],[kategoria]],parametr[kategoria],parametr[typ])</f>
        <v>wydatki</v>
      </c>
      <c r="I888" s="1">
        <f>ABS(transakcje[[#This Row],[kwota]])</f>
        <v>4.484</v>
      </c>
    </row>
    <row r="889" spans="1:9" x14ac:dyDescent="0.3">
      <c r="A889">
        <v>888</v>
      </c>
      <c r="B889">
        <v>2013</v>
      </c>
      <c r="C889">
        <v>7</v>
      </c>
      <c r="D889">
        <v>31</v>
      </c>
      <c r="E889" s="1">
        <v>-47.938000000000002</v>
      </c>
      <c r="F889" t="s">
        <v>24</v>
      </c>
      <c r="G889" t="str">
        <f>_xlfn.XLOOKUP(transakcje[[#This Row],[podkategoria]],parametr[podkategoria],parametr[kategoria])</f>
        <v>trwałe</v>
      </c>
      <c r="H889" t="str">
        <f>_xlfn.XLOOKUP(transakcje[[#This Row],[kategoria]],parametr[kategoria],parametr[typ])</f>
        <v>wydatki</v>
      </c>
      <c r="I889" s="1">
        <f>ABS(transakcje[[#This Row],[kwota]])</f>
        <v>47.938000000000002</v>
      </c>
    </row>
    <row r="890" spans="1:9" x14ac:dyDescent="0.3">
      <c r="A890">
        <v>889</v>
      </c>
      <c r="B890">
        <v>2013</v>
      </c>
      <c r="C890">
        <v>7</v>
      </c>
      <c r="D890">
        <v>31</v>
      </c>
      <c r="E890" s="1">
        <v>2E-3</v>
      </c>
      <c r="F890" t="s">
        <v>17</v>
      </c>
      <c r="G890" t="str">
        <f>_xlfn.XLOOKUP(transakcje[[#This Row],[podkategoria]],parametr[podkategoria],parametr[kategoria])</f>
        <v>dochody pozostałe</v>
      </c>
      <c r="H890" t="str">
        <f>_xlfn.XLOOKUP(transakcje[[#This Row],[kategoria]],parametr[kategoria],parametr[typ])</f>
        <v>dochody</v>
      </c>
      <c r="I890" s="1">
        <f>ABS(transakcje[[#This Row],[kwota]])</f>
        <v>2E-3</v>
      </c>
    </row>
    <row r="891" spans="1:9" x14ac:dyDescent="0.3">
      <c r="A891">
        <v>890</v>
      </c>
      <c r="B891">
        <v>2013</v>
      </c>
      <c r="C891">
        <v>7</v>
      </c>
      <c r="D891">
        <v>31</v>
      </c>
      <c r="E891" s="1">
        <v>-1.198</v>
      </c>
      <c r="F891" t="s">
        <v>14</v>
      </c>
      <c r="G891" t="str">
        <f>_xlfn.XLOOKUP(transakcje[[#This Row],[podkategoria]],parametr[podkategoria],parametr[kategoria])</f>
        <v>opłaty stałe</v>
      </c>
      <c r="H891" t="str">
        <f>_xlfn.XLOOKUP(transakcje[[#This Row],[kategoria]],parametr[kategoria],parametr[typ])</f>
        <v>wydatki</v>
      </c>
      <c r="I891" s="1">
        <f>ABS(transakcje[[#This Row],[kwota]])</f>
        <v>1.198</v>
      </c>
    </row>
    <row r="892" spans="1:9" x14ac:dyDescent="0.3">
      <c r="A892">
        <v>891</v>
      </c>
      <c r="B892">
        <v>2013</v>
      </c>
      <c r="C892">
        <v>7</v>
      </c>
      <c r="D892">
        <v>31</v>
      </c>
      <c r="E892" s="1">
        <v>-0.5</v>
      </c>
      <c r="F892" t="s">
        <v>14</v>
      </c>
      <c r="G892" t="str">
        <f>_xlfn.XLOOKUP(transakcje[[#This Row],[podkategoria]],parametr[podkategoria],parametr[kategoria])</f>
        <v>opłaty stałe</v>
      </c>
      <c r="H892" t="str">
        <f>_xlfn.XLOOKUP(transakcje[[#This Row],[kategoria]],parametr[kategoria],parametr[typ])</f>
        <v>wydatki</v>
      </c>
      <c r="I892" s="1">
        <f>ABS(transakcje[[#This Row],[kwota]])</f>
        <v>0.5</v>
      </c>
    </row>
    <row r="893" spans="1:9" x14ac:dyDescent="0.3">
      <c r="A893">
        <v>892</v>
      </c>
      <c r="B893">
        <v>2013</v>
      </c>
      <c r="C893">
        <v>7</v>
      </c>
      <c r="D893">
        <v>31</v>
      </c>
      <c r="E893" s="1">
        <v>-2E-3</v>
      </c>
      <c r="F893" t="s">
        <v>14</v>
      </c>
      <c r="G893" t="str">
        <f>_xlfn.XLOOKUP(transakcje[[#This Row],[podkategoria]],parametr[podkategoria],parametr[kategoria])</f>
        <v>opłaty stałe</v>
      </c>
      <c r="H893" t="str">
        <f>_xlfn.XLOOKUP(transakcje[[#This Row],[kategoria]],parametr[kategoria],parametr[typ])</f>
        <v>wydatki</v>
      </c>
      <c r="I893" s="1">
        <f>ABS(transakcje[[#This Row],[kwota]])</f>
        <v>2E-3</v>
      </c>
    </row>
    <row r="894" spans="1:9" x14ac:dyDescent="0.3">
      <c r="A894">
        <v>893</v>
      </c>
      <c r="B894">
        <v>2013</v>
      </c>
      <c r="C894">
        <v>7</v>
      </c>
      <c r="D894">
        <v>31</v>
      </c>
      <c r="E894" s="1">
        <v>-4.8</v>
      </c>
      <c r="F894" t="s">
        <v>31</v>
      </c>
      <c r="G894" t="str">
        <f>_xlfn.XLOOKUP(transakcje[[#This Row],[podkategoria]],parametr[podkategoria],parametr[kategoria])</f>
        <v>opłaty stałe</v>
      </c>
      <c r="H894" t="str">
        <f>_xlfn.XLOOKUP(transakcje[[#This Row],[kategoria]],parametr[kategoria],parametr[typ])</f>
        <v>wydatki</v>
      </c>
      <c r="I894" s="1">
        <f>ABS(transakcje[[#This Row],[kwota]])</f>
        <v>4.8</v>
      </c>
    </row>
    <row r="895" spans="1:9" x14ac:dyDescent="0.3">
      <c r="A895">
        <v>894</v>
      </c>
      <c r="B895">
        <v>2013</v>
      </c>
      <c r="C895">
        <v>8</v>
      </c>
      <c r="D895">
        <v>1</v>
      </c>
      <c r="E895" s="1">
        <v>-8.02</v>
      </c>
      <c r="F895" t="s">
        <v>25</v>
      </c>
      <c r="G895" t="str">
        <f>_xlfn.XLOOKUP(transakcje[[#This Row],[podkategoria]],parametr[podkategoria],parametr[kategoria])</f>
        <v>opłaty stałe</v>
      </c>
      <c r="H895" t="str">
        <f>_xlfn.XLOOKUP(transakcje[[#This Row],[kategoria]],parametr[kategoria],parametr[typ])</f>
        <v>wydatki</v>
      </c>
      <c r="I895" s="1">
        <f>ABS(transakcje[[#This Row],[kwota]])</f>
        <v>8.02</v>
      </c>
    </row>
    <row r="896" spans="1:9" x14ac:dyDescent="0.3">
      <c r="A896">
        <v>895</v>
      </c>
      <c r="B896">
        <v>2013</v>
      </c>
      <c r="C896">
        <v>8</v>
      </c>
      <c r="D896">
        <v>1</v>
      </c>
      <c r="E896" s="1">
        <v>-49.392000000000003</v>
      </c>
      <c r="F896" t="s">
        <v>31</v>
      </c>
      <c r="G896" t="str">
        <f>_xlfn.XLOOKUP(transakcje[[#This Row],[podkategoria]],parametr[podkategoria],parametr[kategoria])</f>
        <v>opłaty stałe</v>
      </c>
      <c r="H896" t="str">
        <f>_xlfn.XLOOKUP(transakcje[[#This Row],[kategoria]],parametr[kategoria],parametr[typ])</f>
        <v>wydatki</v>
      </c>
      <c r="I896" s="1">
        <f>ABS(transakcje[[#This Row],[kwota]])</f>
        <v>49.392000000000003</v>
      </c>
    </row>
    <row r="897" spans="1:9" x14ac:dyDescent="0.3">
      <c r="A897">
        <v>896</v>
      </c>
      <c r="B897">
        <v>2013</v>
      </c>
      <c r="C897">
        <v>8</v>
      </c>
      <c r="D897">
        <v>1</v>
      </c>
      <c r="E897" s="1">
        <v>-9.7200000000000006</v>
      </c>
      <c r="F897" t="s">
        <v>23</v>
      </c>
      <c r="G897" t="str">
        <f>_xlfn.XLOOKUP(transakcje[[#This Row],[podkategoria]],parametr[podkategoria],parametr[kategoria])</f>
        <v>opłaty stałe</v>
      </c>
      <c r="H897" t="str">
        <f>_xlfn.XLOOKUP(transakcje[[#This Row],[kategoria]],parametr[kategoria],parametr[typ])</f>
        <v>wydatki</v>
      </c>
      <c r="I897" s="1">
        <f>ABS(transakcje[[#This Row],[kwota]])</f>
        <v>9.7200000000000006</v>
      </c>
    </row>
    <row r="898" spans="1:9" x14ac:dyDescent="0.3">
      <c r="A898">
        <v>897</v>
      </c>
      <c r="B898">
        <v>2013</v>
      </c>
      <c r="C898">
        <v>8</v>
      </c>
      <c r="D898">
        <v>1</v>
      </c>
      <c r="E898" s="1">
        <v>-4.4539999999999997</v>
      </c>
      <c r="F898" t="s">
        <v>26</v>
      </c>
      <c r="G898" t="str">
        <f>_xlfn.XLOOKUP(transakcje[[#This Row],[podkategoria]],parametr[podkategoria],parametr[kategoria])</f>
        <v>życie</v>
      </c>
      <c r="H898" t="str">
        <f>_xlfn.XLOOKUP(transakcje[[#This Row],[kategoria]],parametr[kategoria],parametr[typ])</f>
        <v>wydatki</v>
      </c>
      <c r="I898" s="1">
        <f>ABS(transakcje[[#This Row],[kwota]])</f>
        <v>4.4539999999999997</v>
      </c>
    </row>
    <row r="899" spans="1:9" x14ac:dyDescent="0.3">
      <c r="A899">
        <v>898</v>
      </c>
      <c r="B899">
        <v>2013</v>
      </c>
      <c r="C899">
        <v>8</v>
      </c>
      <c r="D899">
        <v>2</v>
      </c>
      <c r="E899" s="1">
        <v>-4.0780000000000003</v>
      </c>
      <c r="F899" t="s">
        <v>26</v>
      </c>
      <c r="G899" t="str">
        <f>_xlfn.XLOOKUP(transakcje[[#This Row],[podkategoria]],parametr[podkategoria],parametr[kategoria])</f>
        <v>życie</v>
      </c>
      <c r="H899" t="str">
        <f>_xlfn.XLOOKUP(transakcje[[#This Row],[kategoria]],parametr[kategoria],parametr[typ])</f>
        <v>wydatki</v>
      </c>
      <c r="I899" s="1">
        <f>ABS(transakcje[[#This Row],[kwota]])</f>
        <v>4.0780000000000003</v>
      </c>
    </row>
    <row r="900" spans="1:9" x14ac:dyDescent="0.3">
      <c r="A900">
        <v>899</v>
      </c>
      <c r="B900">
        <v>2013</v>
      </c>
      <c r="C900">
        <v>8</v>
      </c>
      <c r="D900">
        <v>5</v>
      </c>
      <c r="E900" s="1">
        <v>-5</v>
      </c>
      <c r="F900" t="s">
        <v>11</v>
      </c>
      <c r="G900" t="str">
        <f>_xlfn.XLOOKUP(transakcje[[#This Row],[podkategoria]],parametr[podkategoria],parametr[kategoria])</f>
        <v>wydatki inne</v>
      </c>
      <c r="H900" t="str">
        <f>_xlfn.XLOOKUP(transakcje[[#This Row],[kategoria]],parametr[kategoria],parametr[typ])</f>
        <v>wydatki</v>
      </c>
      <c r="I900" s="1">
        <f>ABS(transakcje[[#This Row],[kwota]])</f>
        <v>5</v>
      </c>
    </row>
    <row r="901" spans="1:9" x14ac:dyDescent="0.3">
      <c r="A901">
        <v>900</v>
      </c>
      <c r="B901">
        <v>2013</v>
      </c>
      <c r="C901">
        <v>8</v>
      </c>
      <c r="D901">
        <v>6</v>
      </c>
      <c r="E901" s="1">
        <v>-1.1179999999999999</v>
      </c>
      <c r="F901" t="s">
        <v>26</v>
      </c>
      <c r="G901" t="str">
        <f>_xlfn.XLOOKUP(transakcje[[#This Row],[podkategoria]],parametr[podkategoria],parametr[kategoria])</f>
        <v>życie</v>
      </c>
      <c r="H901" t="str">
        <f>_xlfn.XLOOKUP(transakcje[[#This Row],[kategoria]],parametr[kategoria],parametr[typ])</f>
        <v>wydatki</v>
      </c>
      <c r="I901" s="1">
        <f>ABS(transakcje[[#This Row],[kwota]])</f>
        <v>1.1179999999999999</v>
      </c>
    </row>
    <row r="902" spans="1:9" x14ac:dyDescent="0.3">
      <c r="A902">
        <v>901</v>
      </c>
      <c r="B902">
        <v>2013</v>
      </c>
      <c r="C902">
        <v>8</v>
      </c>
      <c r="D902">
        <v>7</v>
      </c>
      <c r="E902" s="1">
        <v>-3.7679999999999998</v>
      </c>
      <c r="F902" t="s">
        <v>26</v>
      </c>
      <c r="G902" t="str">
        <f>_xlfn.XLOOKUP(transakcje[[#This Row],[podkategoria]],parametr[podkategoria],parametr[kategoria])</f>
        <v>życie</v>
      </c>
      <c r="H902" t="str">
        <f>_xlfn.XLOOKUP(transakcje[[#This Row],[kategoria]],parametr[kategoria],parametr[typ])</f>
        <v>wydatki</v>
      </c>
      <c r="I902" s="1">
        <f>ABS(transakcje[[#This Row],[kwota]])</f>
        <v>3.7679999999999998</v>
      </c>
    </row>
    <row r="903" spans="1:9" x14ac:dyDescent="0.3">
      <c r="A903">
        <v>902</v>
      </c>
      <c r="B903">
        <v>2013</v>
      </c>
      <c r="C903">
        <v>8</v>
      </c>
      <c r="D903">
        <v>9</v>
      </c>
      <c r="E903" s="1">
        <v>73.834000000000003</v>
      </c>
      <c r="F903" t="s">
        <v>19</v>
      </c>
      <c r="G903" t="str">
        <f>_xlfn.XLOOKUP(transakcje[[#This Row],[podkategoria]],parametr[podkategoria],parametr[kategoria])</f>
        <v>dochody z pracy</v>
      </c>
      <c r="H903" t="str">
        <f>_xlfn.XLOOKUP(transakcje[[#This Row],[kategoria]],parametr[kategoria],parametr[typ])</f>
        <v>dochody</v>
      </c>
      <c r="I903" s="1">
        <f>ABS(transakcje[[#This Row],[kwota]])</f>
        <v>73.834000000000003</v>
      </c>
    </row>
    <row r="904" spans="1:9" x14ac:dyDescent="0.3">
      <c r="A904">
        <v>903</v>
      </c>
      <c r="B904">
        <v>2013</v>
      </c>
      <c r="C904">
        <v>8</v>
      </c>
      <c r="D904">
        <v>9</v>
      </c>
      <c r="E904" s="1">
        <v>-7.5579999999999998</v>
      </c>
      <c r="F904" t="s">
        <v>26</v>
      </c>
      <c r="G904" t="str">
        <f>_xlfn.XLOOKUP(transakcje[[#This Row],[podkategoria]],parametr[podkategoria],parametr[kategoria])</f>
        <v>życie</v>
      </c>
      <c r="H904" t="str">
        <f>_xlfn.XLOOKUP(transakcje[[#This Row],[kategoria]],parametr[kategoria],parametr[typ])</f>
        <v>wydatki</v>
      </c>
      <c r="I904" s="1">
        <f>ABS(transakcje[[#This Row],[kwota]])</f>
        <v>7.5579999999999998</v>
      </c>
    </row>
    <row r="905" spans="1:9" x14ac:dyDescent="0.3">
      <c r="A905">
        <v>904</v>
      </c>
      <c r="B905">
        <v>2013</v>
      </c>
      <c r="C905">
        <v>8</v>
      </c>
      <c r="D905">
        <v>13</v>
      </c>
      <c r="E905" s="1">
        <v>-0.39800000000000002</v>
      </c>
      <c r="F905" t="s">
        <v>14</v>
      </c>
      <c r="G905" t="str">
        <f>_xlfn.XLOOKUP(transakcje[[#This Row],[podkategoria]],parametr[podkategoria],parametr[kategoria])</f>
        <v>opłaty stałe</v>
      </c>
      <c r="H905" t="str">
        <f>_xlfn.XLOOKUP(transakcje[[#This Row],[kategoria]],parametr[kategoria],parametr[typ])</f>
        <v>wydatki</v>
      </c>
      <c r="I905" s="1">
        <f>ABS(transakcje[[#This Row],[kwota]])</f>
        <v>0.39800000000000002</v>
      </c>
    </row>
    <row r="906" spans="1:9" x14ac:dyDescent="0.3">
      <c r="A906">
        <v>905</v>
      </c>
      <c r="B906">
        <v>2013</v>
      </c>
      <c r="C906">
        <v>8</v>
      </c>
      <c r="D906">
        <v>14</v>
      </c>
      <c r="E906" s="1">
        <v>-2.0140000000000002</v>
      </c>
      <c r="F906" t="s">
        <v>26</v>
      </c>
      <c r="G906" t="str">
        <f>_xlfn.XLOOKUP(transakcje[[#This Row],[podkategoria]],parametr[podkategoria],parametr[kategoria])</f>
        <v>życie</v>
      </c>
      <c r="H906" t="str">
        <f>_xlfn.XLOOKUP(transakcje[[#This Row],[kategoria]],parametr[kategoria],parametr[typ])</f>
        <v>wydatki</v>
      </c>
      <c r="I906" s="1">
        <f>ABS(transakcje[[#This Row],[kwota]])</f>
        <v>2.0140000000000002</v>
      </c>
    </row>
    <row r="907" spans="1:9" x14ac:dyDescent="0.3">
      <c r="A907">
        <v>906</v>
      </c>
      <c r="B907">
        <v>2013</v>
      </c>
      <c r="C907">
        <v>8</v>
      </c>
      <c r="D907">
        <v>14</v>
      </c>
      <c r="E907" s="1">
        <v>-2.6440000000000001</v>
      </c>
      <c r="F907" t="s">
        <v>26</v>
      </c>
      <c r="G907" t="str">
        <f>_xlfn.XLOOKUP(transakcje[[#This Row],[podkategoria]],parametr[podkategoria],parametr[kategoria])</f>
        <v>życie</v>
      </c>
      <c r="H907" t="str">
        <f>_xlfn.XLOOKUP(transakcje[[#This Row],[kategoria]],parametr[kategoria],parametr[typ])</f>
        <v>wydatki</v>
      </c>
      <c r="I907" s="1">
        <f>ABS(transakcje[[#This Row],[kwota]])</f>
        <v>2.6440000000000001</v>
      </c>
    </row>
    <row r="908" spans="1:9" x14ac:dyDescent="0.3">
      <c r="A908">
        <v>907</v>
      </c>
      <c r="B908">
        <v>2013</v>
      </c>
      <c r="C908">
        <v>8</v>
      </c>
      <c r="D908">
        <v>15</v>
      </c>
      <c r="E908" s="1">
        <v>-0.8</v>
      </c>
      <c r="F908" t="s">
        <v>14</v>
      </c>
      <c r="G908" t="str">
        <f>_xlfn.XLOOKUP(transakcje[[#This Row],[podkategoria]],parametr[podkategoria],parametr[kategoria])</f>
        <v>opłaty stałe</v>
      </c>
      <c r="H908" t="str">
        <f>_xlfn.XLOOKUP(transakcje[[#This Row],[kategoria]],parametr[kategoria],parametr[typ])</f>
        <v>wydatki</v>
      </c>
      <c r="I908" s="1">
        <f>ABS(transakcje[[#This Row],[kwota]])</f>
        <v>0.8</v>
      </c>
    </row>
    <row r="909" spans="1:9" x14ac:dyDescent="0.3">
      <c r="A909">
        <v>908</v>
      </c>
      <c r="B909">
        <v>2013</v>
      </c>
      <c r="C909">
        <v>8</v>
      </c>
      <c r="D909">
        <v>19</v>
      </c>
      <c r="E909" s="1">
        <v>-50</v>
      </c>
      <c r="F909" t="s">
        <v>11</v>
      </c>
      <c r="G909" t="str">
        <f>_xlfn.XLOOKUP(transakcje[[#This Row],[podkategoria]],parametr[podkategoria],parametr[kategoria])</f>
        <v>wydatki inne</v>
      </c>
      <c r="H909" t="str">
        <f>_xlfn.XLOOKUP(transakcje[[#This Row],[kategoria]],parametr[kategoria],parametr[typ])</f>
        <v>wydatki</v>
      </c>
      <c r="I909" s="1">
        <f>ABS(transakcje[[#This Row],[kwota]])</f>
        <v>50</v>
      </c>
    </row>
    <row r="910" spans="1:9" x14ac:dyDescent="0.3">
      <c r="A910">
        <v>909</v>
      </c>
      <c r="B910">
        <v>2013</v>
      </c>
      <c r="C910">
        <v>8</v>
      </c>
      <c r="D910">
        <v>19</v>
      </c>
      <c r="E910" s="1">
        <v>-6</v>
      </c>
      <c r="F910" t="s">
        <v>11</v>
      </c>
      <c r="G910" t="str">
        <f>_xlfn.XLOOKUP(transakcje[[#This Row],[podkategoria]],parametr[podkategoria],parametr[kategoria])</f>
        <v>wydatki inne</v>
      </c>
      <c r="H910" t="str">
        <f>_xlfn.XLOOKUP(transakcje[[#This Row],[kategoria]],parametr[kategoria],parametr[typ])</f>
        <v>wydatki</v>
      </c>
      <c r="I910" s="1">
        <f>ABS(transakcje[[#This Row],[kwota]])</f>
        <v>6</v>
      </c>
    </row>
    <row r="911" spans="1:9" x14ac:dyDescent="0.3">
      <c r="A911">
        <v>910</v>
      </c>
      <c r="B911">
        <v>2013</v>
      </c>
      <c r="C911">
        <v>8</v>
      </c>
      <c r="D911">
        <v>19</v>
      </c>
      <c r="E911" s="1">
        <v>-11.342000000000001</v>
      </c>
      <c r="F911" t="s">
        <v>26</v>
      </c>
      <c r="G911" t="str">
        <f>_xlfn.XLOOKUP(transakcje[[#This Row],[podkategoria]],parametr[podkategoria],parametr[kategoria])</f>
        <v>życie</v>
      </c>
      <c r="H911" t="str">
        <f>_xlfn.XLOOKUP(transakcje[[#This Row],[kategoria]],parametr[kategoria],parametr[typ])</f>
        <v>wydatki</v>
      </c>
      <c r="I911" s="1">
        <f>ABS(transakcje[[#This Row],[kwota]])</f>
        <v>11.342000000000001</v>
      </c>
    </row>
    <row r="912" spans="1:9" x14ac:dyDescent="0.3">
      <c r="A912">
        <v>911</v>
      </c>
      <c r="B912">
        <v>2013</v>
      </c>
      <c r="C912">
        <v>8</v>
      </c>
      <c r="D912">
        <v>20</v>
      </c>
      <c r="E912" s="1">
        <v>-2.4279999999999999</v>
      </c>
      <c r="F912" t="s">
        <v>26</v>
      </c>
      <c r="G912" t="str">
        <f>_xlfn.XLOOKUP(transakcje[[#This Row],[podkategoria]],parametr[podkategoria],parametr[kategoria])</f>
        <v>życie</v>
      </c>
      <c r="H912" t="str">
        <f>_xlfn.XLOOKUP(transakcje[[#This Row],[kategoria]],parametr[kategoria],parametr[typ])</f>
        <v>wydatki</v>
      </c>
      <c r="I912" s="1">
        <f>ABS(transakcje[[#This Row],[kwota]])</f>
        <v>2.4279999999999999</v>
      </c>
    </row>
    <row r="913" spans="1:9" x14ac:dyDescent="0.3">
      <c r="A913">
        <v>912</v>
      </c>
      <c r="B913">
        <v>2013</v>
      </c>
      <c r="C913">
        <v>8</v>
      </c>
      <c r="D913">
        <v>21</v>
      </c>
      <c r="E913" s="1">
        <v>-59.8</v>
      </c>
      <c r="F913" t="s">
        <v>24</v>
      </c>
      <c r="G913" t="str">
        <f>_xlfn.XLOOKUP(transakcje[[#This Row],[podkategoria]],parametr[podkategoria],parametr[kategoria])</f>
        <v>trwałe</v>
      </c>
      <c r="H913" t="str">
        <f>_xlfn.XLOOKUP(transakcje[[#This Row],[kategoria]],parametr[kategoria],parametr[typ])</f>
        <v>wydatki</v>
      </c>
      <c r="I913" s="1">
        <f>ABS(transakcje[[#This Row],[kwota]])</f>
        <v>59.8</v>
      </c>
    </row>
    <row r="914" spans="1:9" x14ac:dyDescent="0.3">
      <c r="A914">
        <v>913</v>
      </c>
      <c r="B914">
        <v>2013</v>
      </c>
      <c r="C914">
        <v>8</v>
      </c>
      <c r="D914">
        <v>26</v>
      </c>
      <c r="E914" s="1">
        <v>421.392</v>
      </c>
      <c r="F914" t="s">
        <v>8</v>
      </c>
      <c r="G914" t="str">
        <f>_xlfn.XLOOKUP(transakcje[[#This Row],[podkategoria]],parametr[podkategoria],parametr[kategoria])</f>
        <v>dochody z pracy</v>
      </c>
      <c r="H914" t="str">
        <f>_xlfn.XLOOKUP(transakcje[[#This Row],[kategoria]],parametr[kategoria],parametr[typ])</f>
        <v>dochody</v>
      </c>
      <c r="I914" s="1">
        <f>ABS(transakcje[[#This Row],[kwota]])</f>
        <v>421.392</v>
      </c>
    </row>
    <row r="915" spans="1:9" x14ac:dyDescent="0.3">
      <c r="A915">
        <v>914</v>
      </c>
      <c r="B915">
        <v>2013</v>
      </c>
      <c r="C915">
        <v>8</v>
      </c>
      <c r="D915">
        <v>26</v>
      </c>
      <c r="E915" s="1">
        <v>-7.6540000000000008</v>
      </c>
      <c r="F915" t="s">
        <v>26</v>
      </c>
      <c r="G915" t="str">
        <f>_xlfn.XLOOKUP(transakcje[[#This Row],[podkategoria]],parametr[podkategoria],parametr[kategoria])</f>
        <v>życie</v>
      </c>
      <c r="H915" t="str">
        <f>_xlfn.XLOOKUP(transakcje[[#This Row],[kategoria]],parametr[kategoria],parametr[typ])</f>
        <v>wydatki</v>
      </c>
      <c r="I915" s="1">
        <f>ABS(transakcje[[#This Row],[kwota]])</f>
        <v>7.6540000000000008</v>
      </c>
    </row>
    <row r="916" spans="1:9" x14ac:dyDescent="0.3">
      <c r="A916">
        <v>915</v>
      </c>
      <c r="B916">
        <v>2013</v>
      </c>
      <c r="C916">
        <v>8</v>
      </c>
      <c r="D916">
        <v>26</v>
      </c>
      <c r="E916" s="1">
        <v>-1.458</v>
      </c>
      <c r="F916" t="s">
        <v>26</v>
      </c>
      <c r="G916" t="str">
        <f>_xlfn.XLOOKUP(transakcje[[#This Row],[podkategoria]],parametr[podkategoria],parametr[kategoria])</f>
        <v>życie</v>
      </c>
      <c r="H916" t="str">
        <f>_xlfn.XLOOKUP(transakcje[[#This Row],[kategoria]],parametr[kategoria],parametr[typ])</f>
        <v>wydatki</v>
      </c>
      <c r="I916" s="1">
        <f>ABS(transakcje[[#This Row],[kwota]])</f>
        <v>1.458</v>
      </c>
    </row>
    <row r="917" spans="1:9" x14ac:dyDescent="0.3">
      <c r="A917">
        <v>916</v>
      </c>
      <c r="B917">
        <v>2013</v>
      </c>
      <c r="C917">
        <v>8</v>
      </c>
      <c r="D917">
        <v>28</v>
      </c>
      <c r="E917" s="1">
        <v>-4.2460000000000004</v>
      </c>
      <c r="F917" t="s">
        <v>26</v>
      </c>
      <c r="G917" t="str">
        <f>_xlfn.XLOOKUP(transakcje[[#This Row],[podkategoria]],parametr[podkategoria],parametr[kategoria])</f>
        <v>życie</v>
      </c>
      <c r="H917" t="str">
        <f>_xlfn.XLOOKUP(transakcje[[#This Row],[kategoria]],parametr[kategoria],parametr[typ])</f>
        <v>wydatki</v>
      </c>
      <c r="I917" s="1">
        <f>ABS(transakcje[[#This Row],[kwota]])</f>
        <v>4.2460000000000004</v>
      </c>
    </row>
    <row r="918" spans="1:9" x14ac:dyDescent="0.3">
      <c r="A918">
        <v>917</v>
      </c>
      <c r="B918">
        <v>2013</v>
      </c>
      <c r="C918">
        <v>8</v>
      </c>
      <c r="D918">
        <v>28</v>
      </c>
      <c r="E918" s="1">
        <v>-7.5579999999999998</v>
      </c>
      <c r="F918" t="s">
        <v>26</v>
      </c>
      <c r="G918" t="str">
        <f>_xlfn.XLOOKUP(transakcje[[#This Row],[podkategoria]],parametr[podkategoria],parametr[kategoria])</f>
        <v>życie</v>
      </c>
      <c r="H918" t="str">
        <f>_xlfn.XLOOKUP(transakcje[[#This Row],[kategoria]],parametr[kategoria],parametr[typ])</f>
        <v>wydatki</v>
      </c>
      <c r="I918" s="1">
        <f>ABS(transakcje[[#This Row],[kwota]])</f>
        <v>7.5579999999999998</v>
      </c>
    </row>
    <row r="919" spans="1:9" x14ac:dyDescent="0.3">
      <c r="A919">
        <v>918</v>
      </c>
      <c r="B919">
        <v>2013</v>
      </c>
      <c r="C919">
        <v>8</v>
      </c>
      <c r="D919">
        <v>29</v>
      </c>
      <c r="E919" s="1">
        <v>-20</v>
      </c>
      <c r="F919" t="s">
        <v>11</v>
      </c>
      <c r="G919" t="str">
        <f>_xlfn.XLOOKUP(transakcje[[#This Row],[podkategoria]],parametr[podkategoria],parametr[kategoria])</f>
        <v>wydatki inne</v>
      </c>
      <c r="H919" t="str">
        <f>_xlfn.XLOOKUP(transakcje[[#This Row],[kategoria]],parametr[kategoria],parametr[typ])</f>
        <v>wydatki</v>
      </c>
      <c r="I919" s="1">
        <f>ABS(transakcje[[#This Row],[kwota]])</f>
        <v>20</v>
      </c>
    </row>
    <row r="920" spans="1:9" x14ac:dyDescent="0.3">
      <c r="A920">
        <v>919</v>
      </c>
      <c r="B920">
        <v>2013</v>
      </c>
      <c r="C920">
        <v>8</v>
      </c>
      <c r="D920">
        <v>29</v>
      </c>
      <c r="E920" s="1">
        <v>-14.613999999999999</v>
      </c>
      <c r="F920" t="s">
        <v>26</v>
      </c>
      <c r="G920" t="str">
        <f>_xlfn.XLOOKUP(transakcje[[#This Row],[podkategoria]],parametr[podkategoria],parametr[kategoria])</f>
        <v>życie</v>
      </c>
      <c r="H920" t="str">
        <f>_xlfn.XLOOKUP(transakcje[[#This Row],[kategoria]],parametr[kategoria],parametr[typ])</f>
        <v>wydatki</v>
      </c>
      <c r="I920" s="1">
        <f>ABS(transakcje[[#This Row],[kwota]])</f>
        <v>14.613999999999999</v>
      </c>
    </row>
    <row r="921" spans="1:9" x14ac:dyDescent="0.3">
      <c r="A921">
        <v>920</v>
      </c>
      <c r="B921">
        <v>2013</v>
      </c>
      <c r="C921">
        <v>8</v>
      </c>
      <c r="D921">
        <v>30</v>
      </c>
      <c r="E921" s="1">
        <v>-47.938000000000002</v>
      </c>
      <c r="F921" t="s">
        <v>24</v>
      </c>
      <c r="G921" t="str">
        <f>_xlfn.XLOOKUP(transakcje[[#This Row],[podkategoria]],parametr[podkategoria],parametr[kategoria])</f>
        <v>trwałe</v>
      </c>
      <c r="H921" t="str">
        <f>_xlfn.XLOOKUP(transakcje[[#This Row],[kategoria]],parametr[kategoria],parametr[typ])</f>
        <v>wydatki</v>
      </c>
      <c r="I921" s="1">
        <f>ABS(transakcje[[#This Row],[kwota]])</f>
        <v>47.938000000000002</v>
      </c>
    </row>
    <row r="922" spans="1:9" x14ac:dyDescent="0.3">
      <c r="A922">
        <v>921</v>
      </c>
      <c r="B922">
        <v>2013</v>
      </c>
      <c r="C922">
        <v>8</v>
      </c>
      <c r="D922">
        <v>30</v>
      </c>
      <c r="E922" s="1">
        <v>-4</v>
      </c>
      <c r="F922" t="s">
        <v>26</v>
      </c>
      <c r="G922" t="str">
        <f>_xlfn.XLOOKUP(transakcje[[#This Row],[podkategoria]],parametr[podkategoria],parametr[kategoria])</f>
        <v>życie</v>
      </c>
      <c r="H922" t="str">
        <f>_xlfn.XLOOKUP(transakcje[[#This Row],[kategoria]],parametr[kategoria],parametr[typ])</f>
        <v>wydatki</v>
      </c>
      <c r="I922" s="1">
        <f>ABS(transakcje[[#This Row],[kwota]])</f>
        <v>4</v>
      </c>
    </row>
    <row r="923" spans="1:9" x14ac:dyDescent="0.3">
      <c r="A923">
        <v>922</v>
      </c>
      <c r="B923">
        <v>2013</v>
      </c>
      <c r="C923">
        <v>8</v>
      </c>
      <c r="D923">
        <v>30</v>
      </c>
      <c r="E923" s="1">
        <v>-1.784</v>
      </c>
      <c r="F923" t="s">
        <v>26</v>
      </c>
      <c r="G923" t="str">
        <f>_xlfn.XLOOKUP(transakcje[[#This Row],[podkategoria]],parametr[podkategoria],parametr[kategoria])</f>
        <v>życie</v>
      </c>
      <c r="H923" t="str">
        <f>_xlfn.XLOOKUP(transakcje[[#This Row],[kategoria]],parametr[kategoria],parametr[typ])</f>
        <v>wydatki</v>
      </c>
      <c r="I923" s="1">
        <f>ABS(transakcje[[#This Row],[kwota]])</f>
        <v>1.784</v>
      </c>
    </row>
    <row r="924" spans="1:9" x14ac:dyDescent="0.3">
      <c r="A924">
        <v>923</v>
      </c>
      <c r="B924">
        <v>2013</v>
      </c>
      <c r="C924">
        <v>8</v>
      </c>
      <c r="D924">
        <v>31</v>
      </c>
      <c r="E924" s="1">
        <v>2E-3</v>
      </c>
      <c r="F924" t="s">
        <v>17</v>
      </c>
      <c r="G924" t="str">
        <f>_xlfn.XLOOKUP(transakcje[[#This Row],[podkategoria]],parametr[podkategoria],parametr[kategoria])</f>
        <v>dochody pozostałe</v>
      </c>
      <c r="H924" t="str">
        <f>_xlfn.XLOOKUP(transakcje[[#This Row],[kategoria]],parametr[kategoria],parametr[typ])</f>
        <v>dochody</v>
      </c>
      <c r="I924" s="1">
        <f>ABS(transakcje[[#This Row],[kwota]])</f>
        <v>2E-3</v>
      </c>
    </row>
    <row r="925" spans="1:9" x14ac:dyDescent="0.3">
      <c r="A925">
        <v>924</v>
      </c>
      <c r="B925">
        <v>2013</v>
      </c>
      <c r="C925">
        <v>8</v>
      </c>
      <c r="D925">
        <v>31</v>
      </c>
      <c r="E925" s="1">
        <v>-1.198</v>
      </c>
      <c r="F925" t="s">
        <v>14</v>
      </c>
      <c r="G925" t="str">
        <f>_xlfn.XLOOKUP(transakcje[[#This Row],[podkategoria]],parametr[podkategoria],parametr[kategoria])</f>
        <v>opłaty stałe</v>
      </c>
      <c r="H925" t="str">
        <f>_xlfn.XLOOKUP(transakcje[[#This Row],[kategoria]],parametr[kategoria],parametr[typ])</f>
        <v>wydatki</v>
      </c>
      <c r="I925" s="1">
        <f>ABS(transakcje[[#This Row],[kwota]])</f>
        <v>1.198</v>
      </c>
    </row>
    <row r="926" spans="1:9" x14ac:dyDescent="0.3">
      <c r="A926">
        <v>925</v>
      </c>
      <c r="B926">
        <v>2013</v>
      </c>
      <c r="C926">
        <v>8</v>
      </c>
      <c r="D926">
        <v>31</v>
      </c>
      <c r="E926" s="1">
        <v>-0.8</v>
      </c>
      <c r="F926" t="s">
        <v>14</v>
      </c>
      <c r="G926" t="str">
        <f>_xlfn.XLOOKUP(transakcje[[#This Row],[podkategoria]],parametr[podkategoria],parametr[kategoria])</f>
        <v>opłaty stałe</v>
      </c>
      <c r="H926" t="str">
        <f>_xlfn.XLOOKUP(transakcje[[#This Row],[kategoria]],parametr[kategoria],parametr[typ])</f>
        <v>wydatki</v>
      </c>
      <c r="I926" s="1">
        <f>ABS(transakcje[[#This Row],[kwota]])</f>
        <v>0.8</v>
      </c>
    </row>
    <row r="927" spans="1:9" x14ac:dyDescent="0.3">
      <c r="A927">
        <v>926</v>
      </c>
      <c r="B927">
        <v>2013</v>
      </c>
      <c r="C927">
        <v>8</v>
      </c>
      <c r="D927">
        <v>31</v>
      </c>
      <c r="E927" s="1">
        <v>-2E-3</v>
      </c>
      <c r="F927" t="s">
        <v>14</v>
      </c>
      <c r="G927" t="str">
        <f>_xlfn.XLOOKUP(transakcje[[#This Row],[podkategoria]],parametr[podkategoria],parametr[kategoria])</f>
        <v>opłaty stałe</v>
      </c>
      <c r="H927" t="str">
        <f>_xlfn.XLOOKUP(transakcje[[#This Row],[kategoria]],parametr[kategoria],parametr[typ])</f>
        <v>wydatki</v>
      </c>
      <c r="I927" s="1">
        <f>ABS(transakcje[[#This Row],[kwota]])</f>
        <v>2E-3</v>
      </c>
    </row>
    <row r="928" spans="1:9" x14ac:dyDescent="0.3">
      <c r="A928">
        <v>927</v>
      </c>
      <c r="B928">
        <v>2013</v>
      </c>
      <c r="C928">
        <v>9</v>
      </c>
      <c r="D928">
        <v>1</v>
      </c>
      <c r="E928" s="1">
        <v>-7.9799999999999995</v>
      </c>
      <c r="F928" t="s">
        <v>25</v>
      </c>
      <c r="G928" t="str">
        <f>_xlfn.XLOOKUP(transakcje[[#This Row],[podkategoria]],parametr[podkategoria],parametr[kategoria])</f>
        <v>opłaty stałe</v>
      </c>
      <c r="H928" t="str">
        <f>_xlfn.XLOOKUP(transakcje[[#This Row],[kategoria]],parametr[kategoria],parametr[typ])</f>
        <v>wydatki</v>
      </c>
      <c r="I928" s="1">
        <f>ABS(transakcje[[#This Row],[kwota]])</f>
        <v>7.9799999999999995</v>
      </c>
    </row>
    <row r="929" spans="1:9" x14ac:dyDescent="0.3">
      <c r="A929">
        <v>928</v>
      </c>
      <c r="B929">
        <v>2013</v>
      </c>
      <c r="C929">
        <v>9</v>
      </c>
      <c r="D929">
        <v>1</v>
      </c>
      <c r="E929" s="1">
        <v>-46.4</v>
      </c>
      <c r="F929" t="s">
        <v>30</v>
      </c>
      <c r="G929" t="str">
        <f>_xlfn.XLOOKUP(transakcje[[#This Row],[podkategoria]],parametr[podkategoria],parametr[kategoria])</f>
        <v>opłaty stałe</v>
      </c>
      <c r="H929" t="str">
        <f>_xlfn.XLOOKUP(transakcje[[#This Row],[kategoria]],parametr[kategoria],parametr[typ])</f>
        <v>wydatki</v>
      </c>
      <c r="I929" s="1">
        <f>ABS(transakcje[[#This Row],[kwota]])</f>
        <v>46.4</v>
      </c>
    </row>
    <row r="930" spans="1:9" x14ac:dyDescent="0.3">
      <c r="A930">
        <v>929</v>
      </c>
      <c r="B930">
        <v>2013</v>
      </c>
      <c r="C930">
        <v>9</v>
      </c>
      <c r="D930">
        <v>1</v>
      </c>
      <c r="E930" s="1">
        <v>-50.772000000000006</v>
      </c>
      <c r="F930" t="s">
        <v>31</v>
      </c>
      <c r="G930" t="str">
        <f>_xlfn.XLOOKUP(transakcje[[#This Row],[podkategoria]],parametr[podkategoria],parametr[kategoria])</f>
        <v>opłaty stałe</v>
      </c>
      <c r="H930" t="str">
        <f>_xlfn.XLOOKUP(transakcje[[#This Row],[kategoria]],parametr[kategoria],parametr[typ])</f>
        <v>wydatki</v>
      </c>
      <c r="I930" s="1">
        <f>ABS(transakcje[[#This Row],[kwota]])</f>
        <v>50.772000000000006</v>
      </c>
    </row>
    <row r="931" spans="1:9" x14ac:dyDescent="0.3">
      <c r="A931">
        <v>930</v>
      </c>
      <c r="B931">
        <v>2013</v>
      </c>
      <c r="C931">
        <v>9</v>
      </c>
      <c r="D931">
        <v>1</v>
      </c>
      <c r="E931" s="1">
        <v>-6.0039999999999996</v>
      </c>
      <c r="F931" t="s">
        <v>35</v>
      </c>
      <c r="G931" t="str">
        <f>_xlfn.XLOOKUP(transakcje[[#This Row],[podkategoria]],parametr[podkategoria],parametr[kategoria])</f>
        <v>opłaty stałe</v>
      </c>
      <c r="H931" t="str">
        <f>_xlfn.XLOOKUP(transakcje[[#This Row],[kategoria]],parametr[kategoria],parametr[typ])</f>
        <v>wydatki</v>
      </c>
      <c r="I931" s="1">
        <f>ABS(transakcje[[#This Row],[kwota]])</f>
        <v>6.0039999999999996</v>
      </c>
    </row>
    <row r="932" spans="1:9" x14ac:dyDescent="0.3">
      <c r="A932">
        <v>931</v>
      </c>
      <c r="B932">
        <v>2013</v>
      </c>
      <c r="C932">
        <v>9</v>
      </c>
      <c r="D932">
        <v>1</v>
      </c>
      <c r="E932" s="1">
        <v>-9.7200000000000006</v>
      </c>
      <c r="F932" t="s">
        <v>23</v>
      </c>
      <c r="G932" t="str">
        <f>_xlfn.XLOOKUP(transakcje[[#This Row],[podkategoria]],parametr[podkategoria],parametr[kategoria])</f>
        <v>opłaty stałe</v>
      </c>
      <c r="H932" t="str">
        <f>_xlfn.XLOOKUP(transakcje[[#This Row],[kategoria]],parametr[kategoria],parametr[typ])</f>
        <v>wydatki</v>
      </c>
      <c r="I932" s="1">
        <f>ABS(transakcje[[#This Row],[kwota]])</f>
        <v>9.7200000000000006</v>
      </c>
    </row>
    <row r="933" spans="1:9" x14ac:dyDescent="0.3">
      <c r="A933">
        <v>932</v>
      </c>
      <c r="B933">
        <v>2013</v>
      </c>
      <c r="C933">
        <v>9</v>
      </c>
      <c r="D933">
        <v>1</v>
      </c>
      <c r="E933" s="1">
        <v>-16.806000000000001</v>
      </c>
      <c r="F933" t="s">
        <v>34</v>
      </c>
      <c r="G933" t="str">
        <f>_xlfn.XLOOKUP(transakcje[[#This Row],[podkategoria]],parametr[podkategoria],parametr[kategoria])</f>
        <v>opłaty stałe</v>
      </c>
      <c r="H933" t="str">
        <f>_xlfn.XLOOKUP(transakcje[[#This Row],[kategoria]],parametr[kategoria],parametr[typ])</f>
        <v>wydatki</v>
      </c>
      <c r="I933" s="1">
        <f>ABS(transakcje[[#This Row],[kwota]])</f>
        <v>16.806000000000001</v>
      </c>
    </row>
    <row r="934" spans="1:9" x14ac:dyDescent="0.3">
      <c r="A934">
        <v>933</v>
      </c>
      <c r="B934">
        <v>2013</v>
      </c>
      <c r="C934">
        <v>9</v>
      </c>
      <c r="D934">
        <v>2</v>
      </c>
      <c r="E934" s="1">
        <v>-3.968</v>
      </c>
      <c r="F934" t="s">
        <v>26</v>
      </c>
      <c r="G934" t="str">
        <f>_xlfn.XLOOKUP(transakcje[[#This Row],[podkategoria]],parametr[podkategoria],parametr[kategoria])</f>
        <v>życie</v>
      </c>
      <c r="H934" t="str">
        <f>_xlfn.XLOOKUP(transakcje[[#This Row],[kategoria]],parametr[kategoria],parametr[typ])</f>
        <v>wydatki</v>
      </c>
      <c r="I934" s="1">
        <f>ABS(transakcje[[#This Row],[kwota]])</f>
        <v>3.968</v>
      </c>
    </row>
    <row r="935" spans="1:9" x14ac:dyDescent="0.3">
      <c r="A935">
        <v>934</v>
      </c>
      <c r="B935">
        <v>2013</v>
      </c>
      <c r="C935">
        <v>9</v>
      </c>
      <c r="D935">
        <v>9</v>
      </c>
      <c r="E935" s="1">
        <v>-3.718</v>
      </c>
      <c r="F935" t="s">
        <v>26</v>
      </c>
      <c r="G935" t="str">
        <f>_xlfn.XLOOKUP(transakcje[[#This Row],[podkategoria]],parametr[podkategoria],parametr[kategoria])</f>
        <v>życie</v>
      </c>
      <c r="H935" t="str">
        <f>_xlfn.XLOOKUP(transakcje[[#This Row],[kategoria]],parametr[kategoria],parametr[typ])</f>
        <v>wydatki</v>
      </c>
      <c r="I935" s="1">
        <f>ABS(transakcje[[#This Row],[kwota]])</f>
        <v>3.718</v>
      </c>
    </row>
    <row r="936" spans="1:9" x14ac:dyDescent="0.3">
      <c r="A936">
        <v>935</v>
      </c>
      <c r="B936">
        <v>2013</v>
      </c>
      <c r="C936">
        <v>9</v>
      </c>
      <c r="D936">
        <v>11</v>
      </c>
      <c r="E936" s="1">
        <v>-2.8079999999999998</v>
      </c>
      <c r="F936" t="s">
        <v>26</v>
      </c>
      <c r="G936" t="str">
        <f>_xlfn.XLOOKUP(transakcje[[#This Row],[podkategoria]],parametr[podkategoria],parametr[kategoria])</f>
        <v>życie</v>
      </c>
      <c r="H936" t="str">
        <f>_xlfn.XLOOKUP(transakcje[[#This Row],[kategoria]],parametr[kategoria],parametr[typ])</f>
        <v>wydatki</v>
      </c>
      <c r="I936" s="1">
        <f>ABS(transakcje[[#This Row],[kwota]])</f>
        <v>2.8079999999999998</v>
      </c>
    </row>
    <row r="937" spans="1:9" x14ac:dyDescent="0.3">
      <c r="A937">
        <v>936</v>
      </c>
      <c r="B937">
        <v>2013</v>
      </c>
      <c r="C937">
        <v>9</v>
      </c>
      <c r="D937">
        <v>13</v>
      </c>
      <c r="E937" s="1">
        <v>-3.9799999999999995</v>
      </c>
      <c r="F937" t="s">
        <v>26</v>
      </c>
      <c r="G937" t="str">
        <f>_xlfn.XLOOKUP(transakcje[[#This Row],[podkategoria]],parametr[podkategoria],parametr[kategoria])</f>
        <v>życie</v>
      </c>
      <c r="H937" t="str">
        <f>_xlfn.XLOOKUP(transakcje[[#This Row],[kategoria]],parametr[kategoria],parametr[typ])</f>
        <v>wydatki</v>
      </c>
      <c r="I937" s="1">
        <f>ABS(transakcje[[#This Row],[kwota]])</f>
        <v>3.9799999999999995</v>
      </c>
    </row>
    <row r="938" spans="1:9" x14ac:dyDescent="0.3">
      <c r="A938">
        <v>937</v>
      </c>
      <c r="B938">
        <v>2013</v>
      </c>
      <c r="C938">
        <v>9</v>
      </c>
      <c r="D938">
        <v>13</v>
      </c>
      <c r="E938" s="1">
        <v>-3.6520000000000001</v>
      </c>
      <c r="F938" t="s">
        <v>26</v>
      </c>
      <c r="G938" t="str">
        <f>_xlfn.XLOOKUP(transakcje[[#This Row],[podkategoria]],parametr[podkategoria],parametr[kategoria])</f>
        <v>życie</v>
      </c>
      <c r="H938" t="str">
        <f>_xlfn.XLOOKUP(transakcje[[#This Row],[kategoria]],parametr[kategoria],parametr[typ])</f>
        <v>wydatki</v>
      </c>
      <c r="I938" s="1">
        <f>ABS(transakcje[[#This Row],[kwota]])</f>
        <v>3.6520000000000001</v>
      </c>
    </row>
    <row r="939" spans="1:9" x14ac:dyDescent="0.3">
      <c r="A939">
        <v>938</v>
      </c>
      <c r="B939">
        <v>2013</v>
      </c>
      <c r="C939">
        <v>9</v>
      </c>
      <c r="D939">
        <v>16</v>
      </c>
      <c r="E939" s="1">
        <v>-33.311999999999998</v>
      </c>
      <c r="F939" t="s">
        <v>26</v>
      </c>
      <c r="G939" t="str">
        <f>_xlfn.XLOOKUP(transakcje[[#This Row],[podkategoria]],parametr[podkategoria],parametr[kategoria])</f>
        <v>życie</v>
      </c>
      <c r="H939" t="str">
        <f>_xlfn.XLOOKUP(transakcje[[#This Row],[kategoria]],parametr[kategoria],parametr[typ])</f>
        <v>wydatki</v>
      </c>
      <c r="I939" s="1">
        <f>ABS(transakcje[[#This Row],[kwota]])</f>
        <v>33.311999999999998</v>
      </c>
    </row>
    <row r="940" spans="1:9" x14ac:dyDescent="0.3">
      <c r="A940">
        <v>939</v>
      </c>
      <c r="B940">
        <v>2013</v>
      </c>
      <c r="C940">
        <v>9</v>
      </c>
      <c r="D940">
        <v>17</v>
      </c>
      <c r="E940" s="1">
        <v>-0.39800000000000002</v>
      </c>
      <c r="F940" t="s">
        <v>14</v>
      </c>
      <c r="G940" t="str">
        <f>_xlfn.XLOOKUP(transakcje[[#This Row],[podkategoria]],parametr[podkategoria],parametr[kategoria])</f>
        <v>opłaty stałe</v>
      </c>
      <c r="H940" t="str">
        <f>_xlfn.XLOOKUP(transakcje[[#This Row],[kategoria]],parametr[kategoria],parametr[typ])</f>
        <v>wydatki</v>
      </c>
      <c r="I940" s="1">
        <f>ABS(transakcje[[#This Row],[kwota]])</f>
        <v>0.39800000000000002</v>
      </c>
    </row>
    <row r="941" spans="1:9" x14ac:dyDescent="0.3">
      <c r="A941">
        <v>940</v>
      </c>
      <c r="B941">
        <v>2013</v>
      </c>
      <c r="C941">
        <v>9</v>
      </c>
      <c r="D941">
        <v>17</v>
      </c>
      <c r="E941" s="1">
        <v>-3.5979999999999999</v>
      </c>
      <c r="F941" t="s">
        <v>26</v>
      </c>
      <c r="G941" t="str">
        <f>_xlfn.XLOOKUP(transakcje[[#This Row],[podkategoria]],parametr[podkategoria],parametr[kategoria])</f>
        <v>życie</v>
      </c>
      <c r="H941" t="str">
        <f>_xlfn.XLOOKUP(transakcje[[#This Row],[kategoria]],parametr[kategoria],parametr[typ])</f>
        <v>wydatki</v>
      </c>
      <c r="I941" s="1">
        <f>ABS(transakcje[[#This Row],[kwota]])</f>
        <v>3.5979999999999999</v>
      </c>
    </row>
    <row r="942" spans="1:9" x14ac:dyDescent="0.3">
      <c r="A942">
        <v>941</v>
      </c>
      <c r="B942">
        <v>2013</v>
      </c>
      <c r="C942">
        <v>9</v>
      </c>
      <c r="D942">
        <v>25</v>
      </c>
      <c r="E942" s="1">
        <v>87.4</v>
      </c>
      <c r="F942" t="s">
        <v>16</v>
      </c>
      <c r="G942" t="str">
        <f>_xlfn.XLOOKUP(transakcje[[#This Row],[podkategoria]],parametr[podkategoria],parametr[kategoria])</f>
        <v>dochody z pracy</v>
      </c>
      <c r="H942" t="str">
        <f>_xlfn.XLOOKUP(transakcje[[#This Row],[kategoria]],parametr[kategoria],parametr[typ])</f>
        <v>dochody</v>
      </c>
      <c r="I942" s="1">
        <f>ABS(transakcje[[#This Row],[kwota]])</f>
        <v>87.4</v>
      </c>
    </row>
    <row r="943" spans="1:9" x14ac:dyDescent="0.3">
      <c r="A943">
        <v>942</v>
      </c>
      <c r="B943">
        <v>2013</v>
      </c>
      <c r="C943">
        <v>9</v>
      </c>
      <c r="D943">
        <v>25</v>
      </c>
      <c r="E943" s="1">
        <v>421.392</v>
      </c>
      <c r="F943" t="s">
        <v>8</v>
      </c>
      <c r="G943" t="str">
        <f>_xlfn.XLOOKUP(transakcje[[#This Row],[podkategoria]],parametr[podkategoria],parametr[kategoria])</f>
        <v>dochody z pracy</v>
      </c>
      <c r="H943" t="str">
        <f>_xlfn.XLOOKUP(transakcje[[#This Row],[kategoria]],parametr[kategoria],parametr[typ])</f>
        <v>dochody</v>
      </c>
      <c r="I943" s="1">
        <f>ABS(transakcje[[#This Row],[kwota]])</f>
        <v>421.392</v>
      </c>
    </row>
    <row r="944" spans="1:9" x14ac:dyDescent="0.3">
      <c r="A944">
        <v>943</v>
      </c>
      <c r="B944">
        <v>2013</v>
      </c>
      <c r="C944">
        <v>9</v>
      </c>
      <c r="D944">
        <v>27</v>
      </c>
      <c r="E944" s="1">
        <v>-5.9799999999999995</v>
      </c>
      <c r="F944" t="s">
        <v>26</v>
      </c>
      <c r="G944" t="str">
        <f>_xlfn.XLOOKUP(transakcje[[#This Row],[podkategoria]],parametr[podkategoria],parametr[kategoria])</f>
        <v>życie</v>
      </c>
      <c r="H944" t="str">
        <f>_xlfn.XLOOKUP(transakcje[[#This Row],[kategoria]],parametr[kategoria],parametr[typ])</f>
        <v>wydatki</v>
      </c>
      <c r="I944" s="1">
        <f>ABS(transakcje[[#This Row],[kwota]])</f>
        <v>5.9799999999999995</v>
      </c>
    </row>
    <row r="945" spans="1:9" x14ac:dyDescent="0.3">
      <c r="A945">
        <v>944</v>
      </c>
      <c r="B945">
        <v>2013</v>
      </c>
      <c r="C945">
        <v>9</v>
      </c>
      <c r="D945">
        <v>30</v>
      </c>
      <c r="E945" s="1">
        <v>2E-3</v>
      </c>
      <c r="F945" t="s">
        <v>17</v>
      </c>
      <c r="G945" t="str">
        <f>_xlfn.XLOOKUP(transakcje[[#This Row],[podkategoria]],parametr[podkategoria],parametr[kategoria])</f>
        <v>dochody pozostałe</v>
      </c>
      <c r="H945" t="str">
        <f>_xlfn.XLOOKUP(transakcje[[#This Row],[kategoria]],parametr[kategoria],parametr[typ])</f>
        <v>dochody</v>
      </c>
      <c r="I945" s="1">
        <f>ABS(transakcje[[#This Row],[kwota]])</f>
        <v>2E-3</v>
      </c>
    </row>
    <row r="946" spans="1:9" x14ac:dyDescent="0.3">
      <c r="A946">
        <v>945</v>
      </c>
      <c r="B946">
        <v>2013</v>
      </c>
      <c r="C946">
        <v>9</v>
      </c>
      <c r="D946">
        <v>30</v>
      </c>
      <c r="E946" s="1">
        <v>-1.198</v>
      </c>
      <c r="F946" t="s">
        <v>14</v>
      </c>
      <c r="G946" t="str">
        <f>_xlfn.XLOOKUP(transakcje[[#This Row],[podkategoria]],parametr[podkategoria],parametr[kategoria])</f>
        <v>opłaty stałe</v>
      </c>
      <c r="H946" t="str">
        <f>_xlfn.XLOOKUP(transakcje[[#This Row],[kategoria]],parametr[kategoria],parametr[typ])</f>
        <v>wydatki</v>
      </c>
      <c r="I946" s="1">
        <f>ABS(transakcje[[#This Row],[kwota]])</f>
        <v>1.198</v>
      </c>
    </row>
    <row r="947" spans="1:9" x14ac:dyDescent="0.3">
      <c r="A947">
        <v>946</v>
      </c>
      <c r="B947">
        <v>2013</v>
      </c>
      <c r="C947">
        <v>9</v>
      </c>
      <c r="D947">
        <v>30</v>
      </c>
      <c r="E947" s="1">
        <v>-0.1</v>
      </c>
      <c r="F947" t="s">
        <v>14</v>
      </c>
      <c r="G947" t="str">
        <f>_xlfn.XLOOKUP(transakcje[[#This Row],[podkategoria]],parametr[podkategoria],parametr[kategoria])</f>
        <v>opłaty stałe</v>
      </c>
      <c r="H947" t="str">
        <f>_xlfn.XLOOKUP(transakcje[[#This Row],[kategoria]],parametr[kategoria],parametr[typ])</f>
        <v>wydatki</v>
      </c>
      <c r="I947" s="1">
        <f>ABS(transakcje[[#This Row],[kwota]])</f>
        <v>0.1</v>
      </c>
    </row>
    <row r="948" spans="1:9" x14ac:dyDescent="0.3">
      <c r="A948">
        <v>947</v>
      </c>
      <c r="B948">
        <v>2013</v>
      </c>
      <c r="C948">
        <v>9</v>
      </c>
      <c r="D948">
        <v>30</v>
      </c>
      <c r="E948" s="1">
        <v>-2E-3</v>
      </c>
      <c r="F948" t="s">
        <v>14</v>
      </c>
      <c r="G948" t="str">
        <f>_xlfn.XLOOKUP(transakcje[[#This Row],[podkategoria]],parametr[podkategoria],parametr[kategoria])</f>
        <v>opłaty stałe</v>
      </c>
      <c r="H948" t="str">
        <f>_xlfn.XLOOKUP(transakcje[[#This Row],[kategoria]],parametr[kategoria],parametr[typ])</f>
        <v>wydatki</v>
      </c>
      <c r="I948" s="1">
        <f>ABS(transakcje[[#This Row],[kwota]])</f>
        <v>2E-3</v>
      </c>
    </row>
    <row r="949" spans="1:9" x14ac:dyDescent="0.3">
      <c r="A949">
        <v>948</v>
      </c>
      <c r="B949">
        <v>2013</v>
      </c>
      <c r="C949">
        <v>10</v>
      </c>
      <c r="D949">
        <v>1</v>
      </c>
      <c r="E949" s="1">
        <v>-50.772000000000006</v>
      </c>
      <c r="F949" t="s">
        <v>31</v>
      </c>
      <c r="G949" t="str">
        <f>_xlfn.XLOOKUP(transakcje[[#This Row],[podkategoria]],parametr[podkategoria],parametr[kategoria])</f>
        <v>opłaty stałe</v>
      </c>
      <c r="H949" t="str">
        <f>_xlfn.XLOOKUP(transakcje[[#This Row],[kategoria]],parametr[kategoria],parametr[typ])</f>
        <v>wydatki</v>
      </c>
      <c r="I949" s="1">
        <f>ABS(transakcje[[#This Row],[kwota]])</f>
        <v>50.772000000000006</v>
      </c>
    </row>
    <row r="950" spans="1:9" x14ac:dyDescent="0.3">
      <c r="A950">
        <v>949</v>
      </c>
      <c r="B950">
        <v>2013</v>
      </c>
      <c r="C950">
        <v>10</v>
      </c>
      <c r="D950">
        <v>1</v>
      </c>
      <c r="E950" s="1">
        <v>-47.938000000000002</v>
      </c>
      <c r="F950" t="s">
        <v>24</v>
      </c>
      <c r="G950" t="str">
        <f>_xlfn.XLOOKUP(transakcje[[#This Row],[podkategoria]],parametr[podkategoria],parametr[kategoria])</f>
        <v>trwałe</v>
      </c>
      <c r="H950" t="str">
        <f>_xlfn.XLOOKUP(transakcje[[#This Row],[kategoria]],parametr[kategoria],parametr[typ])</f>
        <v>wydatki</v>
      </c>
      <c r="I950" s="1">
        <f>ABS(transakcje[[#This Row],[kwota]])</f>
        <v>47.938000000000002</v>
      </c>
    </row>
    <row r="951" spans="1:9" x14ac:dyDescent="0.3">
      <c r="A951">
        <v>950</v>
      </c>
      <c r="B951">
        <v>2013</v>
      </c>
      <c r="C951">
        <v>10</v>
      </c>
      <c r="D951">
        <v>1</v>
      </c>
      <c r="E951" s="1">
        <v>-9.7200000000000006</v>
      </c>
      <c r="F951" t="s">
        <v>23</v>
      </c>
      <c r="G951" t="str">
        <f>_xlfn.XLOOKUP(transakcje[[#This Row],[podkategoria]],parametr[podkategoria],parametr[kategoria])</f>
        <v>opłaty stałe</v>
      </c>
      <c r="H951" t="str">
        <f>_xlfn.XLOOKUP(transakcje[[#This Row],[kategoria]],parametr[kategoria],parametr[typ])</f>
        <v>wydatki</v>
      </c>
      <c r="I951" s="1">
        <f>ABS(transakcje[[#This Row],[kwota]])</f>
        <v>9.7200000000000006</v>
      </c>
    </row>
    <row r="952" spans="1:9" x14ac:dyDescent="0.3">
      <c r="A952">
        <v>951</v>
      </c>
      <c r="B952">
        <v>2013</v>
      </c>
      <c r="C952">
        <v>10</v>
      </c>
      <c r="D952">
        <v>1</v>
      </c>
      <c r="E952" s="1">
        <v>-4.8</v>
      </c>
      <c r="F952" t="s">
        <v>31</v>
      </c>
      <c r="G952" t="str">
        <f>_xlfn.XLOOKUP(transakcje[[#This Row],[podkategoria]],parametr[podkategoria],parametr[kategoria])</f>
        <v>opłaty stałe</v>
      </c>
      <c r="H952" t="str">
        <f>_xlfn.XLOOKUP(transakcje[[#This Row],[kategoria]],parametr[kategoria],parametr[typ])</f>
        <v>wydatki</v>
      </c>
      <c r="I952" s="1">
        <f>ABS(transakcje[[#This Row],[kwota]])</f>
        <v>4.8</v>
      </c>
    </row>
    <row r="953" spans="1:9" x14ac:dyDescent="0.3">
      <c r="A953">
        <v>952</v>
      </c>
      <c r="B953">
        <v>2013</v>
      </c>
      <c r="C953">
        <v>10</v>
      </c>
      <c r="D953">
        <v>1</v>
      </c>
      <c r="E953" s="1">
        <v>-7.9799999999999995</v>
      </c>
      <c r="F953" t="s">
        <v>25</v>
      </c>
      <c r="G953" t="str">
        <f>_xlfn.XLOOKUP(transakcje[[#This Row],[podkategoria]],parametr[podkategoria],parametr[kategoria])</f>
        <v>opłaty stałe</v>
      </c>
      <c r="H953" t="str">
        <f>_xlfn.XLOOKUP(transakcje[[#This Row],[kategoria]],parametr[kategoria],parametr[typ])</f>
        <v>wydatki</v>
      </c>
      <c r="I953" s="1">
        <f>ABS(transakcje[[#This Row],[kwota]])</f>
        <v>7.9799999999999995</v>
      </c>
    </row>
    <row r="954" spans="1:9" x14ac:dyDescent="0.3">
      <c r="A954">
        <v>953</v>
      </c>
      <c r="B954">
        <v>2013</v>
      </c>
      <c r="C954">
        <v>10</v>
      </c>
      <c r="D954">
        <v>4</v>
      </c>
      <c r="E954" s="1">
        <v>-7.2080000000000002</v>
      </c>
      <c r="F954" t="s">
        <v>26</v>
      </c>
      <c r="G954" t="str">
        <f>_xlfn.XLOOKUP(transakcje[[#This Row],[podkategoria]],parametr[podkategoria],parametr[kategoria])</f>
        <v>życie</v>
      </c>
      <c r="H954" t="str">
        <f>_xlfn.XLOOKUP(transakcje[[#This Row],[kategoria]],parametr[kategoria],parametr[typ])</f>
        <v>wydatki</v>
      </c>
      <c r="I954" s="1">
        <f>ABS(transakcje[[#This Row],[kwota]])</f>
        <v>7.2080000000000002</v>
      </c>
    </row>
    <row r="955" spans="1:9" x14ac:dyDescent="0.3">
      <c r="A955">
        <v>954</v>
      </c>
      <c r="B955">
        <v>2013</v>
      </c>
      <c r="C955">
        <v>10</v>
      </c>
      <c r="D955">
        <v>9</v>
      </c>
      <c r="E955" s="1">
        <v>-9.1939999999999991</v>
      </c>
      <c r="F955" t="s">
        <v>26</v>
      </c>
      <c r="G955" t="str">
        <f>_xlfn.XLOOKUP(transakcje[[#This Row],[podkategoria]],parametr[podkategoria],parametr[kategoria])</f>
        <v>życie</v>
      </c>
      <c r="H955" t="str">
        <f>_xlfn.XLOOKUP(transakcje[[#This Row],[kategoria]],parametr[kategoria],parametr[typ])</f>
        <v>wydatki</v>
      </c>
      <c r="I955" s="1">
        <f>ABS(transakcje[[#This Row],[kwota]])</f>
        <v>9.1939999999999991</v>
      </c>
    </row>
    <row r="956" spans="1:9" x14ac:dyDescent="0.3">
      <c r="A956">
        <v>955</v>
      </c>
      <c r="B956">
        <v>2013</v>
      </c>
      <c r="C956">
        <v>10</v>
      </c>
      <c r="D956">
        <v>9</v>
      </c>
      <c r="E956" s="1">
        <v>-8.4819999999999993</v>
      </c>
      <c r="F956" t="s">
        <v>26</v>
      </c>
      <c r="G956" t="str">
        <f>_xlfn.XLOOKUP(transakcje[[#This Row],[podkategoria]],parametr[podkategoria],parametr[kategoria])</f>
        <v>życie</v>
      </c>
      <c r="H956" t="str">
        <f>_xlfn.XLOOKUP(transakcje[[#This Row],[kategoria]],parametr[kategoria],parametr[typ])</f>
        <v>wydatki</v>
      </c>
      <c r="I956" s="1">
        <f>ABS(transakcje[[#This Row],[kwota]])</f>
        <v>8.4819999999999993</v>
      </c>
    </row>
    <row r="957" spans="1:9" x14ac:dyDescent="0.3">
      <c r="A957">
        <v>956</v>
      </c>
      <c r="B957">
        <v>2013</v>
      </c>
      <c r="C957">
        <v>10</v>
      </c>
      <c r="D957">
        <v>11</v>
      </c>
      <c r="E957" s="1">
        <v>-0.39800000000000002</v>
      </c>
      <c r="F957" t="s">
        <v>14</v>
      </c>
      <c r="G957" t="str">
        <f>_xlfn.XLOOKUP(transakcje[[#This Row],[podkategoria]],parametr[podkategoria],parametr[kategoria])</f>
        <v>opłaty stałe</v>
      </c>
      <c r="H957" t="str">
        <f>_xlfn.XLOOKUP(transakcje[[#This Row],[kategoria]],parametr[kategoria],parametr[typ])</f>
        <v>wydatki</v>
      </c>
      <c r="I957" s="1">
        <f>ABS(transakcje[[#This Row],[kwota]])</f>
        <v>0.39800000000000002</v>
      </c>
    </row>
    <row r="958" spans="1:9" x14ac:dyDescent="0.3">
      <c r="A958">
        <v>957</v>
      </c>
      <c r="B958">
        <v>2013</v>
      </c>
      <c r="C958">
        <v>10</v>
      </c>
      <c r="D958">
        <v>16</v>
      </c>
      <c r="E958" s="1">
        <v>-0.8</v>
      </c>
      <c r="F958" t="s">
        <v>14</v>
      </c>
      <c r="G958" t="str">
        <f>_xlfn.XLOOKUP(transakcje[[#This Row],[podkategoria]],parametr[podkategoria],parametr[kategoria])</f>
        <v>opłaty stałe</v>
      </c>
      <c r="H958" t="str">
        <f>_xlfn.XLOOKUP(transakcje[[#This Row],[kategoria]],parametr[kategoria],parametr[typ])</f>
        <v>wydatki</v>
      </c>
      <c r="I958" s="1">
        <f>ABS(transakcje[[#This Row],[kwota]])</f>
        <v>0.8</v>
      </c>
    </row>
    <row r="959" spans="1:9" x14ac:dyDescent="0.3">
      <c r="A959">
        <v>958</v>
      </c>
      <c r="B959">
        <v>2013</v>
      </c>
      <c r="C959">
        <v>10</v>
      </c>
      <c r="D959">
        <v>18</v>
      </c>
      <c r="E959" s="1">
        <v>-7.9799999999999995</v>
      </c>
      <c r="F959" t="s">
        <v>11</v>
      </c>
      <c r="G959" t="str">
        <f>_xlfn.XLOOKUP(transakcje[[#This Row],[podkategoria]],parametr[podkategoria],parametr[kategoria])</f>
        <v>wydatki inne</v>
      </c>
      <c r="H959" t="str">
        <f>_xlfn.XLOOKUP(transakcje[[#This Row],[kategoria]],parametr[kategoria],parametr[typ])</f>
        <v>wydatki</v>
      </c>
      <c r="I959" s="1">
        <f>ABS(transakcje[[#This Row],[kwota]])</f>
        <v>7.9799999999999995</v>
      </c>
    </row>
    <row r="960" spans="1:9" x14ac:dyDescent="0.3">
      <c r="A960">
        <v>959</v>
      </c>
      <c r="B960">
        <v>2013</v>
      </c>
      <c r="C960">
        <v>10</v>
      </c>
      <c r="D960">
        <v>22</v>
      </c>
      <c r="E960" s="1">
        <v>-5.35</v>
      </c>
      <c r="F960" t="s">
        <v>26</v>
      </c>
      <c r="G960" t="str">
        <f>_xlfn.XLOOKUP(transakcje[[#This Row],[podkategoria]],parametr[podkategoria],parametr[kategoria])</f>
        <v>życie</v>
      </c>
      <c r="H960" t="str">
        <f>_xlfn.XLOOKUP(transakcje[[#This Row],[kategoria]],parametr[kategoria],parametr[typ])</f>
        <v>wydatki</v>
      </c>
      <c r="I960" s="1">
        <f>ABS(transakcje[[#This Row],[kwota]])</f>
        <v>5.35</v>
      </c>
    </row>
    <row r="961" spans="1:9" x14ac:dyDescent="0.3">
      <c r="A961">
        <v>960</v>
      </c>
      <c r="B961">
        <v>2013</v>
      </c>
      <c r="C961">
        <v>10</v>
      </c>
      <c r="D961">
        <v>22</v>
      </c>
      <c r="E961" s="1">
        <v>-4.702</v>
      </c>
      <c r="F961" t="s">
        <v>26</v>
      </c>
      <c r="G961" t="str">
        <f>_xlfn.XLOOKUP(transakcje[[#This Row],[podkategoria]],parametr[podkategoria],parametr[kategoria])</f>
        <v>życie</v>
      </c>
      <c r="H961" t="str">
        <f>_xlfn.XLOOKUP(transakcje[[#This Row],[kategoria]],parametr[kategoria],parametr[typ])</f>
        <v>wydatki</v>
      </c>
      <c r="I961" s="1">
        <f>ABS(transakcje[[#This Row],[kwota]])</f>
        <v>4.702</v>
      </c>
    </row>
    <row r="962" spans="1:9" x14ac:dyDescent="0.3">
      <c r="A962">
        <v>961</v>
      </c>
      <c r="B962">
        <v>2013</v>
      </c>
      <c r="C962">
        <v>10</v>
      </c>
      <c r="D962">
        <v>25</v>
      </c>
      <c r="E962" s="1">
        <v>-3.9799999999999995</v>
      </c>
      <c r="F962" t="s">
        <v>26</v>
      </c>
      <c r="G962" t="str">
        <f>_xlfn.XLOOKUP(transakcje[[#This Row],[podkategoria]],parametr[podkategoria],parametr[kategoria])</f>
        <v>życie</v>
      </c>
      <c r="H962" t="str">
        <f>_xlfn.XLOOKUP(transakcje[[#This Row],[kategoria]],parametr[kategoria],parametr[typ])</f>
        <v>wydatki</v>
      </c>
      <c r="I962" s="1">
        <f>ABS(transakcje[[#This Row],[kwota]])</f>
        <v>3.9799999999999995</v>
      </c>
    </row>
    <row r="963" spans="1:9" x14ac:dyDescent="0.3">
      <c r="A963">
        <v>962</v>
      </c>
      <c r="B963">
        <v>2013</v>
      </c>
      <c r="C963">
        <v>10</v>
      </c>
      <c r="D963">
        <v>25</v>
      </c>
      <c r="E963" s="1">
        <v>-30</v>
      </c>
      <c r="F963" t="s">
        <v>26</v>
      </c>
      <c r="G963" t="str">
        <f>_xlfn.XLOOKUP(transakcje[[#This Row],[podkategoria]],parametr[podkategoria],parametr[kategoria])</f>
        <v>życie</v>
      </c>
      <c r="H963" t="str">
        <f>_xlfn.XLOOKUP(transakcje[[#This Row],[kategoria]],parametr[kategoria],parametr[typ])</f>
        <v>wydatki</v>
      </c>
      <c r="I963" s="1">
        <f>ABS(transakcje[[#This Row],[kwota]])</f>
        <v>30</v>
      </c>
    </row>
    <row r="964" spans="1:9" x14ac:dyDescent="0.3">
      <c r="A964">
        <v>963</v>
      </c>
      <c r="B964">
        <v>2013</v>
      </c>
      <c r="C964">
        <v>10</v>
      </c>
      <c r="D964">
        <v>25</v>
      </c>
      <c r="E964" s="1">
        <v>421.392</v>
      </c>
      <c r="F964" t="s">
        <v>8</v>
      </c>
      <c r="G964" t="str">
        <f>_xlfn.XLOOKUP(transakcje[[#This Row],[podkategoria]],parametr[podkategoria],parametr[kategoria])</f>
        <v>dochody z pracy</v>
      </c>
      <c r="H964" t="str">
        <f>_xlfn.XLOOKUP(transakcje[[#This Row],[kategoria]],parametr[kategoria],parametr[typ])</f>
        <v>dochody</v>
      </c>
      <c r="I964" s="1">
        <f>ABS(transakcje[[#This Row],[kwota]])</f>
        <v>421.392</v>
      </c>
    </row>
    <row r="965" spans="1:9" x14ac:dyDescent="0.3">
      <c r="A965">
        <v>964</v>
      </c>
      <c r="B965">
        <v>2013</v>
      </c>
      <c r="C965">
        <v>10</v>
      </c>
      <c r="D965">
        <v>28</v>
      </c>
      <c r="E965" s="1">
        <v>-3.7939999999999996</v>
      </c>
      <c r="F965" t="s">
        <v>26</v>
      </c>
      <c r="G965" t="str">
        <f>_xlfn.XLOOKUP(transakcje[[#This Row],[podkategoria]],parametr[podkategoria],parametr[kategoria])</f>
        <v>życie</v>
      </c>
      <c r="H965" t="str">
        <f>_xlfn.XLOOKUP(transakcje[[#This Row],[kategoria]],parametr[kategoria],parametr[typ])</f>
        <v>wydatki</v>
      </c>
      <c r="I965" s="1">
        <f>ABS(transakcje[[#This Row],[kwota]])</f>
        <v>3.7939999999999996</v>
      </c>
    </row>
    <row r="966" spans="1:9" x14ac:dyDescent="0.3">
      <c r="A966">
        <v>965</v>
      </c>
      <c r="B966">
        <v>2013</v>
      </c>
      <c r="C966">
        <v>10</v>
      </c>
      <c r="D966">
        <v>29</v>
      </c>
      <c r="E966" s="1">
        <v>-0.32999999999999996</v>
      </c>
      <c r="F966" t="s">
        <v>26</v>
      </c>
      <c r="G966" t="str">
        <f>_xlfn.XLOOKUP(transakcje[[#This Row],[podkategoria]],parametr[podkategoria],parametr[kategoria])</f>
        <v>życie</v>
      </c>
      <c r="H966" t="str">
        <f>_xlfn.XLOOKUP(transakcje[[#This Row],[kategoria]],parametr[kategoria],parametr[typ])</f>
        <v>wydatki</v>
      </c>
      <c r="I966" s="1">
        <f>ABS(transakcje[[#This Row],[kwota]])</f>
        <v>0.32999999999999996</v>
      </c>
    </row>
    <row r="967" spans="1:9" x14ac:dyDescent="0.3">
      <c r="A967">
        <v>966</v>
      </c>
      <c r="B967">
        <v>2013</v>
      </c>
      <c r="C967">
        <v>10</v>
      </c>
      <c r="D967">
        <v>29</v>
      </c>
      <c r="E967" s="1">
        <v>-5.4079999999999995</v>
      </c>
      <c r="F967" t="s">
        <v>26</v>
      </c>
      <c r="G967" t="str">
        <f>_xlfn.XLOOKUP(transakcje[[#This Row],[podkategoria]],parametr[podkategoria],parametr[kategoria])</f>
        <v>życie</v>
      </c>
      <c r="H967" t="str">
        <f>_xlfn.XLOOKUP(transakcje[[#This Row],[kategoria]],parametr[kategoria],parametr[typ])</f>
        <v>wydatki</v>
      </c>
      <c r="I967" s="1">
        <f>ABS(transakcje[[#This Row],[kwota]])</f>
        <v>5.4079999999999995</v>
      </c>
    </row>
    <row r="968" spans="1:9" x14ac:dyDescent="0.3">
      <c r="A968">
        <v>967</v>
      </c>
      <c r="B968">
        <v>2013</v>
      </c>
      <c r="C968">
        <v>10</v>
      </c>
      <c r="D968">
        <v>31</v>
      </c>
      <c r="E968" s="1">
        <v>4.0000000000000001E-3</v>
      </c>
      <c r="F968" t="s">
        <v>17</v>
      </c>
      <c r="G968" t="str">
        <f>_xlfn.XLOOKUP(transakcje[[#This Row],[podkategoria]],parametr[podkategoria],parametr[kategoria])</f>
        <v>dochody pozostałe</v>
      </c>
      <c r="H968" t="str">
        <f>_xlfn.XLOOKUP(transakcje[[#This Row],[kategoria]],parametr[kategoria],parametr[typ])</f>
        <v>dochody</v>
      </c>
      <c r="I968" s="1">
        <f>ABS(transakcje[[#This Row],[kwota]])</f>
        <v>4.0000000000000001E-3</v>
      </c>
    </row>
    <row r="969" spans="1:9" x14ac:dyDescent="0.3">
      <c r="A969">
        <v>968</v>
      </c>
      <c r="B969">
        <v>2013</v>
      </c>
      <c r="C969">
        <v>10</v>
      </c>
      <c r="D969">
        <v>31</v>
      </c>
      <c r="E969" s="1">
        <v>-1.198</v>
      </c>
      <c r="F969" t="s">
        <v>14</v>
      </c>
      <c r="G969" t="str">
        <f>_xlfn.XLOOKUP(transakcje[[#This Row],[podkategoria]],parametr[podkategoria],parametr[kategoria])</f>
        <v>opłaty stałe</v>
      </c>
      <c r="H969" t="str">
        <f>_xlfn.XLOOKUP(transakcje[[#This Row],[kategoria]],parametr[kategoria],parametr[typ])</f>
        <v>wydatki</v>
      </c>
      <c r="I969" s="1">
        <f>ABS(transakcje[[#This Row],[kwota]])</f>
        <v>1.198</v>
      </c>
    </row>
    <row r="970" spans="1:9" x14ac:dyDescent="0.3">
      <c r="A970">
        <v>969</v>
      </c>
      <c r="B970">
        <v>2013</v>
      </c>
      <c r="C970">
        <v>10</v>
      </c>
      <c r="D970">
        <v>31</v>
      </c>
      <c r="E970" s="1">
        <v>-0.6</v>
      </c>
      <c r="F970" t="s">
        <v>14</v>
      </c>
      <c r="G970" t="str">
        <f>_xlfn.XLOOKUP(transakcje[[#This Row],[podkategoria]],parametr[podkategoria],parametr[kategoria])</f>
        <v>opłaty stałe</v>
      </c>
      <c r="H970" t="str">
        <f>_xlfn.XLOOKUP(transakcje[[#This Row],[kategoria]],parametr[kategoria],parametr[typ])</f>
        <v>wydatki</v>
      </c>
      <c r="I970" s="1">
        <f>ABS(transakcje[[#This Row],[kwota]])</f>
        <v>0.6</v>
      </c>
    </row>
    <row r="971" spans="1:9" x14ac:dyDescent="0.3">
      <c r="A971">
        <v>970</v>
      </c>
      <c r="B971">
        <v>2013</v>
      </c>
      <c r="C971">
        <v>10</v>
      </c>
      <c r="D971">
        <v>31</v>
      </c>
      <c r="E971" s="1">
        <v>-2E-3</v>
      </c>
      <c r="F971" t="s">
        <v>14</v>
      </c>
      <c r="G971" t="str">
        <f>_xlfn.XLOOKUP(transakcje[[#This Row],[podkategoria]],parametr[podkategoria],parametr[kategoria])</f>
        <v>opłaty stałe</v>
      </c>
      <c r="H971" t="str">
        <f>_xlfn.XLOOKUP(transakcje[[#This Row],[kategoria]],parametr[kategoria],parametr[typ])</f>
        <v>wydatki</v>
      </c>
      <c r="I971" s="1">
        <f>ABS(transakcje[[#This Row],[kwota]])</f>
        <v>2E-3</v>
      </c>
    </row>
    <row r="972" spans="1:9" x14ac:dyDescent="0.3">
      <c r="A972">
        <v>971</v>
      </c>
      <c r="B972">
        <v>2013</v>
      </c>
      <c r="C972">
        <v>11</v>
      </c>
      <c r="D972">
        <v>1</v>
      </c>
      <c r="E972" s="1">
        <v>-6.0039999999999996</v>
      </c>
      <c r="F972" t="s">
        <v>35</v>
      </c>
      <c r="G972" t="str">
        <f>_xlfn.XLOOKUP(transakcje[[#This Row],[podkategoria]],parametr[podkategoria],parametr[kategoria])</f>
        <v>opłaty stałe</v>
      </c>
      <c r="H972" t="str">
        <f>_xlfn.XLOOKUP(transakcje[[#This Row],[kategoria]],parametr[kategoria],parametr[typ])</f>
        <v>wydatki</v>
      </c>
      <c r="I972" s="1">
        <f>ABS(transakcje[[#This Row],[kwota]])</f>
        <v>6.0039999999999996</v>
      </c>
    </row>
    <row r="973" spans="1:9" x14ac:dyDescent="0.3">
      <c r="A973">
        <v>972</v>
      </c>
      <c r="B973">
        <v>2013</v>
      </c>
      <c r="C973">
        <v>11</v>
      </c>
      <c r="D973">
        <v>1</v>
      </c>
      <c r="E973" s="1">
        <v>-50.772000000000006</v>
      </c>
      <c r="F973" t="s">
        <v>31</v>
      </c>
      <c r="G973" t="str">
        <f>_xlfn.XLOOKUP(transakcje[[#This Row],[podkategoria]],parametr[podkategoria],parametr[kategoria])</f>
        <v>opłaty stałe</v>
      </c>
      <c r="H973" t="str">
        <f>_xlfn.XLOOKUP(transakcje[[#This Row],[kategoria]],parametr[kategoria],parametr[typ])</f>
        <v>wydatki</v>
      </c>
      <c r="I973" s="1">
        <f>ABS(transakcje[[#This Row],[kwota]])</f>
        <v>50.772000000000006</v>
      </c>
    </row>
    <row r="974" spans="1:9" x14ac:dyDescent="0.3">
      <c r="A974">
        <v>973</v>
      </c>
      <c r="B974">
        <v>2013</v>
      </c>
      <c r="C974">
        <v>11</v>
      </c>
      <c r="D974">
        <v>1</v>
      </c>
      <c r="E974" s="1">
        <v>-47.938000000000002</v>
      </c>
      <c r="F974" t="s">
        <v>24</v>
      </c>
      <c r="G974" t="str">
        <f>_xlfn.XLOOKUP(transakcje[[#This Row],[podkategoria]],parametr[podkategoria],parametr[kategoria])</f>
        <v>trwałe</v>
      </c>
      <c r="H974" t="str">
        <f>_xlfn.XLOOKUP(transakcje[[#This Row],[kategoria]],parametr[kategoria],parametr[typ])</f>
        <v>wydatki</v>
      </c>
      <c r="I974" s="1">
        <f>ABS(transakcje[[#This Row],[kwota]])</f>
        <v>47.938000000000002</v>
      </c>
    </row>
    <row r="975" spans="1:9" x14ac:dyDescent="0.3">
      <c r="A975">
        <v>974</v>
      </c>
      <c r="B975">
        <v>2013</v>
      </c>
      <c r="C975">
        <v>11</v>
      </c>
      <c r="D975">
        <v>1</v>
      </c>
      <c r="E975" s="1">
        <v>-9.7200000000000006</v>
      </c>
      <c r="F975" t="s">
        <v>23</v>
      </c>
      <c r="G975" t="str">
        <f>_xlfn.XLOOKUP(transakcje[[#This Row],[podkategoria]],parametr[podkategoria],parametr[kategoria])</f>
        <v>opłaty stałe</v>
      </c>
      <c r="H975" t="str">
        <f>_xlfn.XLOOKUP(transakcje[[#This Row],[kategoria]],parametr[kategoria],parametr[typ])</f>
        <v>wydatki</v>
      </c>
      <c r="I975" s="1">
        <f>ABS(transakcje[[#This Row],[kwota]])</f>
        <v>9.7200000000000006</v>
      </c>
    </row>
    <row r="976" spans="1:9" x14ac:dyDescent="0.3">
      <c r="A976">
        <v>975</v>
      </c>
      <c r="B976">
        <v>2013</v>
      </c>
      <c r="C976">
        <v>11</v>
      </c>
      <c r="D976">
        <v>1</v>
      </c>
      <c r="E976" s="1">
        <v>-17.990000000000002</v>
      </c>
      <c r="F976" t="s">
        <v>34</v>
      </c>
      <c r="G976" t="str">
        <f>_xlfn.XLOOKUP(transakcje[[#This Row],[podkategoria]],parametr[podkategoria],parametr[kategoria])</f>
        <v>opłaty stałe</v>
      </c>
      <c r="H976" t="str">
        <f>_xlfn.XLOOKUP(transakcje[[#This Row],[kategoria]],parametr[kategoria],parametr[typ])</f>
        <v>wydatki</v>
      </c>
      <c r="I976" s="1">
        <f>ABS(transakcje[[#This Row],[kwota]])</f>
        <v>17.990000000000002</v>
      </c>
    </row>
    <row r="977" spans="1:9" x14ac:dyDescent="0.3">
      <c r="A977">
        <v>976</v>
      </c>
      <c r="B977">
        <v>2013</v>
      </c>
      <c r="C977">
        <v>11</v>
      </c>
      <c r="D977">
        <v>1</v>
      </c>
      <c r="E977" s="1">
        <v>-7.9799999999999995</v>
      </c>
      <c r="F977" t="s">
        <v>25</v>
      </c>
      <c r="G977" t="str">
        <f>_xlfn.XLOOKUP(transakcje[[#This Row],[podkategoria]],parametr[podkategoria],parametr[kategoria])</f>
        <v>opłaty stałe</v>
      </c>
      <c r="H977" t="str">
        <f>_xlfn.XLOOKUP(transakcje[[#This Row],[kategoria]],parametr[kategoria],parametr[typ])</f>
        <v>wydatki</v>
      </c>
      <c r="I977" s="1">
        <f>ABS(transakcje[[#This Row],[kwota]])</f>
        <v>7.9799999999999995</v>
      </c>
    </row>
    <row r="978" spans="1:9" x14ac:dyDescent="0.3">
      <c r="A978">
        <v>977</v>
      </c>
      <c r="B978">
        <v>2013</v>
      </c>
      <c r="C978">
        <v>11</v>
      </c>
      <c r="D978">
        <v>4</v>
      </c>
      <c r="E978" s="1">
        <v>-2.38</v>
      </c>
      <c r="F978" t="s">
        <v>11</v>
      </c>
      <c r="G978" t="str">
        <f>_xlfn.XLOOKUP(transakcje[[#This Row],[podkategoria]],parametr[podkategoria],parametr[kategoria])</f>
        <v>wydatki inne</v>
      </c>
      <c r="H978" t="str">
        <f>_xlfn.XLOOKUP(transakcje[[#This Row],[kategoria]],parametr[kategoria],parametr[typ])</f>
        <v>wydatki</v>
      </c>
      <c r="I978" s="1">
        <f>ABS(transakcje[[#This Row],[kwota]])</f>
        <v>2.38</v>
      </c>
    </row>
    <row r="979" spans="1:9" x14ac:dyDescent="0.3">
      <c r="A979">
        <v>978</v>
      </c>
      <c r="B979">
        <v>2013</v>
      </c>
      <c r="C979">
        <v>11</v>
      </c>
      <c r="D979">
        <v>4</v>
      </c>
      <c r="E979" s="1">
        <v>-40</v>
      </c>
      <c r="F979" t="s">
        <v>11</v>
      </c>
      <c r="G979" t="str">
        <f>_xlfn.XLOOKUP(transakcje[[#This Row],[podkategoria]],parametr[podkategoria],parametr[kategoria])</f>
        <v>wydatki inne</v>
      </c>
      <c r="H979" t="str">
        <f>_xlfn.XLOOKUP(transakcje[[#This Row],[kategoria]],parametr[kategoria],parametr[typ])</f>
        <v>wydatki</v>
      </c>
      <c r="I979" s="1">
        <f>ABS(transakcje[[#This Row],[kwota]])</f>
        <v>40</v>
      </c>
    </row>
    <row r="980" spans="1:9" x14ac:dyDescent="0.3">
      <c r="A980">
        <v>979</v>
      </c>
      <c r="B980">
        <v>2013</v>
      </c>
      <c r="C980">
        <v>11</v>
      </c>
      <c r="D980">
        <v>5</v>
      </c>
      <c r="E980" s="1">
        <v>-4.1639999999999997</v>
      </c>
      <c r="F980" t="s">
        <v>26</v>
      </c>
      <c r="G980" t="str">
        <f>_xlfn.XLOOKUP(transakcje[[#This Row],[podkategoria]],parametr[podkategoria],parametr[kategoria])</f>
        <v>życie</v>
      </c>
      <c r="H980" t="str">
        <f>_xlfn.XLOOKUP(transakcje[[#This Row],[kategoria]],parametr[kategoria],parametr[typ])</f>
        <v>wydatki</v>
      </c>
      <c r="I980" s="1">
        <f>ABS(transakcje[[#This Row],[kwota]])</f>
        <v>4.1639999999999997</v>
      </c>
    </row>
    <row r="981" spans="1:9" x14ac:dyDescent="0.3">
      <c r="A981">
        <v>980</v>
      </c>
      <c r="B981">
        <v>2013</v>
      </c>
      <c r="C981">
        <v>11</v>
      </c>
      <c r="D981">
        <v>7</v>
      </c>
      <c r="E981" s="1">
        <v>-6.92</v>
      </c>
      <c r="F981" t="s">
        <v>26</v>
      </c>
      <c r="G981" t="str">
        <f>_xlfn.XLOOKUP(transakcje[[#This Row],[podkategoria]],parametr[podkategoria],parametr[kategoria])</f>
        <v>życie</v>
      </c>
      <c r="H981" t="str">
        <f>_xlfn.XLOOKUP(transakcje[[#This Row],[kategoria]],parametr[kategoria],parametr[typ])</f>
        <v>wydatki</v>
      </c>
      <c r="I981" s="1">
        <f>ABS(transakcje[[#This Row],[kwota]])</f>
        <v>6.92</v>
      </c>
    </row>
    <row r="982" spans="1:9" x14ac:dyDescent="0.3">
      <c r="A982">
        <v>981</v>
      </c>
      <c r="B982">
        <v>2013</v>
      </c>
      <c r="C982">
        <v>11</v>
      </c>
      <c r="D982">
        <v>8</v>
      </c>
      <c r="E982" s="1">
        <v>-80</v>
      </c>
      <c r="F982" t="s">
        <v>11</v>
      </c>
      <c r="G982" t="str">
        <f>_xlfn.XLOOKUP(transakcje[[#This Row],[podkategoria]],parametr[podkategoria],parametr[kategoria])</f>
        <v>wydatki inne</v>
      </c>
      <c r="H982" t="str">
        <f>_xlfn.XLOOKUP(transakcje[[#This Row],[kategoria]],parametr[kategoria],parametr[typ])</f>
        <v>wydatki</v>
      </c>
      <c r="I982" s="1">
        <f>ABS(transakcje[[#This Row],[kwota]])</f>
        <v>80</v>
      </c>
    </row>
    <row r="983" spans="1:9" x14ac:dyDescent="0.3">
      <c r="A983">
        <v>982</v>
      </c>
      <c r="B983">
        <v>2013</v>
      </c>
      <c r="C983">
        <v>11</v>
      </c>
      <c r="D983">
        <v>8</v>
      </c>
      <c r="E983" s="1">
        <v>71.878</v>
      </c>
      <c r="F983" t="s">
        <v>19</v>
      </c>
      <c r="G983" t="str">
        <f>_xlfn.XLOOKUP(transakcje[[#This Row],[podkategoria]],parametr[podkategoria],parametr[kategoria])</f>
        <v>dochody z pracy</v>
      </c>
      <c r="H983" t="str">
        <f>_xlfn.XLOOKUP(transakcje[[#This Row],[kategoria]],parametr[kategoria],parametr[typ])</f>
        <v>dochody</v>
      </c>
      <c r="I983" s="1">
        <f>ABS(transakcje[[#This Row],[kwota]])</f>
        <v>71.878</v>
      </c>
    </row>
    <row r="984" spans="1:9" x14ac:dyDescent="0.3">
      <c r="A984">
        <v>983</v>
      </c>
      <c r="B984">
        <v>2013</v>
      </c>
      <c r="C984">
        <v>11</v>
      </c>
      <c r="D984">
        <v>12</v>
      </c>
      <c r="E984" s="1">
        <v>-10.184000000000001</v>
      </c>
      <c r="F984" t="s">
        <v>26</v>
      </c>
      <c r="G984" t="str">
        <f>_xlfn.XLOOKUP(transakcje[[#This Row],[podkategoria]],parametr[podkategoria],parametr[kategoria])</f>
        <v>życie</v>
      </c>
      <c r="H984" t="str">
        <f>_xlfn.XLOOKUP(transakcje[[#This Row],[kategoria]],parametr[kategoria],parametr[typ])</f>
        <v>wydatki</v>
      </c>
      <c r="I984" s="1">
        <f>ABS(transakcje[[#This Row],[kwota]])</f>
        <v>10.184000000000001</v>
      </c>
    </row>
    <row r="985" spans="1:9" x14ac:dyDescent="0.3">
      <c r="A985">
        <v>984</v>
      </c>
      <c r="B985">
        <v>2013</v>
      </c>
      <c r="C985">
        <v>11</v>
      </c>
      <c r="D985">
        <v>14</v>
      </c>
      <c r="E985" s="1">
        <v>-20</v>
      </c>
      <c r="F985" t="s">
        <v>11</v>
      </c>
      <c r="G985" t="str">
        <f>_xlfn.XLOOKUP(transakcje[[#This Row],[podkategoria]],parametr[podkategoria],parametr[kategoria])</f>
        <v>wydatki inne</v>
      </c>
      <c r="H985" t="str">
        <f>_xlfn.XLOOKUP(transakcje[[#This Row],[kategoria]],parametr[kategoria],parametr[typ])</f>
        <v>wydatki</v>
      </c>
      <c r="I985" s="1">
        <f>ABS(transakcje[[#This Row],[kwota]])</f>
        <v>20</v>
      </c>
    </row>
    <row r="986" spans="1:9" x14ac:dyDescent="0.3">
      <c r="A986">
        <v>985</v>
      </c>
      <c r="B986">
        <v>2013</v>
      </c>
      <c r="C986">
        <v>11</v>
      </c>
      <c r="D986">
        <v>14</v>
      </c>
      <c r="E986" s="1">
        <v>-0.39800000000000002</v>
      </c>
      <c r="F986" t="s">
        <v>14</v>
      </c>
      <c r="G986" t="str">
        <f>_xlfn.XLOOKUP(transakcje[[#This Row],[podkategoria]],parametr[podkategoria],parametr[kategoria])</f>
        <v>opłaty stałe</v>
      </c>
      <c r="H986" t="str">
        <f>_xlfn.XLOOKUP(transakcje[[#This Row],[kategoria]],parametr[kategoria],parametr[typ])</f>
        <v>wydatki</v>
      </c>
      <c r="I986" s="1">
        <f>ABS(transakcje[[#This Row],[kwota]])</f>
        <v>0.39800000000000002</v>
      </c>
    </row>
    <row r="987" spans="1:9" x14ac:dyDescent="0.3">
      <c r="A987">
        <v>986</v>
      </c>
      <c r="B987">
        <v>2013</v>
      </c>
      <c r="C987">
        <v>11</v>
      </c>
      <c r="D987">
        <v>15</v>
      </c>
      <c r="E987" s="1">
        <v>22.552</v>
      </c>
      <c r="F987" t="s">
        <v>17</v>
      </c>
      <c r="G987" t="str">
        <f>_xlfn.XLOOKUP(transakcje[[#This Row],[podkategoria]],parametr[podkategoria],parametr[kategoria])</f>
        <v>dochody pozostałe</v>
      </c>
      <c r="H987" t="str">
        <f>_xlfn.XLOOKUP(transakcje[[#This Row],[kategoria]],parametr[kategoria],parametr[typ])</f>
        <v>dochody</v>
      </c>
      <c r="I987" s="1">
        <f>ABS(transakcje[[#This Row],[kwota]])</f>
        <v>22.552</v>
      </c>
    </row>
    <row r="988" spans="1:9" x14ac:dyDescent="0.3">
      <c r="A988">
        <v>987</v>
      </c>
      <c r="B988">
        <v>2013</v>
      </c>
      <c r="C988">
        <v>11</v>
      </c>
      <c r="D988">
        <v>15</v>
      </c>
      <c r="E988" s="1">
        <v>-7.3659999999999997</v>
      </c>
      <c r="F988" t="s">
        <v>26</v>
      </c>
      <c r="G988" t="str">
        <f>_xlfn.XLOOKUP(transakcje[[#This Row],[podkategoria]],parametr[podkategoria],parametr[kategoria])</f>
        <v>życie</v>
      </c>
      <c r="H988" t="str">
        <f>_xlfn.XLOOKUP(transakcje[[#This Row],[kategoria]],parametr[kategoria],parametr[typ])</f>
        <v>wydatki</v>
      </c>
      <c r="I988" s="1">
        <f>ABS(transakcje[[#This Row],[kwota]])</f>
        <v>7.3659999999999997</v>
      </c>
    </row>
    <row r="989" spans="1:9" x14ac:dyDescent="0.3">
      <c r="A989">
        <v>988</v>
      </c>
      <c r="B989">
        <v>2013</v>
      </c>
      <c r="C989">
        <v>11</v>
      </c>
      <c r="D989">
        <v>16</v>
      </c>
      <c r="E989" s="1">
        <v>-0.8</v>
      </c>
      <c r="F989" t="s">
        <v>14</v>
      </c>
      <c r="G989" t="str">
        <f>_xlfn.XLOOKUP(transakcje[[#This Row],[podkategoria]],parametr[podkategoria],parametr[kategoria])</f>
        <v>opłaty stałe</v>
      </c>
      <c r="H989" t="str">
        <f>_xlfn.XLOOKUP(transakcje[[#This Row],[kategoria]],parametr[kategoria],parametr[typ])</f>
        <v>wydatki</v>
      </c>
      <c r="I989" s="1">
        <f>ABS(transakcje[[#This Row],[kwota]])</f>
        <v>0.8</v>
      </c>
    </row>
    <row r="990" spans="1:9" x14ac:dyDescent="0.3">
      <c r="A990">
        <v>989</v>
      </c>
      <c r="B990">
        <v>2013</v>
      </c>
      <c r="C990">
        <v>11</v>
      </c>
      <c r="D990">
        <v>18</v>
      </c>
      <c r="E990" s="1">
        <v>-8.4939999999999998</v>
      </c>
      <c r="F990" t="s">
        <v>26</v>
      </c>
      <c r="G990" t="str">
        <f>_xlfn.XLOOKUP(transakcje[[#This Row],[podkategoria]],parametr[podkategoria],parametr[kategoria])</f>
        <v>życie</v>
      </c>
      <c r="H990" t="str">
        <f>_xlfn.XLOOKUP(transakcje[[#This Row],[kategoria]],parametr[kategoria],parametr[typ])</f>
        <v>wydatki</v>
      </c>
      <c r="I990" s="1">
        <f>ABS(transakcje[[#This Row],[kwota]])</f>
        <v>8.4939999999999998</v>
      </c>
    </row>
    <row r="991" spans="1:9" x14ac:dyDescent="0.3">
      <c r="A991">
        <v>990</v>
      </c>
      <c r="B991">
        <v>2013</v>
      </c>
      <c r="C991">
        <v>11</v>
      </c>
      <c r="D991">
        <v>25</v>
      </c>
      <c r="E991" s="1">
        <v>-139.80000000000001</v>
      </c>
      <c r="F991" t="s">
        <v>33</v>
      </c>
      <c r="G991" t="str">
        <f>_xlfn.XLOOKUP(transakcje[[#This Row],[podkategoria]],parametr[podkategoria],parametr[kategoria])</f>
        <v>trwałe</v>
      </c>
      <c r="H991" t="str">
        <f>_xlfn.XLOOKUP(transakcje[[#This Row],[kategoria]],parametr[kategoria],parametr[typ])</f>
        <v>wydatki</v>
      </c>
      <c r="I991" s="1">
        <f>ABS(transakcje[[#This Row],[kwota]])</f>
        <v>139.80000000000001</v>
      </c>
    </row>
    <row r="992" spans="1:9" x14ac:dyDescent="0.3">
      <c r="A992">
        <v>991</v>
      </c>
      <c r="B992">
        <v>2013</v>
      </c>
      <c r="C992">
        <v>11</v>
      </c>
      <c r="D992">
        <v>26</v>
      </c>
      <c r="E992" s="1">
        <v>-48</v>
      </c>
      <c r="F992" t="s">
        <v>11</v>
      </c>
      <c r="G992" t="str">
        <f>_xlfn.XLOOKUP(transakcje[[#This Row],[podkategoria]],parametr[podkategoria],parametr[kategoria])</f>
        <v>wydatki inne</v>
      </c>
      <c r="H992" t="str">
        <f>_xlfn.XLOOKUP(transakcje[[#This Row],[kategoria]],parametr[kategoria],parametr[typ])</f>
        <v>wydatki</v>
      </c>
      <c r="I992" s="1">
        <f>ABS(transakcje[[#This Row],[kwota]])</f>
        <v>48</v>
      </c>
    </row>
    <row r="993" spans="1:9" x14ac:dyDescent="0.3">
      <c r="A993">
        <v>992</v>
      </c>
      <c r="B993">
        <v>2013</v>
      </c>
      <c r="C993">
        <v>11</v>
      </c>
      <c r="D993">
        <v>26</v>
      </c>
      <c r="E993" s="1">
        <v>425.178</v>
      </c>
      <c r="F993" t="s">
        <v>8</v>
      </c>
      <c r="G993" t="str">
        <f>_xlfn.XLOOKUP(transakcje[[#This Row],[podkategoria]],parametr[podkategoria],parametr[kategoria])</f>
        <v>dochody z pracy</v>
      </c>
      <c r="H993" t="str">
        <f>_xlfn.XLOOKUP(transakcje[[#This Row],[kategoria]],parametr[kategoria],parametr[typ])</f>
        <v>dochody</v>
      </c>
      <c r="I993" s="1">
        <f>ABS(transakcje[[#This Row],[kwota]])</f>
        <v>425.178</v>
      </c>
    </row>
    <row r="994" spans="1:9" x14ac:dyDescent="0.3">
      <c r="A994">
        <v>993</v>
      </c>
      <c r="B994">
        <v>2013</v>
      </c>
      <c r="C994">
        <v>11</v>
      </c>
      <c r="D994">
        <v>26</v>
      </c>
      <c r="E994" s="1">
        <v>-29.93</v>
      </c>
      <c r="F994" t="s">
        <v>26</v>
      </c>
      <c r="G994" t="str">
        <f>_xlfn.XLOOKUP(transakcje[[#This Row],[podkategoria]],parametr[podkategoria],parametr[kategoria])</f>
        <v>życie</v>
      </c>
      <c r="H994" t="str">
        <f>_xlfn.XLOOKUP(transakcje[[#This Row],[kategoria]],parametr[kategoria],parametr[typ])</f>
        <v>wydatki</v>
      </c>
      <c r="I994" s="1">
        <f>ABS(transakcje[[#This Row],[kwota]])</f>
        <v>29.93</v>
      </c>
    </row>
    <row r="995" spans="1:9" x14ac:dyDescent="0.3">
      <c r="A995">
        <v>994</v>
      </c>
      <c r="B995">
        <v>2013</v>
      </c>
      <c r="C995">
        <v>11</v>
      </c>
      <c r="D995">
        <v>30</v>
      </c>
      <c r="E995" s="1">
        <v>-47.938000000000002</v>
      </c>
      <c r="F995" t="s">
        <v>24</v>
      </c>
      <c r="G995" t="str">
        <f>_xlfn.XLOOKUP(transakcje[[#This Row],[podkategoria]],parametr[podkategoria],parametr[kategoria])</f>
        <v>trwałe</v>
      </c>
      <c r="H995" t="str">
        <f>_xlfn.XLOOKUP(transakcje[[#This Row],[kategoria]],parametr[kategoria],parametr[typ])</f>
        <v>wydatki</v>
      </c>
      <c r="I995" s="1">
        <f>ABS(transakcje[[#This Row],[kwota]])</f>
        <v>47.938000000000002</v>
      </c>
    </row>
    <row r="996" spans="1:9" x14ac:dyDescent="0.3">
      <c r="A996">
        <v>995</v>
      </c>
      <c r="B996">
        <v>2013</v>
      </c>
      <c r="C996">
        <v>11</v>
      </c>
      <c r="D996">
        <v>30</v>
      </c>
      <c r="E996" s="1">
        <v>4.0000000000000001E-3</v>
      </c>
      <c r="F996" t="s">
        <v>17</v>
      </c>
      <c r="G996" t="str">
        <f>_xlfn.XLOOKUP(transakcje[[#This Row],[podkategoria]],parametr[podkategoria],parametr[kategoria])</f>
        <v>dochody pozostałe</v>
      </c>
      <c r="H996" t="str">
        <f>_xlfn.XLOOKUP(transakcje[[#This Row],[kategoria]],parametr[kategoria],parametr[typ])</f>
        <v>dochody</v>
      </c>
      <c r="I996" s="1">
        <f>ABS(transakcje[[#This Row],[kwota]])</f>
        <v>4.0000000000000001E-3</v>
      </c>
    </row>
    <row r="997" spans="1:9" x14ac:dyDescent="0.3">
      <c r="A997">
        <v>996</v>
      </c>
      <c r="B997">
        <v>2013</v>
      </c>
      <c r="C997">
        <v>11</v>
      </c>
      <c r="D997">
        <v>30</v>
      </c>
      <c r="E997" s="1">
        <v>-1.198</v>
      </c>
      <c r="F997" t="s">
        <v>14</v>
      </c>
      <c r="G997" t="str">
        <f>_xlfn.XLOOKUP(transakcje[[#This Row],[podkategoria]],parametr[podkategoria],parametr[kategoria])</f>
        <v>opłaty stałe</v>
      </c>
      <c r="H997" t="str">
        <f>_xlfn.XLOOKUP(transakcje[[#This Row],[kategoria]],parametr[kategoria],parametr[typ])</f>
        <v>wydatki</v>
      </c>
      <c r="I997" s="1">
        <f>ABS(transakcje[[#This Row],[kwota]])</f>
        <v>1.198</v>
      </c>
    </row>
    <row r="998" spans="1:9" x14ac:dyDescent="0.3">
      <c r="A998">
        <v>997</v>
      </c>
      <c r="B998">
        <v>2013</v>
      </c>
      <c r="C998">
        <v>11</v>
      </c>
      <c r="D998">
        <v>30</v>
      </c>
      <c r="E998" s="1">
        <v>-1</v>
      </c>
      <c r="F998" t="s">
        <v>14</v>
      </c>
      <c r="G998" t="str">
        <f>_xlfn.XLOOKUP(transakcje[[#This Row],[podkategoria]],parametr[podkategoria],parametr[kategoria])</f>
        <v>opłaty stałe</v>
      </c>
      <c r="H998" t="str">
        <f>_xlfn.XLOOKUP(transakcje[[#This Row],[kategoria]],parametr[kategoria],parametr[typ])</f>
        <v>wydatki</v>
      </c>
      <c r="I998" s="1">
        <f>ABS(transakcje[[#This Row],[kwota]])</f>
        <v>1</v>
      </c>
    </row>
    <row r="999" spans="1:9" x14ac:dyDescent="0.3">
      <c r="A999">
        <v>998</v>
      </c>
      <c r="B999">
        <v>2013</v>
      </c>
      <c r="C999">
        <v>11</v>
      </c>
      <c r="D999">
        <v>30</v>
      </c>
      <c r="E999" s="1">
        <v>-2E-3</v>
      </c>
      <c r="F999" t="s">
        <v>14</v>
      </c>
      <c r="G999" t="str">
        <f>_xlfn.XLOOKUP(transakcje[[#This Row],[podkategoria]],parametr[podkategoria],parametr[kategoria])</f>
        <v>opłaty stałe</v>
      </c>
      <c r="H999" t="str">
        <f>_xlfn.XLOOKUP(transakcje[[#This Row],[kategoria]],parametr[kategoria],parametr[typ])</f>
        <v>wydatki</v>
      </c>
      <c r="I999" s="1">
        <f>ABS(transakcje[[#This Row],[kwota]])</f>
        <v>2E-3</v>
      </c>
    </row>
    <row r="1000" spans="1:9" x14ac:dyDescent="0.3">
      <c r="A1000">
        <v>999</v>
      </c>
      <c r="B1000">
        <v>2013</v>
      </c>
      <c r="C1000">
        <v>11</v>
      </c>
      <c r="D1000">
        <v>30</v>
      </c>
      <c r="E1000" s="1">
        <v>-4.8</v>
      </c>
      <c r="F1000" t="s">
        <v>31</v>
      </c>
      <c r="G1000" t="str">
        <f>_xlfn.XLOOKUP(transakcje[[#This Row],[podkategoria]],parametr[podkategoria],parametr[kategoria])</f>
        <v>opłaty stałe</v>
      </c>
      <c r="H1000" t="str">
        <f>_xlfn.XLOOKUP(transakcje[[#This Row],[kategoria]],parametr[kategoria],parametr[typ])</f>
        <v>wydatki</v>
      </c>
      <c r="I1000" s="1">
        <f>ABS(transakcje[[#This Row],[kwota]])</f>
        <v>4.8</v>
      </c>
    </row>
    <row r="1001" spans="1:9" x14ac:dyDescent="0.3">
      <c r="A1001">
        <v>1000</v>
      </c>
      <c r="B1001">
        <v>2013</v>
      </c>
      <c r="C1001">
        <v>12</v>
      </c>
      <c r="D1001">
        <v>1</v>
      </c>
      <c r="E1001" s="1">
        <v>-8.18</v>
      </c>
      <c r="F1001" t="s">
        <v>25</v>
      </c>
      <c r="G1001" t="str">
        <f>_xlfn.XLOOKUP(transakcje[[#This Row],[podkategoria]],parametr[podkategoria],parametr[kategoria])</f>
        <v>opłaty stałe</v>
      </c>
      <c r="H1001" t="str">
        <f>_xlfn.XLOOKUP(transakcje[[#This Row],[kategoria]],parametr[kategoria],parametr[typ])</f>
        <v>wydatki</v>
      </c>
      <c r="I1001" s="1">
        <f>ABS(transakcje[[#This Row],[kwota]])</f>
        <v>8.18</v>
      </c>
    </row>
    <row r="1002" spans="1:9" x14ac:dyDescent="0.3">
      <c r="A1002">
        <v>1001</v>
      </c>
      <c r="B1002">
        <v>2013</v>
      </c>
      <c r="C1002">
        <v>12</v>
      </c>
      <c r="D1002">
        <v>1</v>
      </c>
      <c r="E1002" s="1">
        <v>-50.772000000000006</v>
      </c>
      <c r="F1002" t="s">
        <v>31</v>
      </c>
      <c r="G1002" t="str">
        <f>_xlfn.XLOOKUP(transakcje[[#This Row],[podkategoria]],parametr[podkategoria],parametr[kategoria])</f>
        <v>opłaty stałe</v>
      </c>
      <c r="H1002" t="str">
        <f>_xlfn.XLOOKUP(transakcje[[#This Row],[kategoria]],parametr[kategoria],parametr[typ])</f>
        <v>wydatki</v>
      </c>
      <c r="I1002" s="1">
        <f>ABS(transakcje[[#This Row],[kwota]])</f>
        <v>50.772000000000006</v>
      </c>
    </row>
    <row r="1003" spans="1:9" x14ac:dyDescent="0.3">
      <c r="A1003">
        <v>1002</v>
      </c>
      <c r="B1003">
        <v>2013</v>
      </c>
      <c r="C1003">
        <v>12</v>
      </c>
      <c r="D1003">
        <v>1</v>
      </c>
      <c r="E1003" s="1">
        <v>-9.7200000000000006</v>
      </c>
      <c r="F1003" t="s">
        <v>23</v>
      </c>
      <c r="G1003" t="str">
        <f>_xlfn.XLOOKUP(transakcje[[#This Row],[podkategoria]],parametr[podkategoria],parametr[kategoria])</f>
        <v>opłaty stałe</v>
      </c>
      <c r="H1003" t="str">
        <f>_xlfn.XLOOKUP(transakcje[[#This Row],[kategoria]],parametr[kategoria],parametr[typ])</f>
        <v>wydatki</v>
      </c>
      <c r="I1003" s="1">
        <f>ABS(transakcje[[#This Row],[kwota]])</f>
        <v>9.7200000000000006</v>
      </c>
    </row>
    <row r="1004" spans="1:9" x14ac:dyDescent="0.3">
      <c r="A1004">
        <v>1003</v>
      </c>
      <c r="B1004">
        <v>2013</v>
      </c>
      <c r="C1004">
        <v>12</v>
      </c>
      <c r="D1004">
        <v>2</v>
      </c>
      <c r="E1004" s="1">
        <v>-4</v>
      </c>
      <c r="F1004" t="s">
        <v>11</v>
      </c>
      <c r="G1004" t="str">
        <f>_xlfn.XLOOKUP(transakcje[[#This Row],[podkategoria]],parametr[podkategoria],parametr[kategoria])</f>
        <v>wydatki inne</v>
      </c>
      <c r="H1004" t="str">
        <f>_xlfn.XLOOKUP(transakcje[[#This Row],[kategoria]],parametr[kategoria],parametr[typ])</f>
        <v>wydatki</v>
      </c>
      <c r="I1004" s="1">
        <f>ABS(transakcje[[#This Row],[kwota]])</f>
        <v>4</v>
      </c>
    </row>
    <row r="1005" spans="1:9" x14ac:dyDescent="0.3">
      <c r="A1005">
        <v>1004</v>
      </c>
      <c r="B1005">
        <v>2013</v>
      </c>
      <c r="C1005">
        <v>12</v>
      </c>
      <c r="D1005">
        <v>2</v>
      </c>
      <c r="E1005" s="1">
        <v>-2.48</v>
      </c>
      <c r="F1005" t="s">
        <v>26</v>
      </c>
      <c r="G1005" t="str">
        <f>_xlfn.XLOOKUP(transakcje[[#This Row],[podkategoria]],parametr[podkategoria],parametr[kategoria])</f>
        <v>życie</v>
      </c>
      <c r="H1005" t="str">
        <f>_xlfn.XLOOKUP(transakcje[[#This Row],[kategoria]],parametr[kategoria],parametr[typ])</f>
        <v>wydatki</v>
      </c>
      <c r="I1005" s="1">
        <f>ABS(transakcje[[#This Row],[kwota]])</f>
        <v>2.48</v>
      </c>
    </row>
    <row r="1006" spans="1:9" x14ac:dyDescent="0.3">
      <c r="A1006">
        <v>1005</v>
      </c>
      <c r="B1006">
        <v>2013</v>
      </c>
      <c r="C1006">
        <v>12</v>
      </c>
      <c r="D1006">
        <v>3</v>
      </c>
      <c r="E1006" s="1">
        <v>-19.8</v>
      </c>
      <c r="F1006" t="s">
        <v>11</v>
      </c>
      <c r="G1006" t="str">
        <f>_xlfn.XLOOKUP(transakcje[[#This Row],[podkategoria]],parametr[podkategoria],parametr[kategoria])</f>
        <v>wydatki inne</v>
      </c>
      <c r="H1006" t="str">
        <f>_xlfn.XLOOKUP(transakcje[[#This Row],[kategoria]],parametr[kategoria],parametr[typ])</f>
        <v>wydatki</v>
      </c>
      <c r="I1006" s="1">
        <f>ABS(transakcje[[#This Row],[kwota]])</f>
        <v>19.8</v>
      </c>
    </row>
    <row r="1007" spans="1:9" x14ac:dyDescent="0.3">
      <c r="A1007">
        <v>1006</v>
      </c>
      <c r="B1007">
        <v>2013</v>
      </c>
      <c r="C1007">
        <v>12</v>
      </c>
      <c r="D1007">
        <v>5</v>
      </c>
      <c r="E1007" s="1">
        <v>-13.797999999999998</v>
      </c>
      <c r="F1007" t="s">
        <v>11</v>
      </c>
      <c r="G1007" t="str">
        <f>_xlfn.XLOOKUP(transakcje[[#This Row],[podkategoria]],parametr[podkategoria],parametr[kategoria])</f>
        <v>wydatki inne</v>
      </c>
      <c r="H1007" t="str">
        <f>_xlfn.XLOOKUP(transakcje[[#This Row],[kategoria]],parametr[kategoria],parametr[typ])</f>
        <v>wydatki</v>
      </c>
      <c r="I1007" s="1">
        <f>ABS(transakcje[[#This Row],[kwota]])</f>
        <v>13.797999999999998</v>
      </c>
    </row>
    <row r="1008" spans="1:9" x14ac:dyDescent="0.3">
      <c r="A1008">
        <v>1007</v>
      </c>
      <c r="B1008">
        <v>2013</v>
      </c>
      <c r="C1008">
        <v>12</v>
      </c>
      <c r="D1008">
        <v>5</v>
      </c>
      <c r="E1008" s="1">
        <v>-7.6599999999999993</v>
      </c>
      <c r="F1008" t="s">
        <v>26</v>
      </c>
      <c r="G1008" t="str">
        <f>_xlfn.XLOOKUP(transakcje[[#This Row],[podkategoria]],parametr[podkategoria],parametr[kategoria])</f>
        <v>życie</v>
      </c>
      <c r="H1008" t="str">
        <f>_xlfn.XLOOKUP(transakcje[[#This Row],[kategoria]],parametr[kategoria],parametr[typ])</f>
        <v>wydatki</v>
      </c>
      <c r="I1008" s="1">
        <f>ABS(transakcje[[#This Row],[kwota]])</f>
        <v>7.6599999999999993</v>
      </c>
    </row>
    <row r="1009" spans="1:9" x14ac:dyDescent="0.3">
      <c r="A1009">
        <v>1008</v>
      </c>
      <c r="B1009">
        <v>2013</v>
      </c>
      <c r="C1009">
        <v>12</v>
      </c>
      <c r="D1009">
        <v>5</v>
      </c>
      <c r="E1009" s="1">
        <v>-4.6100000000000003</v>
      </c>
      <c r="F1009" t="s">
        <v>26</v>
      </c>
      <c r="G1009" t="str">
        <f>_xlfn.XLOOKUP(transakcje[[#This Row],[podkategoria]],parametr[podkategoria],parametr[kategoria])</f>
        <v>życie</v>
      </c>
      <c r="H1009" t="str">
        <f>_xlfn.XLOOKUP(transakcje[[#This Row],[kategoria]],parametr[kategoria],parametr[typ])</f>
        <v>wydatki</v>
      </c>
      <c r="I1009" s="1">
        <f>ABS(transakcje[[#This Row],[kwota]])</f>
        <v>4.6100000000000003</v>
      </c>
    </row>
    <row r="1010" spans="1:9" x14ac:dyDescent="0.3">
      <c r="A1010">
        <v>1009</v>
      </c>
      <c r="B1010">
        <v>2013</v>
      </c>
      <c r="C1010">
        <v>12</v>
      </c>
      <c r="D1010">
        <v>6</v>
      </c>
      <c r="E1010" s="1">
        <v>65.599999999999994</v>
      </c>
      <c r="F1010" t="s">
        <v>16</v>
      </c>
      <c r="G1010" t="str">
        <f>_xlfn.XLOOKUP(transakcje[[#This Row],[podkategoria]],parametr[podkategoria],parametr[kategoria])</f>
        <v>dochody z pracy</v>
      </c>
      <c r="H1010" t="str">
        <f>_xlfn.XLOOKUP(transakcje[[#This Row],[kategoria]],parametr[kategoria],parametr[typ])</f>
        <v>dochody</v>
      </c>
      <c r="I1010" s="1">
        <f>ABS(transakcje[[#This Row],[kwota]])</f>
        <v>65.599999999999994</v>
      </c>
    </row>
    <row r="1011" spans="1:9" x14ac:dyDescent="0.3">
      <c r="A1011">
        <v>1010</v>
      </c>
      <c r="B1011">
        <v>2013</v>
      </c>
      <c r="C1011">
        <v>12</v>
      </c>
      <c r="D1011">
        <v>9</v>
      </c>
      <c r="E1011" s="1">
        <v>-34.194000000000003</v>
      </c>
      <c r="F1011" t="s">
        <v>26</v>
      </c>
      <c r="G1011" t="str">
        <f>_xlfn.XLOOKUP(transakcje[[#This Row],[podkategoria]],parametr[podkategoria],parametr[kategoria])</f>
        <v>życie</v>
      </c>
      <c r="H1011" t="str">
        <f>_xlfn.XLOOKUP(transakcje[[#This Row],[kategoria]],parametr[kategoria],parametr[typ])</f>
        <v>wydatki</v>
      </c>
      <c r="I1011" s="1">
        <f>ABS(transakcje[[#This Row],[kwota]])</f>
        <v>34.194000000000003</v>
      </c>
    </row>
    <row r="1012" spans="1:9" x14ac:dyDescent="0.3">
      <c r="A1012">
        <v>1011</v>
      </c>
      <c r="B1012">
        <v>2013</v>
      </c>
      <c r="C1012">
        <v>12</v>
      </c>
      <c r="D1012">
        <v>13</v>
      </c>
      <c r="E1012" s="1">
        <v>-0.39800000000000002</v>
      </c>
      <c r="F1012" t="s">
        <v>14</v>
      </c>
      <c r="G1012" t="str">
        <f>_xlfn.XLOOKUP(transakcje[[#This Row],[podkategoria]],parametr[podkategoria],parametr[kategoria])</f>
        <v>opłaty stałe</v>
      </c>
      <c r="H1012" t="str">
        <f>_xlfn.XLOOKUP(transakcje[[#This Row],[kategoria]],parametr[kategoria],parametr[typ])</f>
        <v>wydatki</v>
      </c>
      <c r="I1012" s="1">
        <f>ABS(transakcje[[#This Row],[kwota]])</f>
        <v>0.39800000000000002</v>
      </c>
    </row>
    <row r="1013" spans="1:9" x14ac:dyDescent="0.3">
      <c r="A1013">
        <v>1012</v>
      </c>
      <c r="B1013">
        <v>2013</v>
      </c>
      <c r="C1013">
        <v>12</v>
      </c>
      <c r="D1013">
        <v>16</v>
      </c>
      <c r="E1013" s="1">
        <v>-0.8</v>
      </c>
      <c r="F1013" t="s">
        <v>14</v>
      </c>
      <c r="G1013" t="str">
        <f>_xlfn.XLOOKUP(transakcje[[#This Row],[podkategoria]],parametr[podkategoria],parametr[kategoria])</f>
        <v>opłaty stałe</v>
      </c>
      <c r="H1013" t="str">
        <f>_xlfn.XLOOKUP(transakcje[[#This Row],[kategoria]],parametr[kategoria],parametr[typ])</f>
        <v>wydatki</v>
      </c>
      <c r="I1013" s="1">
        <f>ABS(transakcje[[#This Row],[kwota]])</f>
        <v>0.8</v>
      </c>
    </row>
    <row r="1014" spans="1:9" x14ac:dyDescent="0.3">
      <c r="A1014">
        <v>1013</v>
      </c>
      <c r="B1014">
        <v>2013</v>
      </c>
      <c r="C1014">
        <v>12</v>
      </c>
      <c r="D1014">
        <v>16</v>
      </c>
      <c r="E1014" s="1">
        <v>425.178</v>
      </c>
      <c r="F1014" t="s">
        <v>8</v>
      </c>
      <c r="G1014" t="str">
        <f>_xlfn.XLOOKUP(transakcje[[#This Row],[podkategoria]],parametr[podkategoria],parametr[kategoria])</f>
        <v>dochody z pracy</v>
      </c>
      <c r="H1014" t="str">
        <f>_xlfn.XLOOKUP(transakcje[[#This Row],[kategoria]],parametr[kategoria],parametr[typ])</f>
        <v>dochody</v>
      </c>
      <c r="I1014" s="1">
        <f>ABS(transakcje[[#This Row],[kwota]])</f>
        <v>425.178</v>
      </c>
    </row>
    <row r="1015" spans="1:9" x14ac:dyDescent="0.3">
      <c r="A1015">
        <v>1014</v>
      </c>
      <c r="B1015">
        <v>2013</v>
      </c>
      <c r="C1015">
        <v>12</v>
      </c>
      <c r="D1015">
        <v>19</v>
      </c>
      <c r="E1015" s="1">
        <v>297.76799999999997</v>
      </c>
      <c r="F1015" t="s">
        <v>19</v>
      </c>
      <c r="G1015" t="str">
        <f>_xlfn.XLOOKUP(transakcje[[#This Row],[podkategoria]],parametr[podkategoria],parametr[kategoria])</f>
        <v>dochody z pracy</v>
      </c>
      <c r="H1015" t="str">
        <f>_xlfn.XLOOKUP(transakcje[[#This Row],[kategoria]],parametr[kategoria],parametr[typ])</f>
        <v>dochody</v>
      </c>
      <c r="I1015" s="1">
        <f>ABS(transakcje[[#This Row],[kwota]])</f>
        <v>297.76799999999997</v>
      </c>
    </row>
    <row r="1016" spans="1:9" x14ac:dyDescent="0.3">
      <c r="A1016">
        <v>1015</v>
      </c>
      <c r="B1016">
        <v>2013</v>
      </c>
      <c r="C1016">
        <v>12</v>
      </c>
      <c r="D1016">
        <v>20</v>
      </c>
      <c r="E1016" s="1">
        <v>-18.996000000000002</v>
      </c>
      <c r="F1016" t="s">
        <v>26</v>
      </c>
      <c r="G1016" t="str">
        <f>_xlfn.XLOOKUP(transakcje[[#This Row],[podkategoria]],parametr[podkategoria],parametr[kategoria])</f>
        <v>życie</v>
      </c>
      <c r="H1016" t="str">
        <f>_xlfn.XLOOKUP(transakcje[[#This Row],[kategoria]],parametr[kategoria],parametr[typ])</f>
        <v>wydatki</v>
      </c>
      <c r="I1016" s="1">
        <f>ABS(transakcje[[#This Row],[kwota]])</f>
        <v>18.996000000000002</v>
      </c>
    </row>
    <row r="1017" spans="1:9" x14ac:dyDescent="0.3">
      <c r="A1017">
        <v>1016</v>
      </c>
      <c r="B1017">
        <v>2013</v>
      </c>
      <c r="C1017">
        <v>12</v>
      </c>
      <c r="D1017">
        <v>24</v>
      </c>
      <c r="E1017" s="1">
        <v>7.6360000000000001</v>
      </c>
      <c r="F1017" t="s">
        <v>19</v>
      </c>
      <c r="G1017" t="str">
        <f>_xlfn.XLOOKUP(transakcje[[#This Row],[podkategoria]],parametr[podkategoria],parametr[kategoria])</f>
        <v>dochody z pracy</v>
      </c>
      <c r="H1017" t="str">
        <f>_xlfn.XLOOKUP(transakcje[[#This Row],[kategoria]],parametr[kategoria],parametr[typ])</f>
        <v>dochody</v>
      </c>
      <c r="I1017" s="1">
        <f>ABS(transakcje[[#This Row],[kwota]])</f>
        <v>7.6360000000000001</v>
      </c>
    </row>
    <row r="1018" spans="1:9" x14ac:dyDescent="0.3">
      <c r="A1018">
        <v>1017</v>
      </c>
      <c r="B1018">
        <v>2013</v>
      </c>
      <c r="C1018">
        <v>12</v>
      </c>
      <c r="D1018">
        <v>27</v>
      </c>
      <c r="E1018" s="1">
        <v>-10.773999999999999</v>
      </c>
      <c r="F1018" t="s">
        <v>26</v>
      </c>
      <c r="G1018" t="str">
        <f>_xlfn.XLOOKUP(transakcje[[#This Row],[podkategoria]],parametr[podkategoria],parametr[kategoria])</f>
        <v>życie</v>
      </c>
      <c r="H1018" t="str">
        <f>_xlfn.XLOOKUP(transakcje[[#This Row],[kategoria]],parametr[kategoria],parametr[typ])</f>
        <v>wydatki</v>
      </c>
      <c r="I1018" s="1">
        <f>ABS(transakcje[[#This Row],[kwota]])</f>
        <v>10.773999999999999</v>
      </c>
    </row>
    <row r="1019" spans="1:9" x14ac:dyDescent="0.3">
      <c r="A1019">
        <v>1018</v>
      </c>
      <c r="B1019">
        <v>2013</v>
      </c>
      <c r="C1019">
        <v>12</v>
      </c>
      <c r="D1019">
        <v>31</v>
      </c>
      <c r="E1019" s="1">
        <v>-10</v>
      </c>
      <c r="F1019" t="s">
        <v>11</v>
      </c>
      <c r="G1019" t="str">
        <f>_xlfn.XLOOKUP(transakcje[[#This Row],[podkategoria]],parametr[podkategoria],parametr[kategoria])</f>
        <v>wydatki inne</v>
      </c>
      <c r="H1019" t="str">
        <f>_xlfn.XLOOKUP(transakcje[[#This Row],[kategoria]],parametr[kategoria],parametr[typ])</f>
        <v>wydatki</v>
      </c>
      <c r="I1019" s="1">
        <f>ABS(transakcje[[#This Row],[kwota]])</f>
        <v>10</v>
      </c>
    </row>
    <row r="1020" spans="1:9" x14ac:dyDescent="0.3">
      <c r="A1020">
        <v>1019</v>
      </c>
      <c r="B1020">
        <v>2013</v>
      </c>
      <c r="C1020">
        <v>12</v>
      </c>
      <c r="D1020">
        <v>31</v>
      </c>
      <c r="E1020" s="1">
        <v>-47.938000000000002</v>
      </c>
      <c r="F1020" t="s">
        <v>24</v>
      </c>
      <c r="G1020" t="str">
        <f>_xlfn.XLOOKUP(transakcje[[#This Row],[podkategoria]],parametr[podkategoria],parametr[kategoria])</f>
        <v>trwałe</v>
      </c>
      <c r="H1020" t="str">
        <f>_xlfn.XLOOKUP(transakcje[[#This Row],[kategoria]],parametr[kategoria],parametr[typ])</f>
        <v>wydatki</v>
      </c>
      <c r="I1020" s="1">
        <f>ABS(transakcje[[#This Row],[kwota]])</f>
        <v>47.938000000000002</v>
      </c>
    </row>
    <row r="1021" spans="1:9" x14ac:dyDescent="0.3">
      <c r="A1021">
        <v>1020</v>
      </c>
      <c r="B1021">
        <v>2013</v>
      </c>
      <c r="C1021">
        <v>12</v>
      </c>
      <c r="D1021">
        <v>31</v>
      </c>
      <c r="E1021" s="1">
        <v>4.0000000000000001E-3</v>
      </c>
      <c r="F1021" t="s">
        <v>17</v>
      </c>
      <c r="G1021" t="str">
        <f>_xlfn.XLOOKUP(transakcje[[#This Row],[podkategoria]],parametr[podkategoria],parametr[kategoria])</f>
        <v>dochody pozostałe</v>
      </c>
      <c r="H1021" t="str">
        <f>_xlfn.XLOOKUP(transakcje[[#This Row],[kategoria]],parametr[kategoria],parametr[typ])</f>
        <v>dochody</v>
      </c>
      <c r="I1021" s="1">
        <f>ABS(transakcje[[#This Row],[kwota]])</f>
        <v>4.0000000000000001E-3</v>
      </c>
    </row>
    <row r="1022" spans="1:9" x14ac:dyDescent="0.3">
      <c r="A1022">
        <v>1021</v>
      </c>
      <c r="B1022">
        <v>2013</v>
      </c>
      <c r="C1022">
        <v>12</v>
      </c>
      <c r="D1022">
        <v>31</v>
      </c>
      <c r="E1022" s="1">
        <v>-1.198</v>
      </c>
      <c r="F1022" t="s">
        <v>14</v>
      </c>
      <c r="G1022" t="str">
        <f>_xlfn.XLOOKUP(transakcje[[#This Row],[podkategoria]],parametr[podkategoria],parametr[kategoria])</f>
        <v>opłaty stałe</v>
      </c>
      <c r="H1022" t="str">
        <f>_xlfn.XLOOKUP(transakcje[[#This Row],[kategoria]],parametr[kategoria],parametr[typ])</f>
        <v>wydatki</v>
      </c>
      <c r="I1022" s="1">
        <f>ABS(transakcje[[#This Row],[kwota]])</f>
        <v>1.198</v>
      </c>
    </row>
    <row r="1023" spans="1:9" x14ac:dyDescent="0.3">
      <c r="A1023">
        <v>1022</v>
      </c>
      <c r="B1023">
        <v>2013</v>
      </c>
      <c r="C1023">
        <v>12</v>
      </c>
      <c r="D1023">
        <v>31</v>
      </c>
      <c r="E1023" s="1">
        <v>-0.5</v>
      </c>
      <c r="F1023" t="s">
        <v>14</v>
      </c>
      <c r="G1023" t="str">
        <f>_xlfn.XLOOKUP(transakcje[[#This Row],[podkategoria]],parametr[podkategoria],parametr[kategoria])</f>
        <v>opłaty stałe</v>
      </c>
      <c r="H1023" t="str">
        <f>_xlfn.XLOOKUP(transakcje[[#This Row],[kategoria]],parametr[kategoria],parametr[typ])</f>
        <v>wydatki</v>
      </c>
      <c r="I1023" s="1">
        <f>ABS(transakcje[[#This Row],[kwota]])</f>
        <v>0.5</v>
      </c>
    </row>
    <row r="1024" spans="1:9" x14ac:dyDescent="0.3">
      <c r="A1024">
        <v>1023</v>
      </c>
      <c r="B1024">
        <v>2013</v>
      </c>
      <c r="C1024">
        <v>12</v>
      </c>
      <c r="D1024">
        <v>31</v>
      </c>
      <c r="E1024" s="1">
        <v>-2E-3</v>
      </c>
      <c r="F1024" t="s">
        <v>14</v>
      </c>
      <c r="G1024" t="str">
        <f>_xlfn.XLOOKUP(transakcje[[#This Row],[podkategoria]],parametr[podkategoria],parametr[kategoria])</f>
        <v>opłaty stałe</v>
      </c>
      <c r="H1024" t="str">
        <f>_xlfn.XLOOKUP(transakcje[[#This Row],[kategoria]],parametr[kategoria],parametr[typ])</f>
        <v>wydatki</v>
      </c>
      <c r="I1024" s="1">
        <f>ABS(transakcje[[#This Row],[kwota]])</f>
        <v>2E-3</v>
      </c>
    </row>
    <row r="1025" spans="1:9" x14ac:dyDescent="0.3">
      <c r="A1025">
        <v>1024</v>
      </c>
      <c r="B1025">
        <v>2014</v>
      </c>
      <c r="C1025">
        <v>1</v>
      </c>
      <c r="D1025">
        <v>1</v>
      </c>
      <c r="E1025" s="1">
        <v>-8.01</v>
      </c>
      <c r="F1025" t="s">
        <v>25</v>
      </c>
      <c r="G1025" t="str">
        <f>_xlfn.XLOOKUP(transakcje[[#This Row],[podkategoria]],parametr[podkategoria],parametr[kategoria])</f>
        <v>opłaty stałe</v>
      </c>
      <c r="H1025" t="str">
        <f>_xlfn.XLOOKUP(transakcje[[#This Row],[kategoria]],parametr[kategoria],parametr[typ])</f>
        <v>wydatki</v>
      </c>
      <c r="I1025" s="1">
        <f>ABS(transakcje[[#This Row],[kwota]])</f>
        <v>8.01</v>
      </c>
    </row>
    <row r="1026" spans="1:9" x14ac:dyDescent="0.3">
      <c r="A1026">
        <v>1025</v>
      </c>
      <c r="B1026">
        <v>2014</v>
      </c>
      <c r="C1026">
        <v>1</v>
      </c>
      <c r="D1026">
        <v>1</v>
      </c>
      <c r="E1026" s="1">
        <v>-6.0039999999999996</v>
      </c>
      <c r="F1026" t="s">
        <v>35</v>
      </c>
      <c r="G1026" t="str">
        <f>_xlfn.XLOOKUP(transakcje[[#This Row],[podkategoria]],parametr[podkategoria],parametr[kategoria])</f>
        <v>opłaty stałe</v>
      </c>
      <c r="H1026" t="str">
        <f>_xlfn.XLOOKUP(transakcje[[#This Row],[kategoria]],parametr[kategoria],parametr[typ])</f>
        <v>wydatki</v>
      </c>
      <c r="I1026" s="1">
        <f>ABS(transakcje[[#This Row],[kwota]])</f>
        <v>6.0039999999999996</v>
      </c>
    </row>
    <row r="1027" spans="1:9" x14ac:dyDescent="0.3">
      <c r="A1027">
        <v>1026</v>
      </c>
      <c r="B1027">
        <v>2014</v>
      </c>
      <c r="C1027">
        <v>1</v>
      </c>
      <c r="D1027">
        <v>1</v>
      </c>
      <c r="E1027" s="1">
        <v>-9.7200000000000006</v>
      </c>
      <c r="F1027" t="s">
        <v>23</v>
      </c>
      <c r="G1027" t="str">
        <f>_xlfn.XLOOKUP(transakcje[[#This Row],[podkategoria]],parametr[podkategoria],parametr[kategoria])</f>
        <v>opłaty stałe</v>
      </c>
      <c r="H1027" t="str">
        <f>_xlfn.XLOOKUP(transakcje[[#This Row],[kategoria]],parametr[kategoria],parametr[typ])</f>
        <v>wydatki</v>
      </c>
      <c r="I1027" s="1">
        <f>ABS(transakcje[[#This Row],[kwota]])</f>
        <v>9.7200000000000006</v>
      </c>
    </row>
    <row r="1028" spans="1:9" x14ac:dyDescent="0.3">
      <c r="A1028">
        <v>1027</v>
      </c>
      <c r="B1028">
        <v>2014</v>
      </c>
      <c r="C1028">
        <v>1</v>
      </c>
      <c r="D1028">
        <v>1</v>
      </c>
      <c r="E1028" s="1">
        <v>-19.22</v>
      </c>
      <c r="F1028" t="s">
        <v>34</v>
      </c>
      <c r="G1028" t="str">
        <f>_xlfn.XLOOKUP(transakcje[[#This Row],[podkategoria]],parametr[podkategoria],parametr[kategoria])</f>
        <v>opłaty stałe</v>
      </c>
      <c r="H1028" t="str">
        <f>_xlfn.XLOOKUP(transakcje[[#This Row],[kategoria]],parametr[kategoria],parametr[typ])</f>
        <v>wydatki</v>
      </c>
      <c r="I1028" s="1">
        <f>ABS(transakcje[[#This Row],[kwota]])</f>
        <v>19.22</v>
      </c>
    </row>
    <row r="1029" spans="1:9" x14ac:dyDescent="0.3">
      <c r="A1029">
        <v>1028</v>
      </c>
      <c r="B1029">
        <v>2014</v>
      </c>
      <c r="C1029">
        <v>1</v>
      </c>
      <c r="D1029">
        <v>2</v>
      </c>
      <c r="E1029" s="1">
        <v>-0.41200000000000003</v>
      </c>
      <c r="F1029" t="s">
        <v>14</v>
      </c>
      <c r="G1029" t="str">
        <f>_xlfn.XLOOKUP(transakcje[[#This Row],[podkategoria]],parametr[podkategoria],parametr[kategoria])</f>
        <v>opłaty stałe</v>
      </c>
      <c r="H1029" t="str">
        <f>_xlfn.XLOOKUP(transakcje[[#This Row],[kategoria]],parametr[kategoria],parametr[typ])</f>
        <v>wydatki</v>
      </c>
      <c r="I1029" s="1">
        <f>ABS(transakcje[[#This Row],[kwota]])</f>
        <v>0.41200000000000003</v>
      </c>
    </row>
    <row r="1030" spans="1:9" x14ac:dyDescent="0.3">
      <c r="A1030">
        <v>1029</v>
      </c>
      <c r="B1030">
        <v>2014</v>
      </c>
      <c r="C1030">
        <v>1</v>
      </c>
      <c r="D1030">
        <v>3</v>
      </c>
      <c r="E1030" s="1">
        <v>-2</v>
      </c>
      <c r="F1030" t="s">
        <v>11</v>
      </c>
      <c r="G1030" t="str">
        <f>_xlfn.XLOOKUP(transakcje[[#This Row],[podkategoria]],parametr[podkategoria],parametr[kategoria])</f>
        <v>wydatki inne</v>
      </c>
      <c r="H1030" t="str">
        <f>_xlfn.XLOOKUP(transakcje[[#This Row],[kategoria]],parametr[kategoria],parametr[typ])</f>
        <v>wydatki</v>
      </c>
      <c r="I1030" s="1">
        <f>ABS(transakcje[[#This Row],[kwota]])</f>
        <v>2</v>
      </c>
    </row>
    <row r="1031" spans="1:9" x14ac:dyDescent="0.3">
      <c r="A1031">
        <v>1030</v>
      </c>
      <c r="B1031">
        <v>2014</v>
      </c>
      <c r="C1031">
        <v>1</v>
      </c>
      <c r="D1031">
        <v>3</v>
      </c>
      <c r="E1031" s="1">
        <v>-2.5379999999999998</v>
      </c>
      <c r="F1031" t="s">
        <v>26</v>
      </c>
      <c r="G1031" t="str">
        <f>_xlfn.XLOOKUP(transakcje[[#This Row],[podkategoria]],parametr[podkategoria],parametr[kategoria])</f>
        <v>życie</v>
      </c>
      <c r="H1031" t="str">
        <f>_xlfn.XLOOKUP(transakcje[[#This Row],[kategoria]],parametr[kategoria],parametr[typ])</f>
        <v>wydatki</v>
      </c>
      <c r="I1031" s="1">
        <f>ABS(transakcje[[#This Row],[kwota]])</f>
        <v>2.5379999999999998</v>
      </c>
    </row>
    <row r="1032" spans="1:9" x14ac:dyDescent="0.3">
      <c r="A1032">
        <v>1031</v>
      </c>
      <c r="B1032">
        <v>2014</v>
      </c>
      <c r="C1032">
        <v>1</v>
      </c>
      <c r="D1032">
        <v>3</v>
      </c>
      <c r="E1032" s="1">
        <v>-3.274</v>
      </c>
      <c r="F1032" t="s">
        <v>26</v>
      </c>
      <c r="G1032" t="str">
        <f>_xlfn.XLOOKUP(transakcje[[#This Row],[podkategoria]],parametr[podkategoria],parametr[kategoria])</f>
        <v>życie</v>
      </c>
      <c r="H1032" t="str">
        <f>_xlfn.XLOOKUP(transakcje[[#This Row],[kategoria]],parametr[kategoria],parametr[typ])</f>
        <v>wydatki</v>
      </c>
      <c r="I1032" s="1">
        <f>ABS(transakcje[[#This Row],[kwota]])</f>
        <v>3.274</v>
      </c>
    </row>
    <row r="1033" spans="1:9" x14ac:dyDescent="0.3">
      <c r="A1033">
        <v>1032</v>
      </c>
      <c r="B1033">
        <v>2014</v>
      </c>
      <c r="C1033">
        <v>1</v>
      </c>
      <c r="D1033">
        <v>7</v>
      </c>
      <c r="E1033" s="1">
        <v>-41.69</v>
      </c>
      <c r="F1033" t="s">
        <v>37</v>
      </c>
      <c r="G1033" t="str">
        <f>_xlfn.XLOOKUP(transakcje[[#This Row],[podkategoria]],parametr[podkategoria],parametr[kategoria])</f>
        <v>opłaty stałe</v>
      </c>
      <c r="H1033" t="str">
        <f>_xlfn.XLOOKUP(transakcje[[#This Row],[kategoria]],parametr[kategoria],parametr[typ])</f>
        <v>wydatki</v>
      </c>
      <c r="I1033" s="1">
        <f>ABS(transakcje[[#This Row],[kwota]])</f>
        <v>41.69</v>
      </c>
    </row>
    <row r="1034" spans="1:9" x14ac:dyDescent="0.3">
      <c r="A1034">
        <v>1033</v>
      </c>
      <c r="B1034">
        <v>2014</v>
      </c>
      <c r="C1034">
        <v>1</v>
      </c>
      <c r="D1034">
        <v>9</v>
      </c>
      <c r="E1034" s="1">
        <v>-32.4</v>
      </c>
      <c r="F1034" t="s">
        <v>32</v>
      </c>
      <c r="G1034" t="str">
        <f>_xlfn.XLOOKUP(transakcje[[#This Row],[podkategoria]],parametr[podkategoria],parametr[kategoria])</f>
        <v>opłaty stałe</v>
      </c>
      <c r="H1034" t="str">
        <f>_xlfn.XLOOKUP(transakcje[[#This Row],[kategoria]],parametr[kategoria],parametr[typ])</f>
        <v>wydatki</v>
      </c>
      <c r="I1034" s="1">
        <f>ABS(transakcje[[#This Row],[kwota]])</f>
        <v>32.4</v>
      </c>
    </row>
    <row r="1035" spans="1:9" x14ac:dyDescent="0.3">
      <c r="A1035">
        <v>1034</v>
      </c>
      <c r="B1035">
        <v>2014</v>
      </c>
      <c r="C1035">
        <v>1</v>
      </c>
      <c r="D1035">
        <v>10</v>
      </c>
      <c r="E1035" s="1">
        <v>-4.8759999999999994</v>
      </c>
      <c r="F1035" t="s">
        <v>26</v>
      </c>
      <c r="G1035" t="str">
        <f>_xlfn.XLOOKUP(transakcje[[#This Row],[podkategoria]],parametr[podkategoria],parametr[kategoria])</f>
        <v>życie</v>
      </c>
      <c r="H1035" t="str">
        <f>_xlfn.XLOOKUP(transakcje[[#This Row],[kategoria]],parametr[kategoria],parametr[typ])</f>
        <v>wydatki</v>
      </c>
      <c r="I1035" s="1">
        <f>ABS(transakcje[[#This Row],[kwota]])</f>
        <v>4.8759999999999994</v>
      </c>
    </row>
    <row r="1036" spans="1:9" x14ac:dyDescent="0.3">
      <c r="A1036">
        <v>1035</v>
      </c>
      <c r="B1036">
        <v>2014</v>
      </c>
      <c r="C1036">
        <v>1</v>
      </c>
      <c r="D1036">
        <v>11</v>
      </c>
      <c r="E1036" s="1">
        <v>-98.864000000000004</v>
      </c>
      <c r="F1036" t="s">
        <v>31</v>
      </c>
      <c r="G1036" t="str">
        <f>_xlfn.XLOOKUP(transakcje[[#This Row],[podkategoria]],parametr[podkategoria],parametr[kategoria])</f>
        <v>opłaty stałe</v>
      </c>
      <c r="H1036" t="str">
        <f>_xlfn.XLOOKUP(transakcje[[#This Row],[kategoria]],parametr[kategoria],parametr[typ])</f>
        <v>wydatki</v>
      </c>
      <c r="I1036" s="1">
        <f>ABS(transakcje[[#This Row],[kwota]])</f>
        <v>98.864000000000004</v>
      </c>
    </row>
    <row r="1037" spans="1:9" x14ac:dyDescent="0.3">
      <c r="A1037">
        <v>1036</v>
      </c>
      <c r="B1037">
        <v>2014</v>
      </c>
      <c r="C1037">
        <v>1</v>
      </c>
      <c r="D1037">
        <v>13</v>
      </c>
      <c r="E1037" s="1">
        <v>-1.44</v>
      </c>
      <c r="F1037" t="s">
        <v>26</v>
      </c>
      <c r="G1037" t="str">
        <f>_xlfn.XLOOKUP(transakcje[[#This Row],[podkategoria]],parametr[podkategoria],parametr[kategoria])</f>
        <v>życie</v>
      </c>
      <c r="H1037" t="str">
        <f>_xlfn.XLOOKUP(transakcje[[#This Row],[kategoria]],parametr[kategoria],parametr[typ])</f>
        <v>wydatki</v>
      </c>
      <c r="I1037" s="1">
        <f>ABS(transakcje[[#This Row],[kwota]])</f>
        <v>1.44</v>
      </c>
    </row>
    <row r="1038" spans="1:9" x14ac:dyDescent="0.3">
      <c r="A1038">
        <v>1037</v>
      </c>
      <c r="B1038">
        <v>2014</v>
      </c>
      <c r="C1038">
        <v>1</v>
      </c>
      <c r="D1038">
        <v>15</v>
      </c>
      <c r="E1038" s="1">
        <v>-0.39800000000000002</v>
      </c>
      <c r="F1038" t="s">
        <v>14</v>
      </c>
      <c r="G1038" t="str">
        <f>_xlfn.XLOOKUP(transakcje[[#This Row],[podkategoria]],parametr[podkategoria],parametr[kategoria])</f>
        <v>opłaty stałe</v>
      </c>
      <c r="H1038" t="str">
        <f>_xlfn.XLOOKUP(transakcje[[#This Row],[kategoria]],parametr[kategoria],parametr[typ])</f>
        <v>wydatki</v>
      </c>
      <c r="I1038" s="1">
        <f>ABS(transakcje[[#This Row],[kwota]])</f>
        <v>0.39800000000000002</v>
      </c>
    </row>
    <row r="1039" spans="1:9" x14ac:dyDescent="0.3">
      <c r="A1039">
        <v>1038</v>
      </c>
      <c r="B1039">
        <v>2014</v>
      </c>
      <c r="C1039">
        <v>1</v>
      </c>
      <c r="D1039">
        <v>16</v>
      </c>
      <c r="E1039" s="1">
        <v>-0.8</v>
      </c>
      <c r="F1039" t="s">
        <v>14</v>
      </c>
      <c r="G1039" t="str">
        <f>_xlfn.XLOOKUP(transakcje[[#This Row],[podkategoria]],parametr[podkategoria],parametr[kategoria])</f>
        <v>opłaty stałe</v>
      </c>
      <c r="H1039" t="str">
        <f>_xlfn.XLOOKUP(transakcje[[#This Row],[kategoria]],parametr[kategoria],parametr[typ])</f>
        <v>wydatki</v>
      </c>
      <c r="I1039" s="1">
        <f>ABS(transakcje[[#This Row],[kwota]])</f>
        <v>0.8</v>
      </c>
    </row>
    <row r="1040" spans="1:9" x14ac:dyDescent="0.3">
      <c r="A1040">
        <v>1039</v>
      </c>
      <c r="B1040">
        <v>2014</v>
      </c>
      <c r="C1040">
        <v>1</v>
      </c>
      <c r="D1040">
        <v>24</v>
      </c>
      <c r="E1040" s="1">
        <v>425.178</v>
      </c>
      <c r="F1040" t="s">
        <v>8</v>
      </c>
      <c r="G1040" t="str">
        <f>_xlfn.XLOOKUP(transakcje[[#This Row],[podkategoria]],parametr[podkategoria],parametr[kategoria])</f>
        <v>dochody z pracy</v>
      </c>
      <c r="H1040" t="str">
        <f>_xlfn.XLOOKUP(transakcje[[#This Row],[kategoria]],parametr[kategoria],parametr[typ])</f>
        <v>dochody</v>
      </c>
      <c r="I1040" s="1">
        <f>ABS(transakcje[[#This Row],[kwota]])</f>
        <v>425.178</v>
      </c>
    </row>
    <row r="1041" spans="1:9" x14ac:dyDescent="0.3">
      <c r="A1041">
        <v>1040</v>
      </c>
      <c r="B1041">
        <v>2014</v>
      </c>
      <c r="C1041">
        <v>1</v>
      </c>
      <c r="D1041">
        <v>24</v>
      </c>
      <c r="E1041" s="1">
        <v>-6.548</v>
      </c>
      <c r="F1041" t="s">
        <v>26</v>
      </c>
      <c r="G1041" t="str">
        <f>_xlfn.XLOOKUP(transakcje[[#This Row],[podkategoria]],parametr[podkategoria],parametr[kategoria])</f>
        <v>życie</v>
      </c>
      <c r="H1041" t="str">
        <f>_xlfn.XLOOKUP(transakcje[[#This Row],[kategoria]],parametr[kategoria],parametr[typ])</f>
        <v>wydatki</v>
      </c>
      <c r="I1041" s="1">
        <f>ABS(transakcje[[#This Row],[kwota]])</f>
        <v>6.548</v>
      </c>
    </row>
    <row r="1042" spans="1:9" x14ac:dyDescent="0.3">
      <c r="A1042">
        <v>1041</v>
      </c>
      <c r="B1042">
        <v>2014</v>
      </c>
      <c r="C1042">
        <v>1</v>
      </c>
      <c r="D1042">
        <v>27</v>
      </c>
      <c r="E1042" s="1">
        <v>-20</v>
      </c>
      <c r="F1042" t="s">
        <v>26</v>
      </c>
      <c r="G1042" t="str">
        <f>_xlfn.XLOOKUP(transakcje[[#This Row],[podkategoria]],parametr[podkategoria],parametr[kategoria])</f>
        <v>życie</v>
      </c>
      <c r="H1042" t="str">
        <f>_xlfn.XLOOKUP(transakcje[[#This Row],[kategoria]],parametr[kategoria],parametr[typ])</f>
        <v>wydatki</v>
      </c>
      <c r="I1042" s="1">
        <f>ABS(transakcje[[#This Row],[kwota]])</f>
        <v>20</v>
      </c>
    </row>
    <row r="1043" spans="1:9" x14ac:dyDescent="0.3">
      <c r="A1043">
        <v>1042</v>
      </c>
      <c r="B1043">
        <v>2014</v>
      </c>
      <c r="C1043">
        <v>1</v>
      </c>
      <c r="D1043">
        <v>31</v>
      </c>
      <c r="E1043" s="1">
        <v>4.0000000000000001E-3</v>
      </c>
      <c r="F1043" t="s">
        <v>17</v>
      </c>
      <c r="G1043" t="str">
        <f>_xlfn.XLOOKUP(transakcje[[#This Row],[podkategoria]],parametr[podkategoria],parametr[kategoria])</f>
        <v>dochody pozostałe</v>
      </c>
      <c r="H1043" t="str">
        <f>_xlfn.XLOOKUP(transakcje[[#This Row],[kategoria]],parametr[kategoria],parametr[typ])</f>
        <v>dochody</v>
      </c>
      <c r="I1043" s="1">
        <f>ABS(transakcje[[#This Row],[kwota]])</f>
        <v>4.0000000000000001E-3</v>
      </c>
    </row>
    <row r="1044" spans="1:9" x14ac:dyDescent="0.3">
      <c r="A1044">
        <v>1043</v>
      </c>
      <c r="B1044">
        <v>2014</v>
      </c>
      <c r="C1044">
        <v>1</v>
      </c>
      <c r="D1044">
        <v>31</v>
      </c>
      <c r="E1044" s="1">
        <v>-1.198</v>
      </c>
      <c r="F1044" t="s">
        <v>14</v>
      </c>
      <c r="G1044" t="str">
        <f>_xlfn.XLOOKUP(transakcje[[#This Row],[podkategoria]],parametr[podkategoria],parametr[kategoria])</f>
        <v>opłaty stałe</v>
      </c>
      <c r="H1044" t="str">
        <f>_xlfn.XLOOKUP(transakcje[[#This Row],[kategoria]],parametr[kategoria],parametr[typ])</f>
        <v>wydatki</v>
      </c>
      <c r="I1044" s="1">
        <f>ABS(transakcje[[#This Row],[kwota]])</f>
        <v>1.198</v>
      </c>
    </row>
    <row r="1045" spans="1:9" x14ac:dyDescent="0.3">
      <c r="A1045">
        <v>1044</v>
      </c>
      <c r="B1045">
        <v>2014</v>
      </c>
      <c r="C1045">
        <v>1</v>
      </c>
      <c r="D1045">
        <v>31</v>
      </c>
      <c r="E1045" s="1">
        <v>-0.1</v>
      </c>
      <c r="F1045" t="s">
        <v>14</v>
      </c>
      <c r="G1045" t="str">
        <f>_xlfn.XLOOKUP(transakcje[[#This Row],[podkategoria]],parametr[podkategoria],parametr[kategoria])</f>
        <v>opłaty stałe</v>
      </c>
      <c r="H1045" t="str">
        <f>_xlfn.XLOOKUP(transakcje[[#This Row],[kategoria]],parametr[kategoria],parametr[typ])</f>
        <v>wydatki</v>
      </c>
      <c r="I1045" s="1">
        <f>ABS(transakcje[[#This Row],[kwota]])</f>
        <v>0.1</v>
      </c>
    </row>
    <row r="1046" spans="1:9" x14ac:dyDescent="0.3">
      <c r="A1046">
        <v>1045</v>
      </c>
      <c r="B1046">
        <v>2014</v>
      </c>
      <c r="C1046">
        <v>1</v>
      </c>
      <c r="D1046">
        <v>31</v>
      </c>
      <c r="E1046" s="1">
        <v>-2E-3</v>
      </c>
      <c r="F1046" t="s">
        <v>14</v>
      </c>
      <c r="G1046" t="str">
        <f>_xlfn.XLOOKUP(transakcje[[#This Row],[podkategoria]],parametr[podkategoria],parametr[kategoria])</f>
        <v>opłaty stałe</v>
      </c>
      <c r="H1046" t="str">
        <f>_xlfn.XLOOKUP(transakcje[[#This Row],[kategoria]],parametr[kategoria],parametr[typ])</f>
        <v>wydatki</v>
      </c>
      <c r="I1046" s="1">
        <f>ABS(transakcje[[#This Row],[kwota]])</f>
        <v>2E-3</v>
      </c>
    </row>
    <row r="1047" spans="1:9" x14ac:dyDescent="0.3">
      <c r="A1047">
        <v>1046</v>
      </c>
      <c r="B1047">
        <v>2014</v>
      </c>
      <c r="C1047">
        <v>1</v>
      </c>
      <c r="D1047">
        <v>31</v>
      </c>
      <c r="E1047" s="1">
        <v>-5.0380000000000003</v>
      </c>
      <c r="F1047" t="s">
        <v>26</v>
      </c>
      <c r="G1047" t="str">
        <f>_xlfn.XLOOKUP(transakcje[[#This Row],[podkategoria]],parametr[podkategoria],parametr[kategoria])</f>
        <v>życie</v>
      </c>
      <c r="H1047" t="str">
        <f>_xlfn.XLOOKUP(transakcje[[#This Row],[kategoria]],parametr[kategoria],parametr[typ])</f>
        <v>wydatki</v>
      </c>
      <c r="I1047" s="1">
        <f>ABS(transakcje[[#This Row],[kwota]])</f>
        <v>5.0380000000000003</v>
      </c>
    </row>
    <row r="1048" spans="1:9" x14ac:dyDescent="0.3">
      <c r="A1048">
        <v>1047</v>
      </c>
      <c r="B1048">
        <v>2014</v>
      </c>
      <c r="C1048">
        <v>2</v>
      </c>
      <c r="D1048">
        <v>1</v>
      </c>
      <c r="E1048" s="1">
        <v>-53.234000000000002</v>
      </c>
      <c r="F1048" t="s">
        <v>31</v>
      </c>
      <c r="G1048" t="str">
        <f>_xlfn.XLOOKUP(transakcje[[#This Row],[podkategoria]],parametr[podkategoria],parametr[kategoria])</f>
        <v>opłaty stałe</v>
      </c>
      <c r="H1048" t="str">
        <f>_xlfn.XLOOKUP(transakcje[[#This Row],[kategoria]],parametr[kategoria],parametr[typ])</f>
        <v>wydatki</v>
      </c>
      <c r="I1048" s="1">
        <f>ABS(transakcje[[#This Row],[kwota]])</f>
        <v>53.234000000000002</v>
      </c>
    </row>
    <row r="1049" spans="1:9" x14ac:dyDescent="0.3">
      <c r="A1049">
        <v>1048</v>
      </c>
      <c r="B1049">
        <v>2014</v>
      </c>
      <c r="C1049">
        <v>2</v>
      </c>
      <c r="D1049">
        <v>1</v>
      </c>
      <c r="E1049" s="1">
        <v>-47.938000000000002</v>
      </c>
      <c r="F1049" t="s">
        <v>24</v>
      </c>
      <c r="G1049" t="str">
        <f>_xlfn.XLOOKUP(transakcje[[#This Row],[podkategoria]],parametr[podkategoria],parametr[kategoria])</f>
        <v>trwałe</v>
      </c>
      <c r="H1049" t="str">
        <f>_xlfn.XLOOKUP(transakcje[[#This Row],[kategoria]],parametr[kategoria],parametr[typ])</f>
        <v>wydatki</v>
      </c>
      <c r="I1049" s="1">
        <f>ABS(transakcje[[#This Row],[kwota]])</f>
        <v>47.938000000000002</v>
      </c>
    </row>
    <row r="1050" spans="1:9" x14ac:dyDescent="0.3">
      <c r="A1050">
        <v>1049</v>
      </c>
      <c r="B1050">
        <v>2014</v>
      </c>
      <c r="C1050">
        <v>2</v>
      </c>
      <c r="D1050">
        <v>1</v>
      </c>
      <c r="E1050" s="1">
        <v>-9.7200000000000006</v>
      </c>
      <c r="F1050" t="s">
        <v>23</v>
      </c>
      <c r="G1050" t="str">
        <f>_xlfn.XLOOKUP(transakcje[[#This Row],[podkategoria]],parametr[podkategoria],parametr[kategoria])</f>
        <v>opłaty stałe</v>
      </c>
      <c r="H1050" t="str">
        <f>_xlfn.XLOOKUP(transakcje[[#This Row],[kategoria]],parametr[kategoria],parametr[typ])</f>
        <v>wydatki</v>
      </c>
      <c r="I1050" s="1">
        <f>ABS(transakcje[[#This Row],[kwota]])</f>
        <v>9.7200000000000006</v>
      </c>
    </row>
    <row r="1051" spans="1:9" x14ac:dyDescent="0.3">
      <c r="A1051">
        <v>1050</v>
      </c>
      <c r="B1051">
        <v>2014</v>
      </c>
      <c r="C1051">
        <v>2</v>
      </c>
      <c r="D1051">
        <v>1</v>
      </c>
      <c r="E1051" s="1">
        <v>-4.8</v>
      </c>
      <c r="F1051" t="s">
        <v>31</v>
      </c>
      <c r="G1051" t="str">
        <f>_xlfn.XLOOKUP(transakcje[[#This Row],[podkategoria]],parametr[podkategoria],parametr[kategoria])</f>
        <v>opłaty stałe</v>
      </c>
      <c r="H1051" t="str">
        <f>_xlfn.XLOOKUP(transakcje[[#This Row],[kategoria]],parametr[kategoria],parametr[typ])</f>
        <v>wydatki</v>
      </c>
      <c r="I1051" s="1">
        <f>ABS(transakcje[[#This Row],[kwota]])</f>
        <v>4.8</v>
      </c>
    </row>
    <row r="1052" spans="1:9" x14ac:dyDescent="0.3">
      <c r="A1052">
        <v>1051</v>
      </c>
      <c r="B1052">
        <v>2014</v>
      </c>
      <c r="C1052">
        <v>2</v>
      </c>
      <c r="D1052">
        <v>1</v>
      </c>
      <c r="E1052" s="1">
        <v>-7.9799999999999995</v>
      </c>
      <c r="F1052" t="s">
        <v>25</v>
      </c>
      <c r="G1052" t="str">
        <f>_xlfn.XLOOKUP(transakcje[[#This Row],[podkategoria]],parametr[podkategoria],parametr[kategoria])</f>
        <v>opłaty stałe</v>
      </c>
      <c r="H1052" t="str">
        <f>_xlfn.XLOOKUP(transakcje[[#This Row],[kategoria]],parametr[kategoria],parametr[typ])</f>
        <v>wydatki</v>
      </c>
      <c r="I1052" s="1">
        <f>ABS(transakcje[[#This Row],[kwota]])</f>
        <v>7.9799999999999995</v>
      </c>
    </row>
    <row r="1053" spans="1:9" x14ac:dyDescent="0.3">
      <c r="A1053">
        <v>1052</v>
      </c>
      <c r="B1053">
        <v>2014</v>
      </c>
      <c r="C1053">
        <v>2</v>
      </c>
      <c r="D1053">
        <v>2</v>
      </c>
      <c r="E1053" s="1">
        <v>-8</v>
      </c>
      <c r="F1053" t="s">
        <v>36</v>
      </c>
      <c r="G1053" t="str">
        <f>_xlfn.XLOOKUP(transakcje[[#This Row],[podkategoria]],parametr[podkategoria],parametr[kategoria])</f>
        <v>opłaty stałe</v>
      </c>
      <c r="H1053" t="str">
        <f>_xlfn.XLOOKUP(transakcje[[#This Row],[kategoria]],parametr[kategoria],parametr[typ])</f>
        <v>wydatki</v>
      </c>
      <c r="I1053" s="1">
        <f>ABS(transakcje[[#This Row],[kwota]])</f>
        <v>8</v>
      </c>
    </row>
    <row r="1054" spans="1:9" x14ac:dyDescent="0.3">
      <c r="A1054">
        <v>1053</v>
      </c>
      <c r="B1054">
        <v>2014</v>
      </c>
      <c r="C1054">
        <v>2</v>
      </c>
      <c r="D1054">
        <v>6</v>
      </c>
      <c r="E1054" s="1">
        <v>416.904</v>
      </c>
      <c r="F1054" t="s">
        <v>22</v>
      </c>
      <c r="G1054" t="str">
        <f>_xlfn.XLOOKUP(transakcje[[#This Row],[podkategoria]],parametr[podkategoria],parametr[kategoria])</f>
        <v>dochody z pracy</v>
      </c>
      <c r="H1054" t="str">
        <f>_xlfn.XLOOKUP(transakcje[[#This Row],[kategoria]],parametr[kategoria],parametr[typ])</f>
        <v>dochody</v>
      </c>
      <c r="I1054" s="1">
        <f>ABS(transakcje[[#This Row],[kwota]])</f>
        <v>416.904</v>
      </c>
    </row>
    <row r="1055" spans="1:9" x14ac:dyDescent="0.3">
      <c r="A1055">
        <v>1054</v>
      </c>
      <c r="B1055">
        <v>2014</v>
      </c>
      <c r="C1055">
        <v>2</v>
      </c>
      <c r="D1055">
        <v>6</v>
      </c>
      <c r="E1055" s="1">
        <v>-6.09</v>
      </c>
      <c r="F1055" t="s">
        <v>26</v>
      </c>
      <c r="G1055" t="str">
        <f>_xlfn.XLOOKUP(transakcje[[#This Row],[podkategoria]],parametr[podkategoria],parametr[kategoria])</f>
        <v>życie</v>
      </c>
      <c r="H1055" t="str">
        <f>_xlfn.XLOOKUP(transakcje[[#This Row],[kategoria]],parametr[kategoria],parametr[typ])</f>
        <v>wydatki</v>
      </c>
      <c r="I1055" s="1">
        <f>ABS(transakcje[[#This Row],[kwota]])</f>
        <v>6.09</v>
      </c>
    </row>
    <row r="1056" spans="1:9" x14ac:dyDescent="0.3">
      <c r="A1056">
        <v>1055</v>
      </c>
      <c r="B1056">
        <v>2014</v>
      </c>
      <c r="C1056">
        <v>2</v>
      </c>
      <c r="D1056">
        <v>13</v>
      </c>
      <c r="E1056" s="1">
        <v>-9.7799999999999994</v>
      </c>
      <c r="F1056" t="s">
        <v>26</v>
      </c>
      <c r="G1056" t="str">
        <f>_xlfn.XLOOKUP(transakcje[[#This Row],[podkategoria]],parametr[podkategoria],parametr[kategoria])</f>
        <v>życie</v>
      </c>
      <c r="H1056" t="str">
        <f>_xlfn.XLOOKUP(transakcje[[#This Row],[kategoria]],parametr[kategoria],parametr[typ])</f>
        <v>wydatki</v>
      </c>
      <c r="I1056" s="1">
        <f>ABS(transakcje[[#This Row],[kwota]])</f>
        <v>9.7799999999999994</v>
      </c>
    </row>
    <row r="1057" spans="1:9" x14ac:dyDescent="0.3">
      <c r="A1057">
        <v>1056</v>
      </c>
      <c r="B1057">
        <v>2014</v>
      </c>
      <c r="C1057">
        <v>2</v>
      </c>
      <c r="D1057">
        <v>14</v>
      </c>
      <c r="E1057" s="1">
        <v>-0.79600000000000004</v>
      </c>
      <c r="F1057" t="s">
        <v>14</v>
      </c>
      <c r="G1057" t="str">
        <f>_xlfn.XLOOKUP(transakcje[[#This Row],[podkategoria]],parametr[podkategoria],parametr[kategoria])</f>
        <v>opłaty stałe</v>
      </c>
      <c r="H1057" t="str">
        <f>_xlfn.XLOOKUP(transakcje[[#This Row],[kategoria]],parametr[kategoria],parametr[typ])</f>
        <v>wydatki</v>
      </c>
      <c r="I1057" s="1">
        <f>ABS(transakcje[[#This Row],[kwota]])</f>
        <v>0.79600000000000004</v>
      </c>
    </row>
    <row r="1058" spans="1:9" x14ac:dyDescent="0.3">
      <c r="A1058">
        <v>1057</v>
      </c>
      <c r="B1058">
        <v>2014</v>
      </c>
      <c r="C1058">
        <v>2</v>
      </c>
      <c r="D1058">
        <v>16</v>
      </c>
      <c r="E1058" s="1">
        <v>22.602</v>
      </c>
      <c r="F1058" t="s">
        <v>17</v>
      </c>
      <c r="G1058" t="str">
        <f>_xlfn.XLOOKUP(transakcje[[#This Row],[podkategoria]],parametr[podkategoria],parametr[kategoria])</f>
        <v>dochody pozostałe</v>
      </c>
      <c r="H1058" t="str">
        <f>_xlfn.XLOOKUP(transakcje[[#This Row],[kategoria]],parametr[kategoria],parametr[typ])</f>
        <v>dochody</v>
      </c>
      <c r="I1058" s="1">
        <f>ABS(transakcje[[#This Row],[kwota]])</f>
        <v>22.602</v>
      </c>
    </row>
    <row r="1059" spans="1:9" x14ac:dyDescent="0.3">
      <c r="A1059">
        <v>1058</v>
      </c>
      <c r="B1059">
        <v>2014</v>
      </c>
      <c r="C1059">
        <v>2</v>
      </c>
      <c r="D1059">
        <v>16</v>
      </c>
      <c r="E1059" s="1">
        <v>-0.8</v>
      </c>
      <c r="F1059" t="s">
        <v>14</v>
      </c>
      <c r="G1059" t="str">
        <f>_xlfn.XLOOKUP(transakcje[[#This Row],[podkategoria]],parametr[podkategoria],parametr[kategoria])</f>
        <v>opłaty stałe</v>
      </c>
      <c r="H1059" t="str">
        <f>_xlfn.XLOOKUP(transakcje[[#This Row],[kategoria]],parametr[kategoria],parametr[typ])</f>
        <v>wydatki</v>
      </c>
      <c r="I1059" s="1">
        <f>ABS(transakcje[[#This Row],[kwota]])</f>
        <v>0.8</v>
      </c>
    </row>
    <row r="1060" spans="1:9" x14ac:dyDescent="0.3">
      <c r="A1060">
        <v>1059</v>
      </c>
      <c r="B1060">
        <v>2014</v>
      </c>
      <c r="C1060">
        <v>2</v>
      </c>
      <c r="D1060">
        <v>17</v>
      </c>
      <c r="E1060" s="1">
        <v>-2.7640000000000002</v>
      </c>
      <c r="F1060" t="s">
        <v>26</v>
      </c>
      <c r="G1060" t="str">
        <f>_xlfn.XLOOKUP(transakcje[[#This Row],[podkategoria]],parametr[podkategoria],parametr[kategoria])</f>
        <v>życie</v>
      </c>
      <c r="H1060" t="str">
        <f>_xlfn.XLOOKUP(transakcje[[#This Row],[kategoria]],parametr[kategoria],parametr[typ])</f>
        <v>wydatki</v>
      </c>
      <c r="I1060" s="1">
        <f>ABS(transakcje[[#This Row],[kwota]])</f>
        <v>2.7640000000000002</v>
      </c>
    </row>
    <row r="1061" spans="1:9" x14ac:dyDescent="0.3">
      <c r="A1061">
        <v>1060</v>
      </c>
      <c r="B1061">
        <v>2014</v>
      </c>
      <c r="C1061">
        <v>2</v>
      </c>
      <c r="D1061">
        <v>21</v>
      </c>
      <c r="E1061" s="1">
        <v>-40</v>
      </c>
      <c r="F1061" t="s">
        <v>26</v>
      </c>
      <c r="G1061" t="str">
        <f>_xlfn.XLOOKUP(transakcje[[#This Row],[podkategoria]],parametr[podkategoria],parametr[kategoria])</f>
        <v>życie</v>
      </c>
      <c r="H1061" t="str">
        <f>_xlfn.XLOOKUP(transakcje[[#This Row],[kategoria]],parametr[kategoria],parametr[typ])</f>
        <v>wydatki</v>
      </c>
      <c r="I1061" s="1">
        <f>ABS(transakcje[[#This Row],[kwota]])</f>
        <v>40</v>
      </c>
    </row>
    <row r="1062" spans="1:9" x14ac:dyDescent="0.3">
      <c r="A1062">
        <v>1061</v>
      </c>
      <c r="B1062">
        <v>2014</v>
      </c>
      <c r="C1062">
        <v>2</v>
      </c>
      <c r="D1062">
        <v>25</v>
      </c>
      <c r="E1062" s="1">
        <v>-2</v>
      </c>
      <c r="F1062" t="s">
        <v>26</v>
      </c>
      <c r="G1062" t="str">
        <f>_xlfn.XLOOKUP(transakcje[[#This Row],[podkategoria]],parametr[podkategoria],parametr[kategoria])</f>
        <v>życie</v>
      </c>
      <c r="H1062" t="str">
        <f>_xlfn.XLOOKUP(transakcje[[#This Row],[kategoria]],parametr[kategoria],parametr[typ])</f>
        <v>wydatki</v>
      </c>
      <c r="I1062" s="1">
        <f>ABS(transakcje[[#This Row],[kwota]])</f>
        <v>2</v>
      </c>
    </row>
    <row r="1063" spans="1:9" x14ac:dyDescent="0.3">
      <c r="A1063">
        <v>1062</v>
      </c>
      <c r="B1063">
        <v>2014</v>
      </c>
      <c r="C1063">
        <v>2</v>
      </c>
      <c r="D1063">
        <v>25</v>
      </c>
      <c r="E1063" s="1">
        <v>425.178</v>
      </c>
      <c r="F1063" t="s">
        <v>8</v>
      </c>
      <c r="G1063" t="str">
        <f>_xlfn.XLOOKUP(transakcje[[#This Row],[podkategoria]],parametr[podkategoria],parametr[kategoria])</f>
        <v>dochody z pracy</v>
      </c>
      <c r="H1063" t="str">
        <f>_xlfn.XLOOKUP(transakcje[[#This Row],[kategoria]],parametr[kategoria],parametr[typ])</f>
        <v>dochody</v>
      </c>
      <c r="I1063" s="1">
        <f>ABS(transakcje[[#This Row],[kwota]])</f>
        <v>425.178</v>
      </c>
    </row>
    <row r="1064" spans="1:9" x14ac:dyDescent="0.3">
      <c r="A1064">
        <v>1063</v>
      </c>
      <c r="B1064">
        <v>2014</v>
      </c>
      <c r="C1064">
        <v>2</v>
      </c>
      <c r="D1064">
        <v>28</v>
      </c>
      <c r="E1064" s="1">
        <v>-10</v>
      </c>
      <c r="F1064" t="s">
        <v>26</v>
      </c>
      <c r="G1064" t="str">
        <f>_xlfn.XLOOKUP(transakcje[[#This Row],[podkategoria]],parametr[podkategoria],parametr[kategoria])</f>
        <v>życie</v>
      </c>
      <c r="H1064" t="str">
        <f>_xlfn.XLOOKUP(transakcje[[#This Row],[kategoria]],parametr[kategoria],parametr[typ])</f>
        <v>wydatki</v>
      </c>
      <c r="I1064" s="1">
        <f>ABS(transakcje[[#This Row],[kwota]])</f>
        <v>10</v>
      </c>
    </row>
    <row r="1065" spans="1:9" x14ac:dyDescent="0.3">
      <c r="A1065">
        <v>1064</v>
      </c>
      <c r="B1065">
        <v>2014</v>
      </c>
      <c r="C1065">
        <v>2</v>
      </c>
      <c r="D1065">
        <v>28</v>
      </c>
      <c r="E1065" s="1">
        <v>-47.938000000000002</v>
      </c>
      <c r="F1065" t="s">
        <v>24</v>
      </c>
      <c r="G1065" t="str">
        <f>_xlfn.XLOOKUP(transakcje[[#This Row],[podkategoria]],parametr[podkategoria],parametr[kategoria])</f>
        <v>trwałe</v>
      </c>
      <c r="H1065" t="str">
        <f>_xlfn.XLOOKUP(transakcje[[#This Row],[kategoria]],parametr[kategoria],parametr[typ])</f>
        <v>wydatki</v>
      </c>
      <c r="I1065" s="1">
        <f>ABS(transakcje[[#This Row],[kwota]])</f>
        <v>47.938000000000002</v>
      </c>
    </row>
    <row r="1066" spans="1:9" x14ac:dyDescent="0.3">
      <c r="A1066">
        <v>1065</v>
      </c>
      <c r="B1066">
        <v>2014</v>
      </c>
      <c r="C1066">
        <v>2</v>
      </c>
      <c r="D1066">
        <v>28</v>
      </c>
      <c r="E1066" s="1">
        <v>2E-3</v>
      </c>
      <c r="F1066" t="s">
        <v>17</v>
      </c>
      <c r="G1066" t="str">
        <f>_xlfn.XLOOKUP(transakcje[[#This Row],[podkategoria]],parametr[podkategoria],parametr[kategoria])</f>
        <v>dochody pozostałe</v>
      </c>
      <c r="H1066" t="str">
        <f>_xlfn.XLOOKUP(transakcje[[#This Row],[kategoria]],parametr[kategoria],parametr[typ])</f>
        <v>dochody</v>
      </c>
      <c r="I1066" s="1">
        <f>ABS(transakcje[[#This Row],[kwota]])</f>
        <v>2E-3</v>
      </c>
    </row>
    <row r="1067" spans="1:9" x14ac:dyDescent="0.3">
      <c r="A1067">
        <v>1066</v>
      </c>
      <c r="B1067">
        <v>2014</v>
      </c>
      <c r="C1067">
        <v>2</v>
      </c>
      <c r="D1067">
        <v>28</v>
      </c>
      <c r="E1067" s="1">
        <v>-1.198</v>
      </c>
      <c r="F1067" t="s">
        <v>14</v>
      </c>
      <c r="G1067" t="str">
        <f>_xlfn.XLOOKUP(transakcje[[#This Row],[podkategoria]],parametr[podkategoria],parametr[kategoria])</f>
        <v>opłaty stałe</v>
      </c>
      <c r="H1067" t="str">
        <f>_xlfn.XLOOKUP(transakcje[[#This Row],[kategoria]],parametr[kategoria],parametr[typ])</f>
        <v>wydatki</v>
      </c>
      <c r="I1067" s="1">
        <f>ABS(transakcje[[#This Row],[kwota]])</f>
        <v>1.198</v>
      </c>
    </row>
    <row r="1068" spans="1:9" x14ac:dyDescent="0.3">
      <c r="A1068">
        <v>1067</v>
      </c>
      <c r="B1068">
        <v>2014</v>
      </c>
      <c r="C1068">
        <v>2</v>
      </c>
      <c r="D1068">
        <v>28</v>
      </c>
      <c r="E1068" s="1">
        <v>-1.2</v>
      </c>
      <c r="F1068" t="s">
        <v>14</v>
      </c>
      <c r="G1068" t="str">
        <f>_xlfn.XLOOKUP(transakcje[[#This Row],[podkategoria]],parametr[podkategoria],parametr[kategoria])</f>
        <v>opłaty stałe</v>
      </c>
      <c r="H1068" t="str">
        <f>_xlfn.XLOOKUP(transakcje[[#This Row],[kategoria]],parametr[kategoria],parametr[typ])</f>
        <v>wydatki</v>
      </c>
      <c r="I1068" s="1">
        <f>ABS(transakcje[[#This Row],[kwota]])</f>
        <v>1.2</v>
      </c>
    </row>
    <row r="1069" spans="1:9" x14ac:dyDescent="0.3">
      <c r="A1069">
        <v>1068</v>
      </c>
      <c r="B1069">
        <v>2014</v>
      </c>
      <c r="C1069">
        <v>2</v>
      </c>
      <c r="D1069">
        <v>28</v>
      </c>
      <c r="E1069" s="1">
        <v>-2E-3</v>
      </c>
      <c r="F1069" t="s">
        <v>14</v>
      </c>
      <c r="G1069" t="str">
        <f>_xlfn.XLOOKUP(transakcje[[#This Row],[podkategoria]],parametr[podkategoria],parametr[kategoria])</f>
        <v>opłaty stałe</v>
      </c>
      <c r="H1069" t="str">
        <f>_xlfn.XLOOKUP(transakcje[[#This Row],[kategoria]],parametr[kategoria],parametr[typ])</f>
        <v>wydatki</v>
      </c>
      <c r="I1069" s="1">
        <f>ABS(transakcje[[#This Row],[kwota]])</f>
        <v>2E-3</v>
      </c>
    </row>
    <row r="1070" spans="1:9" x14ac:dyDescent="0.3">
      <c r="A1070">
        <v>1069</v>
      </c>
      <c r="B1070">
        <v>2014</v>
      </c>
      <c r="C1070">
        <v>2</v>
      </c>
      <c r="D1070">
        <v>28</v>
      </c>
      <c r="E1070" s="1">
        <v>-8.2059999999999995</v>
      </c>
      <c r="F1070" t="s">
        <v>26</v>
      </c>
      <c r="G1070" t="str">
        <f>_xlfn.XLOOKUP(transakcje[[#This Row],[podkategoria]],parametr[podkategoria],parametr[kategoria])</f>
        <v>życie</v>
      </c>
      <c r="H1070" t="str">
        <f>_xlfn.XLOOKUP(transakcje[[#This Row],[kategoria]],parametr[kategoria],parametr[typ])</f>
        <v>wydatki</v>
      </c>
      <c r="I1070" s="1">
        <f>ABS(transakcje[[#This Row],[kwota]])</f>
        <v>8.2059999999999995</v>
      </c>
    </row>
    <row r="1071" spans="1:9" x14ac:dyDescent="0.3">
      <c r="A1071">
        <v>1070</v>
      </c>
      <c r="B1071">
        <v>2014</v>
      </c>
      <c r="C1071">
        <v>3</v>
      </c>
      <c r="D1071">
        <v>1</v>
      </c>
      <c r="E1071" s="1">
        <v>-7.9799999999999995</v>
      </c>
      <c r="F1071" t="s">
        <v>25</v>
      </c>
      <c r="G1071" t="str">
        <f>_xlfn.XLOOKUP(transakcje[[#This Row],[podkategoria]],parametr[podkategoria],parametr[kategoria])</f>
        <v>opłaty stałe</v>
      </c>
      <c r="H1071" t="str">
        <f>_xlfn.XLOOKUP(transakcje[[#This Row],[kategoria]],parametr[kategoria],parametr[typ])</f>
        <v>wydatki</v>
      </c>
      <c r="I1071" s="1">
        <f>ABS(transakcje[[#This Row],[kwota]])</f>
        <v>7.9799999999999995</v>
      </c>
    </row>
    <row r="1072" spans="1:9" x14ac:dyDescent="0.3">
      <c r="A1072">
        <v>1071</v>
      </c>
      <c r="B1072">
        <v>2014</v>
      </c>
      <c r="C1072">
        <v>3</v>
      </c>
      <c r="D1072">
        <v>1</v>
      </c>
      <c r="E1072" s="1">
        <v>-53.234000000000002</v>
      </c>
      <c r="F1072" t="s">
        <v>31</v>
      </c>
      <c r="G1072" t="str">
        <f>_xlfn.XLOOKUP(transakcje[[#This Row],[podkategoria]],parametr[podkategoria],parametr[kategoria])</f>
        <v>opłaty stałe</v>
      </c>
      <c r="H1072" t="str">
        <f>_xlfn.XLOOKUP(transakcje[[#This Row],[kategoria]],parametr[kategoria],parametr[typ])</f>
        <v>wydatki</v>
      </c>
      <c r="I1072" s="1">
        <f>ABS(transakcje[[#This Row],[kwota]])</f>
        <v>53.234000000000002</v>
      </c>
    </row>
    <row r="1073" spans="1:9" x14ac:dyDescent="0.3">
      <c r="A1073">
        <v>1072</v>
      </c>
      <c r="B1073">
        <v>2014</v>
      </c>
      <c r="C1073">
        <v>3</v>
      </c>
      <c r="D1073">
        <v>1</v>
      </c>
      <c r="E1073" s="1">
        <v>-6.0039999999999996</v>
      </c>
      <c r="F1073" t="s">
        <v>35</v>
      </c>
      <c r="G1073" t="str">
        <f>_xlfn.XLOOKUP(transakcje[[#This Row],[podkategoria]],parametr[podkategoria],parametr[kategoria])</f>
        <v>opłaty stałe</v>
      </c>
      <c r="H1073" t="str">
        <f>_xlfn.XLOOKUP(transakcje[[#This Row],[kategoria]],parametr[kategoria],parametr[typ])</f>
        <v>wydatki</v>
      </c>
      <c r="I1073" s="1">
        <f>ABS(transakcje[[#This Row],[kwota]])</f>
        <v>6.0039999999999996</v>
      </c>
    </row>
    <row r="1074" spans="1:9" x14ac:dyDescent="0.3">
      <c r="A1074">
        <v>1073</v>
      </c>
      <c r="B1074">
        <v>2014</v>
      </c>
      <c r="C1074">
        <v>3</v>
      </c>
      <c r="D1074">
        <v>1</v>
      </c>
      <c r="E1074" s="1">
        <v>-19.8</v>
      </c>
      <c r="F1074" t="s">
        <v>26</v>
      </c>
      <c r="G1074" t="str">
        <f>_xlfn.XLOOKUP(transakcje[[#This Row],[podkategoria]],parametr[podkategoria],parametr[kategoria])</f>
        <v>życie</v>
      </c>
      <c r="H1074" t="str">
        <f>_xlfn.XLOOKUP(transakcje[[#This Row],[kategoria]],parametr[kategoria],parametr[typ])</f>
        <v>wydatki</v>
      </c>
      <c r="I1074" s="1">
        <f>ABS(transakcje[[#This Row],[kwota]])</f>
        <v>19.8</v>
      </c>
    </row>
    <row r="1075" spans="1:9" x14ac:dyDescent="0.3">
      <c r="A1075">
        <v>1074</v>
      </c>
      <c r="B1075">
        <v>2014</v>
      </c>
      <c r="C1075">
        <v>3</v>
      </c>
      <c r="D1075">
        <v>1</v>
      </c>
      <c r="E1075" s="1">
        <v>-9.7200000000000006</v>
      </c>
      <c r="F1075" t="s">
        <v>23</v>
      </c>
      <c r="G1075" t="str">
        <f>_xlfn.XLOOKUP(transakcje[[#This Row],[podkategoria]],parametr[podkategoria],parametr[kategoria])</f>
        <v>opłaty stałe</v>
      </c>
      <c r="H1075" t="str">
        <f>_xlfn.XLOOKUP(transakcje[[#This Row],[kategoria]],parametr[kategoria],parametr[typ])</f>
        <v>wydatki</v>
      </c>
      <c r="I1075" s="1">
        <f>ABS(transakcje[[#This Row],[kwota]])</f>
        <v>9.7200000000000006</v>
      </c>
    </row>
    <row r="1076" spans="1:9" x14ac:dyDescent="0.3">
      <c r="A1076">
        <v>1075</v>
      </c>
      <c r="B1076">
        <v>2014</v>
      </c>
      <c r="C1076">
        <v>3</v>
      </c>
      <c r="D1076">
        <v>1</v>
      </c>
      <c r="E1076" s="1">
        <v>-18.112000000000002</v>
      </c>
      <c r="F1076" t="s">
        <v>34</v>
      </c>
      <c r="G1076" t="str">
        <f>_xlfn.XLOOKUP(transakcje[[#This Row],[podkategoria]],parametr[podkategoria],parametr[kategoria])</f>
        <v>opłaty stałe</v>
      </c>
      <c r="H1076" t="str">
        <f>_xlfn.XLOOKUP(transakcje[[#This Row],[kategoria]],parametr[kategoria],parametr[typ])</f>
        <v>wydatki</v>
      </c>
      <c r="I1076" s="1">
        <f>ABS(transakcje[[#This Row],[kwota]])</f>
        <v>18.112000000000002</v>
      </c>
    </row>
    <row r="1077" spans="1:9" x14ac:dyDescent="0.3">
      <c r="A1077">
        <v>1076</v>
      </c>
      <c r="B1077">
        <v>2014</v>
      </c>
      <c r="C1077">
        <v>3</v>
      </c>
      <c r="D1077">
        <v>6</v>
      </c>
      <c r="E1077" s="1">
        <v>-5.2159999999999993</v>
      </c>
      <c r="F1077" t="s">
        <v>26</v>
      </c>
      <c r="G1077" t="str">
        <f>_xlfn.XLOOKUP(transakcje[[#This Row],[podkategoria]],parametr[podkategoria],parametr[kategoria])</f>
        <v>życie</v>
      </c>
      <c r="H1077" t="str">
        <f>_xlfn.XLOOKUP(transakcje[[#This Row],[kategoria]],parametr[kategoria],parametr[typ])</f>
        <v>wydatki</v>
      </c>
      <c r="I1077" s="1">
        <f>ABS(transakcje[[#This Row],[kwota]])</f>
        <v>5.2159999999999993</v>
      </c>
    </row>
    <row r="1078" spans="1:9" x14ac:dyDescent="0.3">
      <c r="A1078">
        <v>1077</v>
      </c>
      <c r="B1078">
        <v>2014</v>
      </c>
      <c r="C1078">
        <v>3</v>
      </c>
      <c r="D1078">
        <v>6</v>
      </c>
      <c r="E1078" s="1">
        <v>-4.0920000000000005</v>
      </c>
      <c r="F1078" t="s">
        <v>26</v>
      </c>
      <c r="G1078" t="str">
        <f>_xlfn.XLOOKUP(transakcje[[#This Row],[podkategoria]],parametr[podkategoria],parametr[kategoria])</f>
        <v>życie</v>
      </c>
      <c r="H1078" t="str">
        <f>_xlfn.XLOOKUP(transakcje[[#This Row],[kategoria]],parametr[kategoria],parametr[typ])</f>
        <v>wydatki</v>
      </c>
      <c r="I1078" s="1">
        <f>ABS(transakcje[[#This Row],[kwota]])</f>
        <v>4.0920000000000005</v>
      </c>
    </row>
    <row r="1079" spans="1:9" x14ac:dyDescent="0.3">
      <c r="A1079">
        <v>1078</v>
      </c>
      <c r="B1079">
        <v>2014</v>
      </c>
      <c r="C1079">
        <v>3</v>
      </c>
      <c r="D1079">
        <v>12</v>
      </c>
      <c r="E1079" s="1">
        <v>-1.1960000000000002</v>
      </c>
      <c r="F1079" t="s">
        <v>26</v>
      </c>
      <c r="G1079" t="str">
        <f>_xlfn.XLOOKUP(transakcje[[#This Row],[podkategoria]],parametr[podkategoria],parametr[kategoria])</f>
        <v>życie</v>
      </c>
      <c r="H1079" t="str">
        <f>_xlfn.XLOOKUP(transakcje[[#This Row],[kategoria]],parametr[kategoria],parametr[typ])</f>
        <v>wydatki</v>
      </c>
      <c r="I1079" s="1">
        <f>ABS(transakcje[[#This Row],[kwota]])</f>
        <v>1.1960000000000002</v>
      </c>
    </row>
    <row r="1080" spans="1:9" x14ac:dyDescent="0.3">
      <c r="A1080">
        <v>1079</v>
      </c>
      <c r="B1080">
        <v>2014</v>
      </c>
      <c r="C1080">
        <v>3</v>
      </c>
      <c r="D1080">
        <v>13</v>
      </c>
      <c r="E1080" s="1">
        <v>-37.597999999999999</v>
      </c>
      <c r="F1080" t="s">
        <v>11</v>
      </c>
      <c r="G1080" t="str">
        <f>_xlfn.XLOOKUP(transakcje[[#This Row],[podkategoria]],parametr[podkategoria],parametr[kategoria])</f>
        <v>wydatki inne</v>
      </c>
      <c r="H1080" t="str">
        <f>_xlfn.XLOOKUP(transakcje[[#This Row],[kategoria]],parametr[kategoria],parametr[typ])</f>
        <v>wydatki</v>
      </c>
      <c r="I1080" s="1">
        <f>ABS(transakcje[[#This Row],[kwota]])</f>
        <v>37.597999999999999</v>
      </c>
    </row>
    <row r="1081" spans="1:9" x14ac:dyDescent="0.3">
      <c r="A1081">
        <v>1080</v>
      </c>
      <c r="B1081">
        <v>2014</v>
      </c>
      <c r="C1081">
        <v>3</v>
      </c>
      <c r="D1081">
        <v>14</v>
      </c>
      <c r="E1081" s="1">
        <v>-8.4379999999999988</v>
      </c>
      <c r="F1081" t="s">
        <v>26</v>
      </c>
      <c r="G1081" t="str">
        <f>_xlfn.XLOOKUP(transakcje[[#This Row],[podkategoria]],parametr[podkategoria],parametr[kategoria])</f>
        <v>życie</v>
      </c>
      <c r="H1081" t="str">
        <f>_xlfn.XLOOKUP(transakcje[[#This Row],[kategoria]],parametr[kategoria],parametr[typ])</f>
        <v>wydatki</v>
      </c>
      <c r="I1081" s="1">
        <f>ABS(transakcje[[#This Row],[kwota]])</f>
        <v>8.4379999999999988</v>
      </c>
    </row>
    <row r="1082" spans="1:9" x14ac:dyDescent="0.3">
      <c r="A1082">
        <v>1081</v>
      </c>
      <c r="B1082">
        <v>2014</v>
      </c>
      <c r="C1082">
        <v>3</v>
      </c>
      <c r="D1082">
        <v>16</v>
      </c>
      <c r="E1082" s="1">
        <v>-0.8</v>
      </c>
      <c r="F1082" t="s">
        <v>14</v>
      </c>
      <c r="G1082" t="str">
        <f>_xlfn.XLOOKUP(transakcje[[#This Row],[podkategoria]],parametr[podkategoria],parametr[kategoria])</f>
        <v>opłaty stałe</v>
      </c>
      <c r="H1082" t="str">
        <f>_xlfn.XLOOKUP(transakcje[[#This Row],[kategoria]],parametr[kategoria],parametr[typ])</f>
        <v>wydatki</v>
      </c>
      <c r="I1082" s="1">
        <f>ABS(transakcje[[#This Row],[kwota]])</f>
        <v>0.8</v>
      </c>
    </row>
    <row r="1083" spans="1:9" x14ac:dyDescent="0.3">
      <c r="A1083">
        <v>1082</v>
      </c>
      <c r="B1083">
        <v>2014</v>
      </c>
      <c r="C1083">
        <v>3</v>
      </c>
      <c r="D1083">
        <v>17</v>
      </c>
      <c r="E1083" s="1">
        <v>-32.4</v>
      </c>
      <c r="F1083" t="s">
        <v>32</v>
      </c>
      <c r="G1083" t="str">
        <f>_xlfn.XLOOKUP(transakcje[[#This Row],[podkategoria]],parametr[podkategoria],parametr[kategoria])</f>
        <v>opłaty stałe</v>
      </c>
      <c r="H1083" t="str">
        <f>_xlfn.XLOOKUP(transakcje[[#This Row],[kategoria]],parametr[kategoria],parametr[typ])</f>
        <v>wydatki</v>
      </c>
      <c r="I1083" s="1">
        <f>ABS(transakcje[[#This Row],[kwota]])</f>
        <v>32.4</v>
      </c>
    </row>
    <row r="1084" spans="1:9" x14ac:dyDescent="0.3">
      <c r="A1084">
        <v>1083</v>
      </c>
      <c r="B1084">
        <v>2014</v>
      </c>
      <c r="C1084">
        <v>3</v>
      </c>
      <c r="D1084">
        <v>18</v>
      </c>
      <c r="E1084" s="1">
        <v>-0.39800000000000002</v>
      </c>
      <c r="F1084" t="s">
        <v>14</v>
      </c>
      <c r="G1084" t="str">
        <f>_xlfn.XLOOKUP(transakcje[[#This Row],[podkategoria]],parametr[podkategoria],parametr[kategoria])</f>
        <v>opłaty stałe</v>
      </c>
      <c r="H1084" t="str">
        <f>_xlfn.XLOOKUP(transakcje[[#This Row],[kategoria]],parametr[kategoria],parametr[typ])</f>
        <v>wydatki</v>
      </c>
      <c r="I1084" s="1">
        <f>ABS(transakcje[[#This Row],[kwota]])</f>
        <v>0.39800000000000002</v>
      </c>
    </row>
    <row r="1085" spans="1:9" x14ac:dyDescent="0.3">
      <c r="A1085">
        <v>1084</v>
      </c>
      <c r="B1085">
        <v>2014</v>
      </c>
      <c r="C1085">
        <v>3</v>
      </c>
      <c r="D1085">
        <v>21</v>
      </c>
      <c r="E1085" s="1">
        <v>-4.1740000000000004</v>
      </c>
      <c r="F1085" t="s">
        <v>26</v>
      </c>
      <c r="G1085" t="str">
        <f>_xlfn.XLOOKUP(transakcje[[#This Row],[podkategoria]],parametr[podkategoria],parametr[kategoria])</f>
        <v>życie</v>
      </c>
      <c r="H1085" t="str">
        <f>_xlfn.XLOOKUP(transakcje[[#This Row],[kategoria]],parametr[kategoria],parametr[typ])</f>
        <v>wydatki</v>
      </c>
      <c r="I1085" s="1">
        <f>ABS(transakcje[[#This Row],[kwota]])</f>
        <v>4.1740000000000004</v>
      </c>
    </row>
    <row r="1086" spans="1:9" x14ac:dyDescent="0.3">
      <c r="A1086">
        <v>1085</v>
      </c>
      <c r="B1086">
        <v>2014</v>
      </c>
      <c r="C1086">
        <v>3</v>
      </c>
      <c r="D1086">
        <v>21</v>
      </c>
      <c r="E1086" s="1">
        <v>-0.94800000000000006</v>
      </c>
      <c r="F1086" t="s">
        <v>26</v>
      </c>
      <c r="G1086" t="str">
        <f>_xlfn.XLOOKUP(transakcje[[#This Row],[podkategoria]],parametr[podkategoria],parametr[kategoria])</f>
        <v>życie</v>
      </c>
      <c r="H1086" t="str">
        <f>_xlfn.XLOOKUP(transakcje[[#This Row],[kategoria]],parametr[kategoria],parametr[typ])</f>
        <v>wydatki</v>
      </c>
      <c r="I1086" s="1">
        <f>ABS(transakcje[[#This Row],[kwota]])</f>
        <v>0.94800000000000006</v>
      </c>
    </row>
    <row r="1087" spans="1:9" x14ac:dyDescent="0.3">
      <c r="A1087">
        <v>1086</v>
      </c>
      <c r="B1087">
        <v>2014</v>
      </c>
      <c r="C1087">
        <v>3</v>
      </c>
      <c r="D1087">
        <v>25</v>
      </c>
      <c r="E1087" s="1">
        <v>425.178</v>
      </c>
      <c r="F1087" t="s">
        <v>8</v>
      </c>
      <c r="G1087" t="str">
        <f>_xlfn.XLOOKUP(transakcje[[#This Row],[podkategoria]],parametr[podkategoria],parametr[kategoria])</f>
        <v>dochody z pracy</v>
      </c>
      <c r="H1087" t="str">
        <f>_xlfn.XLOOKUP(transakcje[[#This Row],[kategoria]],parametr[kategoria],parametr[typ])</f>
        <v>dochody</v>
      </c>
      <c r="I1087" s="1">
        <f>ABS(transakcje[[#This Row],[kwota]])</f>
        <v>425.178</v>
      </c>
    </row>
    <row r="1088" spans="1:9" x14ac:dyDescent="0.3">
      <c r="A1088">
        <v>1087</v>
      </c>
      <c r="B1088">
        <v>2014</v>
      </c>
      <c r="C1088">
        <v>3</v>
      </c>
      <c r="D1088">
        <v>25</v>
      </c>
      <c r="E1088" s="1">
        <v>-8.6999999999999993</v>
      </c>
      <c r="F1088" t="s">
        <v>26</v>
      </c>
      <c r="G1088" t="str">
        <f>_xlfn.XLOOKUP(transakcje[[#This Row],[podkategoria]],parametr[podkategoria],parametr[kategoria])</f>
        <v>życie</v>
      </c>
      <c r="H1088" t="str">
        <f>_xlfn.XLOOKUP(transakcje[[#This Row],[kategoria]],parametr[kategoria],parametr[typ])</f>
        <v>wydatki</v>
      </c>
      <c r="I1088" s="1">
        <f>ABS(transakcje[[#This Row],[kwota]])</f>
        <v>8.6999999999999993</v>
      </c>
    </row>
    <row r="1089" spans="1:9" x14ac:dyDescent="0.3">
      <c r="A1089">
        <v>1088</v>
      </c>
      <c r="B1089">
        <v>2014</v>
      </c>
      <c r="C1089">
        <v>3</v>
      </c>
      <c r="D1089">
        <v>25</v>
      </c>
      <c r="E1089" s="1">
        <v>-7.06</v>
      </c>
      <c r="F1089" t="s">
        <v>26</v>
      </c>
      <c r="G1089" t="str">
        <f>_xlfn.XLOOKUP(transakcje[[#This Row],[podkategoria]],parametr[podkategoria],parametr[kategoria])</f>
        <v>życie</v>
      </c>
      <c r="H1089" t="str">
        <f>_xlfn.XLOOKUP(transakcje[[#This Row],[kategoria]],parametr[kategoria],parametr[typ])</f>
        <v>wydatki</v>
      </c>
      <c r="I1089" s="1">
        <f>ABS(transakcje[[#This Row],[kwota]])</f>
        <v>7.06</v>
      </c>
    </row>
    <row r="1090" spans="1:9" x14ac:dyDescent="0.3">
      <c r="A1090">
        <v>1089</v>
      </c>
      <c r="B1090">
        <v>2014</v>
      </c>
      <c r="C1090">
        <v>3</v>
      </c>
      <c r="D1090">
        <v>26</v>
      </c>
      <c r="E1090" s="1">
        <v>-2.5300000000000002</v>
      </c>
      <c r="F1090" t="s">
        <v>26</v>
      </c>
      <c r="G1090" t="str">
        <f>_xlfn.XLOOKUP(transakcje[[#This Row],[podkategoria]],parametr[podkategoria],parametr[kategoria])</f>
        <v>życie</v>
      </c>
      <c r="H1090" t="str">
        <f>_xlfn.XLOOKUP(transakcje[[#This Row],[kategoria]],parametr[kategoria],parametr[typ])</f>
        <v>wydatki</v>
      </c>
      <c r="I1090" s="1">
        <f>ABS(transakcje[[#This Row],[kwota]])</f>
        <v>2.5300000000000002</v>
      </c>
    </row>
    <row r="1091" spans="1:9" x14ac:dyDescent="0.3">
      <c r="A1091">
        <v>1090</v>
      </c>
      <c r="B1091">
        <v>2014</v>
      </c>
      <c r="C1091">
        <v>3</v>
      </c>
      <c r="D1091">
        <v>28</v>
      </c>
      <c r="E1091" s="1">
        <v>-28</v>
      </c>
      <c r="F1091" t="s">
        <v>11</v>
      </c>
      <c r="G1091" t="str">
        <f>_xlfn.XLOOKUP(transakcje[[#This Row],[podkategoria]],parametr[podkategoria],parametr[kategoria])</f>
        <v>wydatki inne</v>
      </c>
      <c r="H1091" t="str">
        <f>_xlfn.XLOOKUP(transakcje[[#This Row],[kategoria]],parametr[kategoria],parametr[typ])</f>
        <v>wydatki</v>
      </c>
      <c r="I1091" s="1">
        <f>ABS(transakcje[[#This Row],[kwota]])</f>
        <v>28</v>
      </c>
    </row>
    <row r="1092" spans="1:9" x14ac:dyDescent="0.3">
      <c r="A1092">
        <v>1091</v>
      </c>
      <c r="B1092">
        <v>2014</v>
      </c>
      <c r="C1092">
        <v>3</v>
      </c>
      <c r="D1092">
        <v>28</v>
      </c>
      <c r="E1092" s="1">
        <v>-7.7859999999999996</v>
      </c>
      <c r="F1092" t="s">
        <v>26</v>
      </c>
      <c r="G1092" t="str">
        <f>_xlfn.XLOOKUP(transakcje[[#This Row],[podkategoria]],parametr[podkategoria],parametr[kategoria])</f>
        <v>życie</v>
      </c>
      <c r="H1092" t="str">
        <f>_xlfn.XLOOKUP(transakcje[[#This Row],[kategoria]],parametr[kategoria],parametr[typ])</f>
        <v>wydatki</v>
      </c>
      <c r="I1092" s="1">
        <f>ABS(transakcje[[#This Row],[kwota]])</f>
        <v>7.7859999999999996</v>
      </c>
    </row>
    <row r="1093" spans="1:9" x14ac:dyDescent="0.3">
      <c r="A1093">
        <v>1092</v>
      </c>
      <c r="B1093">
        <v>2014</v>
      </c>
      <c r="C1093">
        <v>3</v>
      </c>
      <c r="D1093">
        <v>29</v>
      </c>
      <c r="E1093" s="1">
        <v>-5.9799999999999995</v>
      </c>
      <c r="F1093" t="s">
        <v>26</v>
      </c>
      <c r="G1093" t="str">
        <f>_xlfn.XLOOKUP(transakcje[[#This Row],[podkategoria]],parametr[podkategoria],parametr[kategoria])</f>
        <v>życie</v>
      </c>
      <c r="H1093" t="str">
        <f>_xlfn.XLOOKUP(transakcje[[#This Row],[kategoria]],parametr[kategoria],parametr[typ])</f>
        <v>wydatki</v>
      </c>
      <c r="I1093" s="1">
        <f>ABS(transakcje[[#This Row],[kwota]])</f>
        <v>5.9799999999999995</v>
      </c>
    </row>
    <row r="1094" spans="1:9" x14ac:dyDescent="0.3">
      <c r="A1094">
        <v>1093</v>
      </c>
      <c r="B1094">
        <v>2014</v>
      </c>
      <c r="C1094">
        <v>3</v>
      </c>
      <c r="D1094">
        <v>31</v>
      </c>
      <c r="E1094" s="1">
        <v>2E-3</v>
      </c>
      <c r="F1094" t="s">
        <v>17</v>
      </c>
      <c r="G1094" t="str">
        <f>_xlfn.XLOOKUP(transakcje[[#This Row],[podkategoria]],parametr[podkategoria],parametr[kategoria])</f>
        <v>dochody pozostałe</v>
      </c>
      <c r="H1094" t="str">
        <f>_xlfn.XLOOKUP(transakcje[[#This Row],[kategoria]],parametr[kategoria],parametr[typ])</f>
        <v>dochody</v>
      </c>
      <c r="I1094" s="1">
        <f>ABS(transakcje[[#This Row],[kwota]])</f>
        <v>2E-3</v>
      </c>
    </row>
    <row r="1095" spans="1:9" x14ac:dyDescent="0.3">
      <c r="A1095">
        <v>1094</v>
      </c>
      <c r="B1095">
        <v>2014</v>
      </c>
      <c r="C1095">
        <v>3</v>
      </c>
      <c r="D1095">
        <v>31</v>
      </c>
      <c r="E1095" s="1">
        <v>-1.198</v>
      </c>
      <c r="F1095" t="s">
        <v>14</v>
      </c>
      <c r="G1095" t="str">
        <f>_xlfn.XLOOKUP(transakcje[[#This Row],[podkategoria]],parametr[podkategoria],parametr[kategoria])</f>
        <v>opłaty stałe</v>
      </c>
      <c r="H1095" t="str">
        <f>_xlfn.XLOOKUP(transakcje[[#This Row],[kategoria]],parametr[kategoria],parametr[typ])</f>
        <v>wydatki</v>
      </c>
      <c r="I1095" s="1">
        <f>ABS(transakcje[[#This Row],[kwota]])</f>
        <v>1.198</v>
      </c>
    </row>
    <row r="1096" spans="1:9" x14ac:dyDescent="0.3">
      <c r="A1096">
        <v>1095</v>
      </c>
      <c r="B1096">
        <v>2014</v>
      </c>
      <c r="C1096">
        <v>3</v>
      </c>
      <c r="D1096">
        <v>31</v>
      </c>
      <c r="E1096" s="1">
        <v>-2E-3</v>
      </c>
      <c r="F1096" t="s">
        <v>14</v>
      </c>
      <c r="G1096" t="str">
        <f>_xlfn.XLOOKUP(transakcje[[#This Row],[podkategoria]],parametr[podkategoria],parametr[kategoria])</f>
        <v>opłaty stałe</v>
      </c>
      <c r="H1096" t="str">
        <f>_xlfn.XLOOKUP(transakcje[[#This Row],[kategoria]],parametr[kategoria],parametr[typ])</f>
        <v>wydatki</v>
      </c>
      <c r="I1096" s="1">
        <f>ABS(transakcje[[#This Row],[kwota]])</f>
        <v>2E-3</v>
      </c>
    </row>
    <row r="1097" spans="1:9" x14ac:dyDescent="0.3">
      <c r="A1097">
        <v>1096</v>
      </c>
      <c r="B1097">
        <v>2014</v>
      </c>
      <c r="C1097">
        <v>4</v>
      </c>
      <c r="D1097">
        <v>1</v>
      </c>
      <c r="E1097" s="1">
        <v>-53.234000000000002</v>
      </c>
      <c r="F1097" t="s">
        <v>31</v>
      </c>
      <c r="G1097" t="str">
        <f>_xlfn.XLOOKUP(transakcje[[#This Row],[podkategoria]],parametr[podkategoria],parametr[kategoria])</f>
        <v>opłaty stałe</v>
      </c>
      <c r="H1097" t="str">
        <f>_xlfn.XLOOKUP(transakcje[[#This Row],[kategoria]],parametr[kategoria],parametr[typ])</f>
        <v>wydatki</v>
      </c>
      <c r="I1097" s="1">
        <f>ABS(transakcje[[#This Row],[kwota]])</f>
        <v>53.234000000000002</v>
      </c>
    </row>
    <row r="1098" spans="1:9" x14ac:dyDescent="0.3">
      <c r="A1098">
        <v>1097</v>
      </c>
      <c r="B1098">
        <v>2014</v>
      </c>
      <c r="C1098">
        <v>4</v>
      </c>
      <c r="D1098">
        <v>1</v>
      </c>
      <c r="E1098" s="1">
        <v>-47.938000000000002</v>
      </c>
      <c r="F1098" t="s">
        <v>24</v>
      </c>
      <c r="G1098" t="str">
        <f>_xlfn.XLOOKUP(transakcje[[#This Row],[podkategoria]],parametr[podkategoria],parametr[kategoria])</f>
        <v>trwałe</v>
      </c>
      <c r="H1098" t="str">
        <f>_xlfn.XLOOKUP(transakcje[[#This Row],[kategoria]],parametr[kategoria],parametr[typ])</f>
        <v>wydatki</v>
      </c>
      <c r="I1098" s="1">
        <f>ABS(transakcje[[#This Row],[kwota]])</f>
        <v>47.938000000000002</v>
      </c>
    </row>
    <row r="1099" spans="1:9" x14ac:dyDescent="0.3">
      <c r="A1099">
        <v>1098</v>
      </c>
      <c r="B1099">
        <v>2014</v>
      </c>
      <c r="C1099">
        <v>4</v>
      </c>
      <c r="D1099">
        <v>1</v>
      </c>
      <c r="E1099" s="1">
        <v>-9.7200000000000006</v>
      </c>
      <c r="F1099" t="s">
        <v>23</v>
      </c>
      <c r="G1099" t="str">
        <f>_xlfn.XLOOKUP(transakcje[[#This Row],[podkategoria]],parametr[podkategoria],parametr[kategoria])</f>
        <v>opłaty stałe</v>
      </c>
      <c r="H1099" t="str">
        <f>_xlfn.XLOOKUP(transakcje[[#This Row],[kategoria]],parametr[kategoria],parametr[typ])</f>
        <v>wydatki</v>
      </c>
      <c r="I1099" s="1">
        <f>ABS(transakcje[[#This Row],[kwota]])</f>
        <v>9.7200000000000006</v>
      </c>
    </row>
    <row r="1100" spans="1:9" x14ac:dyDescent="0.3">
      <c r="A1100">
        <v>1099</v>
      </c>
      <c r="B1100">
        <v>2014</v>
      </c>
      <c r="C1100">
        <v>4</v>
      </c>
      <c r="D1100">
        <v>1</v>
      </c>
      <c r="E1100" s="1">
        <v>-4.8</v>
      </c>
      <c r="F1100" t="s">
        <v>31</v>
      </c>
      <c r="G1100" t="str">
        <f>_xlfn.XLOOKUP(transakcje[[#This Row],[podkategoria]],parametr[podkategoria],parametr[kategoria])</f>
        <v>opłaty stałe</v>
      </c>
      <c r="H1100" t="str">
        <f>_xlfn.XLOOKUP(transakcje[[#This Row],[kategoria]],parametr[kategoria],parametr[typ])</f>
        <v>wydatki</v>
      </c>
      <c r="I1100" s="1">
        <f>ABS(transakcje[[#This Row],[kwota]])</f>
        <v>4.8</v>
      </c>
    </row>
    <row r="1101" spans="1:9" x14ac:dyDescent="0.3">
      <c r="A1101">
        <v>1100</v>
      </c>
      <c r="B1101">
        <v>2014</v>
      </c>
      <c r="C1101">
        <v>4</v>
      </c>
      <c r="D1101">
        <v>1</v>
      </c>
      <c r="E1101" s="1">
        <v>-7.9799999999999995</v>
      </c>
      <c r="F1101" t="s">
        <v>25</v>
      </c>
      <c r="G1101" t="str">
        <f>_xlfn.XLOOKUP(transakcje[[#This Row],[podkategoria]],parametr[podkategoria],parametr[kategoria])</f>
        <v>opłaty stałe</v>
      </c>
      <c r="H1101" t="str">
        <f>_xlfn.XLOOKUP(transakcje[[#This Row],[kategoria]],parametr[kategoria],parametr[typ])</f>
        <v>wydatki</v>
      </c>
      <c r="I1101" s="1">
        <f>ABS(transakcje[[#This Row],[kwota]])</f>
        <v>7.9799999999999995</v>
      </c>
    </row>
    <row r="1102" spans="1:9" x14ac:dyDescent="0.3">
      <c r="A1102">
        <v>1101</v>
      </c>
      <c r="B1102">
        <v>2014</v>
      </c>
      <c r="C1102">
        <v>4</v>
      </c>
      <c r="D1102">
        <v>3</v>
      </c>
      <c r="E1102" s="1">
        <v>-8.8420000000000005</v>
      </c>
      <c r="F1102" t="s">
        <v>26</v>
      </c>
      <c r="G1102" t="str">
        <f>_xlfn.XLOOKUP(transakcje[[#This Row],[podkategoria]],parametr[podkategoria],parametr[kategoria])</f>
        <v>życie</v>
      </c>
      <c r="H1102" t="str">
        <f>_xlfn.XLOOKUP(transakcje[[#This Row],[kategoria]],parametr[kategoria],parametr[typ])</f>
        <v>wydatki</v>
      </c>
      <c r="I1102" s="1">
        <f>ABS(transakcje[[#This Row],[kwota]])</f>
        <v>8.8420000000000005</v>
      </c>
    </row>
    <row r="1103" spans="1:9" x14ac:dyDescent="0.3">
      <c r="A1103">
        <v>1102</v>
      </c>
      <c r="B1103">
        <v>2014</v>
      </c>
      <c r="C1103">
        <v>4</v>
      </c>
      <c r="D1103">
        <v>4</v>
      </c>
      <c r="E1103" s="1">
        <v>-3.5700000000000003</v>
      </c>
      <c r="F1103" t="s">
        <v>26</v>
      </c>
      <c r="G1103" t="str">
        <f>_xlfn.XLOOKUP(transakcje[[#This Row],[podkategoria]],parametr[podkategoria],parametr[kategoria])</f>
        <v>życie</v>
      </c>
      <c r="H1103" t="str">
        <f>_xlfn.XLOOKUP(transakcje[[#This Row],[kategoria]],parametr[kategoria],parametr[typ])</f>
        <v>wydatki</v>
      </c>
      <c r="I1103" s="1">
        <f>ABS(transakcje[[#This Row],[kwota]])</f>
        <v>3.5700000000000003</v>
      </c>
    </row>
    <row r="1104" spans="1:9" x14ac:dyDescent="0.3">
      <c r="A1104">
        <v>1103</v>
      </c>
      <c r="B1104">
        <v>2014</v>
      </c>
      <c r="C1104">
        <v>4</v>
      </c>
      <c r="D1104">
        <v>7</v>
      </c>
      <c r="E1104" s="1">
        <v>-35.827999999999996</v>
      </c>
      <c r="F1104" t="s">
        <v>26</v>
      </c>
      <c r="G1104" t="str">
        <f>_xlfn.XLOOKUP(transakcje[[#This Row],[podkategoria]],parametr[podkategoria],parametr[kategoria])</f>
        <v>życie</v>
      </c>
      <c r="H1104" t="str">
        <f>_xlfn.XLOOKUP(transakcje[[#This Row],[kategoria]],parametr[kategoria],parametr[typ])</f>
        <v>wydatki</v>
      </c>
      <c r="I1104" s="1">
        <f>ABS(transakcje[[#This Row],[kwota]])</f>
        <v>35.827999999999996</v>
      </c>
    </row>
    <row r="1105" spans="1:9" x14ac:dyDescent="0.3">
      <c r="A1105">
        <v>1104</v>
      </c>
      <c r="B1105">
        <v>2014</v>
      </c>
      <c r="C1105">
        <v>4</v>
      </c>
      <c r="D1105">
        <v>7</v>
      </c>
      <c r="E1105" s="1">
        <v>-63.2</v>
      </c>
      <c r="F1105" t="s">
        <v>11</v>
      </c>
      <c r="G1105" t="str">
        <f>_xlfn.XLOOKUP(transakcje[[#This Row],[podkategoria]],parametr[podkategoria],parametr[kategoria])</f>
        <v>wydatki inne</v>
      </c>
      <c r="H1105" t="str">
        <f>_xlfn.XLOOKUP(transakcje[[#This Row],[kategoria]],parametr[kategoria],parametr[typ])</f>
        <v>wydatki</v>
      </c>
      <c r="I1105" s="1">
        <f>ABS(transakcje[[#This Row],[kwota]])</f>
        <v>63.2</v>
      </c>
    </row>
    <row r="1106" spans="1:9" x14ac:dyDescent="0.3">
      <c r="A1106">
        <v>1105</v>
      </c>
      <c r="B1106">
        <v>2014</v>
      </c>
      <c r="C1106">
        <v>4</v>
      </c>
      <c r="D1106">
        <v>7</v>
      </c>
      <c r="E1106" s="1">
        <v>-13.666</v>
      </c>
      <c r="F1106" t="s">
        <v>26</v>
      </c>
      <c r="G1106" t="str">
        <f>_xlfn.XLOOKUP(transakcje[[#This Row],[podkategoria]],parametr[podkategoria],parametr[kategoria])</f>
        <v>życie</v>
      </c>
      <c r="H1106" t="str">
        <f>_xlfn.XLOOKUP(transakcje[[#This Row],[kategoria]],parametr[kategoria],parametr[typ])</f>
        <v>wydatki</v>
      </c>
      <c r="I1106" s="1">
        <f>ABS(transakcje[[#This Row],[kwota]])</f>
        <v>13.666</v>
      </c>
    </row>
    <row r="1107" spans="1:9" x14ac:dyDescent="0.3">
      <c r="A1107">
        <v>1106</v>
      </c>
      <c r="B1107">
        <v>2014</v>
      </c>
      <c r="C1107">
        <v>4</v>
      </c>
      <c r="D1107">
        <v>9</v>
      </c>
      <c r="E1107" s="1">
        <v>-1.5779999999999998</v>
      </c>
      <c r="F1107" t="s">
        <v>26</v>
      </c>
      <c r="G1107" t="str">
        <f>_xlfn.XLOOKUP(transakcje[[#This Row],[podkategoria]],parametr[podkategoria],parametr[kategoria])</f>
        <v>życie</v>
      </c>
      <c r="H1107" t="str">
        <f>_xlfn.XLOOKUP(transakcje[[#This Row],[kategoria]],parametr[kategoria],parametr[typ])</f>
        <v>wydatki</v>
      </c>
      <c r="I1107" s="1">
        <f>ABS(transakcje[[#This Row],[kwota]])</f>
        <v>1.5779999999999998</v>
      </c>
    </row>
    <row r="1108" spans="1:9" x14ac:dyDescent="0.3">
      <c r="A1108">
        <v>1107</v>
      </c>
      <c r="B1108">
        <v>2014</v>
      </c>
      <c r="C1108">
        <v>4</v>
      </c>
      <c r="D1108">
        <v>10</v>
      </c>
      <c r="E1108" s="1">
        <v>-19.997999999999998</v>
      </c>
      <c r="F1108" t="s">
        <v>24</v>
      </c>
      <c r="G1108" t="str">
        <f>_xlfn.XLOOKUP(transakcje[[#This Row],[podkategoria]],parametr[podkategoria],parametr[kategoria])</f>
        <v>trwałe</v>
      </c>
      <c r="H1108" t="str">
        <f>_xlfn.XLOOKUP(transakcje[[#This Row],[kategoria]],parametr[kategoria],parametr[typ])</f>
        <v>wydatki</v>
      </c>
      <c r="I1108" s="1">
        <f>ABS(transakcje[[#This Row],[kwota]])</f>
        <v>19.997999999999998</v>
      </c>
    </row>
    <row r="1109" spans="1:9" x14ac:dyDescent="0.3">
      <c r="A1109">
        <v>1108</v>
      </c>
      <c r="B1109">
        <v>2014</v>
      </c>
      <c r="C1109">
        <v>4</v>
      </c>
      <c r="D1109">
        <v>11</v>
      </c>
      <c r="E1109" s="1">
        <v>-70</v>
      </c>
      <c r="F1109" t="s">
        <v>11</v>
      </c>
      <c r="G1109" t="str">
        <f>_xlfn.XLOOKUP(transakcje[[#This Row],[podkategoria]],parametr[podkategoria],parametr[kategoria])</f>
        <v>wydatki inne</v>
      </c>
      <c r="H1109" t="str">
        <f>_xlfn.XLOOKUP(transakcje[[#This Row],[kategoria]],parametr[kategoria],parametr[typ])</f>
        <v>wydatki</v>
      </c>
      <c r="I1109" s="1">
        <f>ABS(transakcje[[#This Row],[kwota]])</f>
        <v>70</v>
      </c>
    </row>
    <row r="1110" spans="1:9" x14ac:dyDescent="0.3">
      <c r="A1110">
        <v>1109</v>
      </c>
      <c r="B1110">
        <v>2014</v>
      </c>
      <c r="C1110">
        <v>4</v>
      </c>
      <c r="D1110">
        <v>11</v>
      </c>
      <c r="E1110" s="1">
        <v>-0.39800000000000002</v>
      </c>
      <c r="F1110" t="s">
        <v>14</v>
      </c>
      <c r="G1110" t="str">
        <f>_xlfn.XLOOKUP(transakcje[[#This Row],[podkategoria]],parametr[podkategoria],parametr[kategoria])</f>
        <v>opłaty stałe</v>
      </c>
      <c r="H1110" t="str">
        <f>_xlfn.XLOOKUP(transakcje[[#This Row],[kategoria]],parametr[kategoria],parametr[typ])</f>
        <v>wydatki</v>
      </c>
      <c r="I1110" s="1">
        <f>ABS(transakcje[[#This Row],[kwota]])</f>
        <v>0.39800000000000002</v>
      </c>
    </row>
    <row r="1111" spans="1:9" x14ac:dyDescent="0.3">
      <c r="A1111">
        <v>1110</v>
      </c>
      <c r="B1111">
        <v>2014</v>
      </c>
      <c r="C1111">
        <v>4</v>
      </c>
      <c r="D1111">
        <v>11</v>
      </c>
      <c r="E1111" s="1">
        <v>-2.4340000000000002</v>
      </c>
      <c r="F1111" t="s">
        <v>26</v>
      </c>
      <c r="G1111" t="str">
        <f>_xlfn.XLOOKUP(transakcje[[#This Row],[podkategoria]],parametr[podkategoria],parametr[kategoria])</f>
        <v>życie</v>
      </c>
      <c r="H1111" t="str">
        <f>_xlfn.XLOOKUP(transakcje[[#This Row],[kategoria]],parametr[kategoria],parametr[typ])</f>
        <v>wydatki</v>
      </c>
      <c r="I1111" s="1">
        <f>ABS(transakcje[[#This Row],[kwota]])</f>
        <v>2.4340000000000002</v>
      </c>
    </row>
    <row r="1112" spans="1:9" x14ac:dyDescent="0.3">
      <c r="A1112">
        <v>1111</v>
      </c>
      <c r="B1112">
        <v>2014</v>
      </c>
      <c r="C1112">
        <v>4</v>
      </c>
      <c r="D1112">
        <v>16</v>
      </c>
      <c r="E1112" s="1">
        <v>-0.8</v>
      </c>
      <c r="F1112" t="s">
        <v>14</v>
      </c>
      <c r="G1112" t="str">
        <f>_xlfn.XLOOKUP(transakcje[[#This Row],[podkategoria]],parametr[podkategoria],parametr[kategoria])</f>
        <v>opłaty stałe</v>
      </c>
      <c r="H1112" t="str">
        <f>_xlfn.XLOOKUP(transakcje[[#This Row],[kategoria]],parametr[kategoria],parametr[typ])</f>
        <v>wydatki</v>
      </c>
      <c r="I1112" s="1">
        <f>ABS(transakcje[[#This Row],[kwota]])</f>
        <v>0.8</v>
      </c>
    </row>
    <row r="1113" spans="1:9" x14ac:dyDescent="0.3">
      <c r="A1113">
        <v>1112</v>
      </c>
      <c r="B1113">
        <v>2014</v>
      </c>
      <c r="C1113">
        <v>4</v>
      </c>
      <c r="D1113">
        <v>25</v>
      </c>
      <c r="E1113" s="1">
        <v>-47.94</v>
      </c>
      <c r="F1113" t="s">
        <v>24</v>
      </c>
      <c r="G1113" t="str">
        <f>_xlfn.XLOOKUP(transakcje[[#This Row],[podkategoria]],parametr[podkategoria],parametr[kategoria])</f>
        <v>trwałe</v>
      </c>
      <c r="H1113" t="str">
        <f>_xlfn.XLOOKUP(transakcje[[#This Row],[kategoria]],parametr[kategoria],parametr[typ])</f>
        <v>wydatki</v>
      </c>
      <c r="I1113" s="1">
        <f>ABS(transakcje[[#This Row],[kwota]])</f>
        <v>47.94</v>
      </c>
    </row>
    <row r="1114" spans="1:9" x14ac:dyDescent="0.3">
      <c r="A1114">
        <v>1113</v>
      </c>
      <c r="B1114">
        <v>2014</v>
      </c>
      <c r="C1114">
        <v>4</v>
      </c>
      <c r="D1114">
        <v>25</v>
      </c>
      <c r="E1114" s="1">
        <v>-46.4</v>
      </c>
      <c r="F1114" t="s">
        <v>30</v>
      </c>
      <c r="G1114" t="str">
        <f>_xlfn.XLOOKUP(transakcje[[#This Row],[podkategoria]],parametr[podkategoria],parametr[kategoria])</f>
        <v>opłaty stałe</v>
      </c>
      <c r="H1114" t="str">
        <f>_xlfn.XLOOKUP(transakcje[[#This Row],[kategoria]],parametr[kategoria],parametr[typ])</f>
        <v>wydatki</v>
      </c>
      <c r="I1114" s="1">
        <f>ABS(transakcje[[#This Row],[kwota]])</f>
        <v>46.4</v>
      </c>
    </row>
    <row r="1115" spans="1:9" x14ac:dyDescent="0.3">
      <c r="A1115">
        <v>1114</v>
      </c>
      <c r="B1115">
        <v>2014</v>
      </c>
      <c r="C1115">
        <v>4</v>
      </c>
      <c r="D1115">
        <v>25</v>
      </c>
      <c r="E1115" s="1">
        <v>425.178</v>
      </c>
      <c r="F1115" t="s">
        <v>8</v>
      </c>
      <c r="G1115" t="str">
        <f>_xlfn.XLOOKUP(transakcje[[#This Row],[podkategoria]],parametr[podkategoria],parametr[kategoria])</f>
        <v>dochody z pracy</v>
      </c>
      <c r="H1115" t="str">
        <f>_xlfn.XLOOKUP(transakcje[[#This Row],[kategoria]],parametr[kategoria],parametr[typ])</f>
        <v>dochody</v>
      </c>
      <c r="I1115" s="1">
        <f>ABS(transakcje[[#This Row],[kwota]])</f>
        <v>425.178</v>
      </c>
    </row>
    <row r="1116" spans="1:9" x14ac:dyDescent="0.3">
      <c r="A1116">
        <v>1115</v>
      </c>
      <c r="B1116">
        <v>2014</v>
      </c>
      <c r="C1116">
        <v>4</v>
      </c>
      <c r="D1116">
        <v>30</v>
      </c>
      <c r="E1116" s="1">
        <v>2E-3</v>
      </c>
      <c r="F1116" t="s">
        <v>17</v>
      </c>
      <c r="G1116" t="str">
        <f>_xlfn.XLOOKUP(transakcje[[#This Row],[podkategoria]],parametr[podkategoria],parametr[kategoria])</f>
        <v>dochody pozostałe</v>
      </c>
      <c r="H1116" t="str">
        <f>_xlfn.XLOOKUP(transakcje[[#This Row],[kategoria]],parametr[kategoria],parametr[typ])</f>
        <v>dochody</v>
      </c>
      <c r="I1116" s="1">
        <f>ABS(transakcje[[#This Row],[kwota]])</f>
        <v>2E-3</v>
      </c>
    </row>
    <row r="1117" spans="1:9" x14ac:dyDescent="0.3">
      <c r="A1117">
        <v>1116</v>
      </c>
      <c r="B1117">
        <v>2014</v>
      </c>
      <c r="C1117">
        <v>4</v>
      </c>
      <c r="D1117">
        <v>30</v>
      </c>
      <c r="E1117" s="1">
        <v>-1.198</v>
      </c>
      <c r="F1117" t="s">
        <v>14</v>
      </c>
      <c r="G1117" t="str">
        <f>_xlfn.XLOOKUP(transakcje[[#This Row],[podkategoria]],parametr[podkategoria],parametr[kategoria])</f>
        <v>opłaty stałe</v>
      </c>
      <c r="H1117" t="str">
        <f>_xlfn.XLOOKUP(transakcje[[#This Row],[kategoria]],parametr[kategoria],parametr[typ])</f>
        <v>wydatki</v>
      </c>
      <c r="I1117" s="1">
        <f>ABS(transakcje[[#This Row],[kwota]])</f>
        <v>1.198</v>
      </c>
    </row>
    <row r="1118" spans="1:9" x14ac:dyDescent="0.3">
      <c r="A1118">
        <v>1117</v>
      </c>
      <c r="B1118">
        <v>2014</v>
      </c>
      <c r="C1118">
        <v>4</v>
      </c>
      <c r="D1118">
        <v>30</v>
      </c>
      <c r="E1118" s="1">
        <v>-0.9</v>
      </c>
      <c r="F1118" t="s">
        <v>14</v>
      </c>
      <c r="G1118" t="str">
        <f>_xlfn.XLOOKUP(transakcje[[#This Row],[podkategoria]],parametr[podkategoria],parametr[kategoria])</f>
        <v>opłaty stałe</v>
      </c>
      <c r="H1118" t="str">
        <f>_xlfn.XLOOKUP(transakcje[[#This Row],[kategoria]],parametr[kategoria],parametr[typ])</f>
        <v>wydatki</v>
      </c>
      <c r="I1118" s="1">
        <f>ABS(transakcje[[#This Row],[kwota]])</f>
        <v>0.9</v>
      </c>
    </row>
    <row r="1119" spans="1:9" x14ac:dyDescent="0.3">
      <c r="A1119">
        <v>1118</v>
      </c>
      <c r="B1119">
        <v>2014</v>
      </c>
      <c r="C1119">
        <v>4</v>
      </c>
      <c r="D1119">
        <v>30</v>
      </c>
      <c r="E1119" s="1">
        <v>-2E-3</v>
      </c>
      <c r="F1119" t="s">
        <v>14</v>
      </c>
      <c r="G1119" t="str">
        <f>_xlfn.XLOOKUP(transakcje[[#This Row],[podkategoria]],parametr[podkategoria],parametr[kategoria])</f>
        <v>opłaty stałe</v>
      </c>
      <c r="H1119" t="str">
        <f>_xlfn.XLOOKUP(transakcje[[#This Row],[kategoria]],parametr[kategoria],parametr[typ])</f>
        <v>wydatki</v>
      </c>
      <c r="I1119" s="1">
        <f>ABS(transakcje[[#This Row],[kwota]])</f>
        <v>2E-3</v>
      </c>
    </row>
    <row r="1120" spans="1:9" x14ac:dyDescent="0.3">
      <c r="A1120">
        <v>1119</v>
      </c>
      <c r="B1120">
        <v>2014</v>
      </c>
      <c r="C1120">
        <v>5</v>
      </c>
      <c r="D1120">
        <v>1</v>
      </c>
      <c r="E1120" s="1">
        <v>-56.834000000000003</v>
      </c>
      <c r="F1120" t="s">
        <v>31</v>
      </c>
      <c r="G1120" t="str">
        <f>_xlfn.XLOOKUP(transakcje[[#This Row],[podkategoria]],parametr[podkategoria],parametr[kategoria])</f>
        <v>opłaty stałe</v>
      </c>
      <c r="H1120" t="str">
        <f>_xlfn.XLOOKUP(transakcje[[#This Row],[kategoria]],parametr[kategoria],parametr[typ])</f>
        <v>wydatki</v>
      </c>
      <c r="I1120" s="1">
        <f>ABS(transakcje[[#This Row],[kwota]])</f>
        <v>56.834000000000003</v>
      </c>
    </row>
    <row r="1121" spans="1:9" x14ac:dyDescent="0.3">
      <c r="A1121">
        <v>1120</v>
      </c>
      <c r="B1121">
        <v>2014</v>
      </c>
      <c r="C1121">
        <v>5</v>
      </c>
      <c r="D1121">
        <v>1</v>
      </c>
      <c r="E1121" s="1">
        <v>-6.0039999999999996</v>
      </c>
      <c r="F1121" t="s">
        <v>35</v>
      </c>
      <c r="G1121" t="str">
        <f>_xlfn.XLOOKUP(transakcje[[#This Row],[podkategoria]],parametr[podkategoria],parametr[kategoria])</f>
        <v>opłaty stałe</v>
      </c>
      <c r="H1121" t="str">
        <f>_xlfn.XLOOKUP(transakcje[[#This Row],[kategoria]],parametr[kategoria],parametr[typ])</f>
        <v>wydatki</v>
      </c>
      <c r="I1121" s="1">
        <f>ABS(transakcje[[#This Row],[kwota]])</f>
        <v>6.0039999999999996</v>
      </c>
    </row>
    <row r="1122" spans="1:9" x14ac:dyDescent="0.3">
      <c r="A1122">
        <v>1121</v>
      </c>
      <c r="B1122">
        <v>2014</v>
      </c>
      <c r="C1122">
        <v>5</v>
      </c>
      <c r="D1122">
        <v>1</v>
      </c>
      <c r="E1122" s="1">
        <v>-9.7200000000000006</v>
      </c>
      <c r="F1122" t="s">
        <v>23</v>
      </c>
      <c r="G1122" t="str">
        <f>_xlfn.XLOOKUP(transakcje[[#This Row],[podkategoria]],parametr[podkategoria],parametr[kategoria])</f>
        <v>opłaty stałe</v>
      </c>
      <c r="H1122" t="str">
        <f>_xlfn.XLOOKUP(transakcje[[#This Row],[kategoria]],parametr[kategoria],parametr[typ])</f>
        <v>wydatki</v>
      </c>
      <c r="I1122" s="1">
        <f>ABS(transakcje[[#This Row],[kwota]])</f>
        <v>9.7200000000000006</v>
      </c>
    </row>
    <row r="1123" spans="1:9" x14ac:dyDescent="0.3">
      <c r="A1123">
        <v>1122</v>
      </c>
      <c r="B1123">
        <v>2014</v>
      </c>
      <c r="C1123">
        <v>5</v>
      </c>
      <c r="D1123">
        <v>1</v>
      </c>
      <c r="E1123" s="1">
        <v>-12.906000000000001</v>
      </c>
      <c r="F1123" t="s">
        <v>34</v>
      </c>
      <c r="G1123" t="str">
        <f>_xlfn.XLOOKUP(transakcje[[#This Row],[podkategoria]],parametr[podkategoria],parametr[kategoria])</f>
        <v>opłaty stałe</v>
      </c>
      <c r="H1123" t="str">
        <f>_xlfn.XLOOKUP(transakcje[[#This Row],[kategoria]],parametr[kategoria],parametr[typ])</f>
        <v>wydatki</v>
      </c>
      <c r="I1123" s="1">
        <f>ABS(transakcje[[#This Row],[kwota]])</f>
        <v>12.906000000000001</v>
      </c>
    </row>
    <row r="1124" spans="1:9" x14ac:dyDescent="0.3">
      <c r="A1124">
        <v>1123</v>
      </c>
      <c r="B1124">
        <v>2014</v>
      </c>
      <c r="C1124">
        <v>5</v>
      </c>
      <c r="D1124">
        <v>1</v>
      </c>
      <c r="E1124" s="1">
        <v>-12.214</v>
      </c>
      <c r="F1124" t="s">
        <v>25</v>
      </c>
      <c r="G1124" t="str">
        <f>_xlfn.XLOOKUP(transakcje[[#This Row],[podkategoria]],parametr[podkategoria],parametr[kategoria])</f>
        <v>opłaty stałe</v>
      </c>
      <c r="H1124" t="str">
        <f>_xlfn.XLOOKUP(transakcje[[#This Row],[kategoria]],parametr[kategoria],parametr[typ])</f>
        <v>wydatki</v>
      </c>
      <c r="I1124" s="1">
        <f>ABS(transakcje[[#This Row],[kwota]])</f>
        <v>12.214</v>
      </c>
    </row>
    <row r="1125" spans="1:9" x14ac:dyDescent="0.3">
      <c r="A1125">
        <v>1124</v>
      </c>
      <c r="B1125">
        <v>2014</v>
      </c>
      <c r="C1125">
        <v>5</v>
      </c>
      <c r="D1125">
        <v>5</v>
      </c>
      <c r="E1125" s="1">
        <v>-30.6</v>
      </c>
      <c r="F1125" t="s">
        <v>29</v>
      </c>
      <c r="G1125" t="str">
        <f>_xlfn.XLOOKUP(transakcje[[#This Row],[podkategoria]],parametr[podkategoria],parametr[kategoria])</f>
        <v>opłaty stałe</v>
      </c>
      <c r="H1125" t="str">
        <f>_xlfn.XLOOKUP(transakcje[[#This Row],[kategoria]],parametr[kategoria],parametr[typ])</f>
        <v>wydatki</v>
      </c>
      <c r="I1125" s="1">
        <f>ABS(transakcje[[#This Row],[kwota]])</f>
        <v>30.6</v>
      </c>
    </row>
    <row r="1126" spans="1:9" x14ac:dyDescent="0.3">
      <c r="A1126">
        <v>1125</v>
      </c>
      <c r="B1126">
        <v>2014</v>
      </c>
      <c r="C1126">
        <v>5</v>
      </c>
      <c r="D1126">
        <v>6</v>
      </c>
      <c r="E1126" s="1">
        <v>54.248000000000005</v>
      </c>
      <c r="F1126" t="s">
        <v>19</v>
      </c>
      <c r="G1126" t="str">
        <f>_xlfn.XLOOKUP(transakcje[[#This Row],[podkategoria]],parametr[podkategoria],parametr[kategoria])</f>
        <v>dochody z pracy</v>
      </c>
      <c r="H1126" t="str">
        <f>_xlfn.XLOOKUP(transakcje[[#This Row],[kategoria]],parametr[kategoria],parametr[typ])</f>
        <v>dochody</v>
      </c>
      <c r="I1126" s="1">
        <f>ABS(transakcje[[#This Row],[kwota]])</f>
        <v>54.248000000000005</v>
      </c>
    </row>
    <row r="1127" spans="1:9" x14ac:dyDescent="0.3">
      <c r="A1127">
        <v>1126</v>
      </c>
      <c r="B1127">
        <v>2014</v>
      </c>
      <c r="C1127">
        <v>5</v>
      </c>
      <c r="D1127">
        <v>9</v>
      </c>
      <c r="E1127" s="1">
        <v>-7.2840000000000007</v>
      </c>
      <c r="F1127" t="s">
        <v>26</v>
      </c>
      <c r="G1127" t="str">
        <f>_xlfn.XLOOKUP(transakcje[[#This Row],[podkategoria]],parametr[podkategoria],parametr[kategoria])</f>
        <v>życie</v>
      </c>
      <c r="H1127" t="str">
        <f>_xlfn.XLOOKUP(transakcje[[#This Row],[kategoria]],parametr[kategoria],parametr[typ])</f>
        <v>wydatki</v>
      </c>
      <c r="I1127" s="1">
        <f>ABS(transakcje[[#This Row],[kwota]])</f>
        <v>7.2840000000000007</v>
      </c>
    </row>
    <row r="1128" spans="1:9" x14ac:dyDescent="0.3">
      <c r="A1128">
        <v>1127</v>
      </c>
      <c r="B1128">
        <v>2014</v>
      </c>
      <c r="C1128">
        <v>5</v>
      </c>
      <c r="D1128">
        <v>12</v>
      </c>
      <c r="E1128" s="1">
        <v>-20.131999999999998</v>
      </c>
      <c r="F1128" t="s">
        <v>26</v>
      </c>
      <c r="G1128" t="str">
        <f>_xlfn.XLOOKUP(transakcje[[#This Row],[podkategoria]],parametr[podkategoria],parametr[kategoria])</f>
        <v>życie</v>
      </c>
      <c r="H1128" t="str">
        <f>_xlfn.XLOOKUP(transakcje[[#This Row],[kategoria]],parametr[kategoria],parametr[typ])</f>
        <v>wydatki</v>
      </c>
      <c r="I1128" s="1">
        <f>ABS(transakcje[[#This Row],[kwota]])</f>
        <v>20.131999999999998</v>
      </c>
    </row>
    <row r="1129" spans="1:9" x14ac:dyDescent="0.3">
      <c r="A1129">
        <v>1128</v>
      </c>
      <c r="B1129">
        <v>2014</v>
      </c>
      <c r="C1129">
        <v>5</v>
      </c>
      <c r="D1129">
        <v>13</v>
      </c>
      <c r="E1129" s="1">
        <v>-2.1399999999999997</v>
      </c>
      <c r="F1129" t="s">
        <v>26</v>
      </c>
      <c r="G1129" t="str">
        <f>_xlfn.XLOOKUP(transakcje[[#This Row],[podkategoria]],parametr[podkategoria],parametr[kategoria])</f>
        <v>życie</v>
      </c>
      <c r="H1129" t="str">
        <f>_xlfn.XLOOKUP(transakcje[[#This Row],[kategoria]],parametr[kategoria],parametr[typ])</f>
        <v>wydatki</v>
      </c>
      <c r="I1129" s="1">
        <f>ABS(transakcje[[#This Row],[kwota]])</f>
        <v>2.1399999999999997</v>
      </c>
    </row>
    <row r="1130" spans="1:9" x14ac:dyDescent="0.3">
      <c r="A1130">
        <v>1129</v>
      </c>
      <c r="B1130">
        <v>2014</v>
      </c>
      <c r="C1130">
        <v>5</v>
      </c>
      <c r="D1130">
        <v>13</v>
      </c>
      <c r="E1130" s="1">
        <v>-25.624000000000002</v>
      </c>
      <c r="F1130" t="s">
        <v>26</v>
      </c>
      <c r="G1130" t="str">
        <f>_xlfn.XLOOKUP(transakcje[[#This Row],[podkategoria]],parametr[podkategoria],parametr[kategoria])</f>
        <v>życie</v>
      </c>
      <c r="H1130" t="str">
        <f>_xlfn.XLOOKUP(transakcje[[#This Row],[kategoria]],parametr[kategoria],parametr[typ])</f>
        <v>wydatki</v>
      </c>
      <c r="I1130" s="1">
        <f>ABS(transakcje[[#This Row],[kwota]])</f>
        <v>25.624000000000002</v>
      </c>
    </row>
    <row r="1131" spans="1:9" x14ac:dyDescent="0.3">
      <c r="A1131">
        <v>1130</v>
      </c>
      <c r="B1131">
        <v>2014</v>
      </c>
      <c r="C1131">
        <v>5</v>
      </c>
      <c r="D1131">
        <v>14</v>
      </c>
      <c r="E1131" s="1">
        <v>-0.39800000000000002</v>
      </c>
      <c r="F1131" t="s">
        <v>14</v>
      </c>
      <c r="G1131" t="str">
        <f>_xlfn.XLOOKUP(transakcje[[#This Row],[podkategoria]],parametr[podkategoria],parametr[kategoria])</f>
        <v>opłaty stałe</v>
      </c>
      <c r="H1131" t="str">
        <f>_xlfn.XLOOKUP(transakcje[[#This Row],[kategoria]],parametr[kategoria],parametr[typ])</f>
        <v>wydatki</v>
      </c>
      <c r="I1131" s="1">
        <f>ABS(transakcje[[#This Row],[kwota]])</f>
        <v>0.39800000000000002</v>
      </c>
    </row>
    <row r="1132" spans="1:9" x14ac:dyDescent="0.3">
      <c r="A1132">
        <v>1131</v>
      </c>
      <c r="B1132">
        <v>2014</v>
      </c>
      <c r="C1132">
        <v>5</v>
      </c>
      <c r="D1132">
        <v>14</v>
      </c>
      <c r="E1132" s="1">
        <v>-3.0579999999999998</v>
      </c>
      <c r="F1132" t="s">
        <v>26</v>
      </c>
      <c r="G1132" t="str">
        <f>_xlfn.XLOOKUP(transakcje[[#This Row],[podkategoria]],parametr[podkategoria],parametr[kategoria])</f>
        <v>życie</v>
      </c>
      <c r="H1132" t="str">
        <f>_xlfn.XLOOKUP(transakcje[[#This Row],[kategoria]],parametr[kategoria],parametr[typ])</f>
        <v>wydatki</v>
      </c>
      <c r="I1132" s="1">
        <f>ABS(transakcje[[#This Row],[kwota]])</f>
        <v>3.0579999999999998</v>
      </c>
    </row>
    <row r="1133" spans="1:9" x14ac:dyDescent="0.3">
      <c r="A1133">
        <v>1132</v>
      </c>
      <c r="B1133">
        <v>2014</v>
      </c>
      <c r="C1133">
        <v>5</v>
      </c>
      <c r="D1133">
        <v>16</v>
      </c>
      <c r="E1133" s="1">
        <v>21.919999999999998</v>
      </c>
      <c r="F1133" t="s">
        <v>17</v>
      </c>
      <c r="G1133" t="str">
        <f>_xlfn.XLOOKUP(transakcje[[#This Row],[podkategoria]],parametr[podkategoria],parametr[kategoria])</f>
        <v>dochody pozostałe</v>
      </c>
      <c r="H1133" t="str">
        <f>_xlfn.XLOOKUP(transakcje[[#This Row],[kategoria]],parametr[kategoria],parametr[typ])</f>
        <v>dochody</v>
      </c>
      <c r="I1133" s="1">
        <f>ABS(transakcje[[#This Row],[kwota]])</f>
        <v>21.919999999999998</v>
      </c>
    </row>
    <row r="1134" spans="1:9" x14ac:dyDescent="0.3">
      <c r="A1134">
        <v>1133</v>
      </c>
      <c r="B1134">
        <v>2014</v>
      </c>
      <c r="C1134">
        <v>5</v>
      </c>
      <c r="D1134">
        <v>16</v>
      </c>
      <c r="E1134" s="1">
        <v>-0.8</v>
      </c>
      <c r="F1134" t="s">
        <v>14</v>
      </c>
      <c r="G1134" t="str">
        <f>_xlfn.XLOOKUP(transakcje[[#This Row],[podkategoria]],parametr[podkategoria],parametr[kategoria])</f>
        <v>opłaty stałe</v>
      </c>
      <c r="H1134" t="str">
        <f>_xlfn.XLOOKUP(transakcje[[#This Row],[kategoria]],parametr[kategoria],parametr[typ])</f>
        <v>wydatki</v>
      </c>
      <c r="I1134" s="1">
        <f>ABS(transakcje[[#This Row],[kwota]])</f>
        <v>0.8</v>
      </c>
    </row>
    <row r="1135" spans="1:9" x14ac:dyDescent="0.3">
      <c r="A1135">
        <v>1134</v>
      </c>
      <c r="B1135">
        <v>2014</v>
      </c>
      <c r="C1135">
        <v>5</v>
      </c>
      <c r="D1135">
        <v>22</v>
      </c>
      <c r="E1135" s="1">
        <v>-8.0739999999999998</v>
      </c>
      <c r="F1135" t="s">
        <v>26</v>
      </c>
      <c r="G1135" t="str">
        <f>_xlfn.XLOOKUP(transakcje[[#This Row],[podkategoria]],parametr[podkategoria],parametr[kategoria])</f>
        <v>życie</v>
      </c>
      <c r="H1135" t="str">
        <f>_xlfn.XLOOKUP(transakcje[[#This Row],[kategoria]],parametr[kategoria],parametr[typ])</f>
        <v>wydatki</v>
      </c>
      <c r="I1135" s="1">
        <f>ABS(transakcje[[#This Row],[kwota]])</f>
        <v>8.0739999999999998</v>
      </c>
    </row>
    <row r="1136" spans="1:9" x14ac:dyDescent="0.3">
      <c r="A1136">
        <v>1135</v>
      </c>
      <c r="B1136">
        <v>2014</v>
      </c>
      <c r="C1136">
        <v>5</v>
      </c>
      <c r="D1136">
        <v>26</v>
      </c>
      <c r="E1136" s="1">
        <v>-16.2</v>
      </c>
      <c r="F1136" t="s">
        <v>32</v>
      </c>
      <c r="G1136" t="str">
        <f>_xlfn.XLOOKUP(transakcje[[#This Row],[podkategoria]],parametr[podkategoria],parametr[kategoria])</f>
        <v>opłaty stałe</v>
      </c>
      <c r="H1136" t="str">
        <f>_xlfn.XLOOKUP(transakcje[[#This Row],[kategoria]],parametr[kategoria],parametr[typ])</f>
        <v>wydatki</v>
      </c>
      <c r="I1136" s="1">
        <f>ABS(transakcje[[#This Row],[kwota]])</f>
        <v>16.2</v>
      </c>
    </row>
    <row r="1137" spans="1:9" x14ac:dyDescent="0.3">
      <c r="A1137">
        <v>1136</v>
      </c>
      <c r="B1137">
        <v>2014</v>
      </c>
      <c r="C1137">
        <v>5</v>
      </c>
      <c r="D1137">
        <v>26</v>
      </c>
      <c r="E1137" s="1">
        <v>425.178</v>
      </c>
      <c r="F1137" t="s">
        <v>8</v>
      </c>
      <c r="G1137" t="str">
        <f>_xlfn.XLOOKUP(transakcje[[#This Row],[podkategoria]],parametr[podkategoria],parametr[kategoria])</f>
        <v>dochody z pracy</v>
      </c>
      <c r="H1137" t="str">
        <f>_xlfn.XLOOKUP(transakcje[[#This Row],[kategoria]],parametr[kategoria],parametr[typ])</f>
        <v>dochody</v>
      </c>
      <c r="I1137" s="1">
        <f>ABS(transakcje[[#This Row],[kwota]])</f>
        <v>425.178</v>
      </c>
    </row>
    <row r="1138" spans="1:9" x14ac:dyDescent="0.3">
      <c r="A1138">
        <v>1137</v>
      </c>
      <c r="B1138">
        <v>2014</v>
      </c>
      <c r="C1138">
        <v>5</v>
      </c>
      <c r="D1138">
        <v>30</v>
      </c>
      <c r="E1138" s="1">
        <v>-9.5560000000000009</v>
      </c>
      <c r="F1138" t="s">
        <v>26</v>
      </c>
      <c r="G1138" t="str">
        <f>_xlfn.XLOOKUP(transakcje[[#This Row],[podkategoria]],parametr[podkategoria],parametr[kategoria])</f>
        <v>życie</v>
      </c>
      <c r="H1138" t="str">
        <f>_xlfn.XLOOKUP(transakcje[[#This Row],[kategoria]],parametr[kategoria],parametr[typ])</f>
        <v>wydatki</v>
      </c>
      <c r="I1138" s="1">
        <f>ABS(transakcje[[#This Row],[kwota]])</f>
        <v>9.5560000000000009</v>
      </c>
    </row>
    <row r="1139" spans="1:9" x14ac:dyDescent="0.3">
      <c r="A1139">
        <v>1138</v>
      </c>
      <c r="B1139">
        <v>2014</v>
      </c>
      <c r="C1139">
        <v>5</v>
      </c>
      <c r="D1139">
        <v>31</v>
      </c>
      <c r="E1139" s="1">
        <v>2E-3</v>
      </c>
      <c r="F1139" t="s">
        <v>17</v>
      </c>
      <c r="G1139" t="str">
        <f>_xlfn.XLOOKUP(transakcje[[#This Row],[podkategoria]],parametr[podkategoria],parametr[kategoria])</f>
        <v>dochody pozostałe</v>
      </c>
      <c r="H1139" t="str">
        <f>_xlfn.XLOOKUP(transakcje[[#This Row],[kategoria]],parametr[kategoria],parametr[typ])</f>
        <v>dochody</v>
      </c>
      <c r="I1139" s="1">
        <f>ABS(transakcje[[#This Row],[kwota]])</f>
        <v>2E-3</v>
      </c>
    </row>
    <row r="1140" spans="1:9" x14ac:dyDescent="0.3">
      <c r="A1140">
        <v>1139</v>
      </c>
      <c r="B1140">
        <v>2014</v>
      </c>
      <c r="C1140">
        <v>5</v>
      </c>
      <c r="D1140">
        <v>31</v>
      </c>
      <c r="E1140" s="1">
        <v>-1.198</v>
      </c>
      <c r="F1140" t="s">
        <v>14</v>
      </c>
      <c r="G1140" t="str">
        <f>_xlfn.XLOOKUP(transakcje[[#This Row],[podkategoria]],parametr[podkategoria],parametr[kategoria])</f>
        <v>opłaty stałe</v>
      </c>
      <c r="H1140" t="str">
        <f>_xlfn.XLOOKUP(transakcje[[#This Row],[kategoria]],parametr[kategoria],parametr[typ])</f>
        <v>wydatki</v>
      </c>
      <c r="I1140" s="1">
        <f>ABS(transakcje[[#This Row],[kwota]])</f>
        <v>1.198</v>
      </c>
    </row>
    <row r="1141" spans="1:9" x14ac:dyDescent="0.3">
      <c r="A1141">
        <v>1140</v>
      </c>
      <c r="B1141">
        <v>2014</v>
      </c>
      <c r="C1141">
        <v>5</v>
      </c>
      <c r="D1141">
        <v>31</v>
      </c>
      <c r="E1141" s="1">
        <v>-0.7</v>
      </c>
      <c r="F1141" t="s">
        <v>14</v>
      </c>
      <c r="G1141" t="str">
        <f>_xlfn.XLOOKUP(transakcje[[#This Row],[podkategoria]],parametr[podkategoria],parametr[kategoria])</f>
        <v>opłaty stałe</v>
      </c>
      <c r="H1141" t="str">
        <f>_xlfn.XLOOKUP(transakcje[[#This Row],[kategoria]],parametr[kategoria],parametr[typ])</f>
        <v>wydatki</v>
      </c>
      <c r="I1141" s="1">
        <f>ABS(transakcje[[#This Row],[kwota]])</f>
        <v>0.7</v>
      </c>
    </row>
    <row r="1142" spans="1:9" x14ac:dyDescent="0.3">
      <c r="A1142">
        <v>1141</v>
      </c>
      <c r="B1142">
        <v>2014</v>
      </c>
      <c r="C1142">
        <v>5</v>
      </c>
      <c r="D1142">
        <v>31</v>
      </c>
      <c r="E1142" s="1">
        <v>-2E-3</v>
      </c>
      <c r="F1142" t="s">
        <v>14</v>
      </c>
      <c r="G1142" t="str">
        <f>_xlfn.XLOOKUP(transakcje[[#This Row],[podkategoria]],parametr[podkategoria],parametr[kategoria])</f>
        <v>opłaty stałe</v>
      </c>
      <c r="H1142" t="str">
        <f>_xlfn.XLOOKUP(transakcje[[#This Row],[kategoria]],parametr[kategoria],parametr[typ])</f>
        <v>wydatki</v>
      </c>
      <c r="I1142" s="1">
        <f>ABS(transakcje[[#This Row],[kwota]])</f>
        <v>2E-3</v>
      </c>
    </row>
    <row r="1143" spans="1:9" x14ac:dyDescent="0.3">
      <c r="A1143">
        <v>1142</v>
      </c>
      <c r="B1143">
        <v>2014</v>
      </c>
      <c r="C1143">
        <v>5</v>
      </c>
      <c r="D1143">
        <v>31</v>
      </c>
      <c r="E1143" s="1">
        <v>-4.8</v>
      </c>
      <c r="F1143" t="s">
        <v>31</v>
      </c>
      <c r="G1143" t="str">
        <f>_xlfn.XLOOKUP(transakcje[[#This Row],[podkategoria]],parametr[podkategoria],parametr[kategoria])</f>
        <v>opłaty stałe</v>
      </c>
      <c r="H1143" t="str">
        <f>_xlfn.XLOOKUP(transakcje[[#This Row],[kategoria]],parametr[kategoria],parametr[typ])</f>
        <v>wydatki</v>
      </c>
      <c r="I1143" s="1">
        <f>ABS(transakcje[[#This Row],[kwota]])</f>
        <v>4.8</v>
      </c>
    </row>
    <row r="1144" spans="1:9" x14ac:dyDescent="0.3">
      <c r="A1144">
        <v>1143</v>
      </c>
      <c r="B1144">
        <v>2014</v>
      </c>
      <c r="C1144">
        <v>6</v>
      </c>
      <c r="D1144">
        <v>1</v>
      </c>
      <c r="E1144" s="1">
        <v>-8.98</v>
      </c>
      <c r="F1144" t="s">
        <v>25</v>
      </c>
      <c r="G1144" t="str">
        <f>_xlfn.XLOOKUP(transakcje[[#This Row],[podkategoria]],parametr[podkategoria],parametr[kategoria])</f>
        <v>opłaty stałe</v>
      </c>
      <c r="H1144" t="str">
        <f>_xlfn.XLOOKUP(transakcje[[#This Row],[kategoria]],parametr[kategoria],parametr[typ])</f>
        <v>wydatki</v>
      </c>
      <c r="I1144" s="1">
        <f>ABS(transakcje[[#This Row],[kwota]])</f>
        <v>8.98</v>
      </c>
    </row>
    <row r="1145" spans="1:9" x14ac:dyDescent="0.3">
      <c r="A1145">
        <v>1144</v>
      </c>
      <c r="B1145">
        <v>2014</v>
      </c>
      <c r="C1145">
        <v>6</v>
      </c>
      <c r="D1145">
        <v>1</v>
      </c>
      <c r="E1145" s="1">
        <v>-56.834000000000003</v>
      </c>
      <c r="F1145" t="s">
        <v>31</v>
      </c>
      <c r="G1145" t="str">
        <f>_xlfn.XLOOKUP(transakcje[[#This Row],[podkategoria]],parametr[podkategoria],parametr[kategoria])</f>
        <v>opłaty stałe</v>
      </c>
      <c r="H1145" t="str">
        <f>_xlfn.XLOOKUP(transakcje[[#This Row],[kategoria]],parametr[kategoria],parametr[typ])</f>
        <v>wydatki</v>
      </c>
      <c r="I1145" s="1">
        <f>ABS(transakcje[[#This Row],[kwota]])</f>
        <v>56.834000000000003</v>
      </c>
    </row>
    <row r="1146" spans="1:9" x14ac:dyDescent="0.3">
      <c r="A1146">
        <v>1145</v>
      </c>
      <c r="B1146">
        <v>2014</v>
      </c>
      <c r="C1146">
        <v>6</v>
      </c>
      <c r="D1146">
        <v>1</v>
      </c>
      <c r="E1146" s="1">
        <v>-9.7200000000000006</v>
      </c>
      <c r="F1146" t="s">
        <v>23</v>
      </c>
      <c r="G1146" t="str">
        <f>_xlfn.XLOOKUP(transakcje[[#This Row],[podkategoria]],parametr[podkategoria],parametr[kategoria])</f>
        <v>opłaty stałe</v>
      </c>
      <c r="H1146" t="str">
        <f>_xlfn.XLOOKUP(transakcje[[#This Row],[kategoria]],parametr[kategoria],parametr[typ])</f>
        <v>wydatki</v>
      </c>
      <c r="I1146" s="1">
        <f>ABS(transakcje[[#This Row],[kwota]])</f>
        <v>9.7200000000000006</v>
      </c>
    </row>
    <row r="1147" spans="1:9" x14ac:dyDescent="0.3">
      <c r="A1147">
        <v>1146</v>
      </c>
      <c r="B1147">
        <v>2014</v>
      </c>
      <c r="C1147">
        <v>6</v>
      </c>
      <c r="D1147">
        <v>5</v>
      </c>
      <c r="E1147" s="1">
        <v>-7.9459999999999997</v>
      </c>
      <c r="F1147" t="s">
        <v>26</v>
      </c>
      <c r="G1147" t="str">
        <f>_xlfn.XLOOKUP(transakcje[[#This Row],[podkategoria]],parametr[podkategoria],parametr[kategoria])</f>
        <v>życie</v>
      </c>
      <c r="H1147" t="str">
        <f>_xlfn.XLOOKUP(transakcje[[#This Row],[kategoria]],parametr[kategoria],parametr[typ])</f>
        <v>wydatki</v>
      </c>
      <c r="I1147" s="1">
        <f>ABS(transakcje[[#This Row],[kwota]])</f>
        <v>7.9459999999999997</v>
      </c>
    </row>
    <row r="1148" spans="1:9" x14ac:dyDescent="0.3">
      <c r="A1148">
        <v>1147</v>
      </c>
      <c r="B1148">
        <v>2014</v>
      </c>
      <c r="C1148">
        <v>6</v>
      </c>
      <c r="D1148">
        <v>9</v>
      </c>
      <c r="E1148" s="1">
        <v>-1.6719999999999999</v>
      </c>
      <c r="F1148" t="s">
        <v>26</v>
      </c>
      <c r="G1148" t="str">
        <f>_xlfn.XLOOKUP(transakcje[[#This Row],[podkategoria]],parametr[podkategoria],parametr[kategoria])</f>
        <v>życie</v>
      </c>
      <c r="H1148" t="str">
        <f>_xlfn.XLOOKUP(transakcje[[#This Row],[kategoria]],parametr[kategoria],parametr[typ])</f>
        <v>wydatki</v>
      </c>
      <c r="I1148" s="1">
        <f>ABS(transakcje[[#This Row],[kwota]])</f>
        <v>1.6719999999999999</v>
      </c>
    </row>
    <row r="1149" spans="1:9" x14ac:dyDescent="0.3">
      <c r="A1149">
        <v>1148</v>
      </c>
      <c r="B1149">
        <v>2014</v>
      </c>
      <c r="C1149">
        <v>6</v>
      </c>
      <c r="D1149">
        <v>11</v>
      </c>
      <c r="E1149" s="1">
        <v>-7.9560000000000004</v>
      </c>
      <c r="F1149" t="s">
        <v>26</v>
      </c>
      <c r="G1149" t="str">
        <f>_xlfn.XLOOKUP(transakcje[[#This Row],[podkategoria]],parametr[podkategoria],parametr[kategoria])</f>
        <v>życie</v>
      </c>
      <c r="H1149" t="str">
        <f>_xlfn.XLOOKUP(transakcje[[#This Row],[kategoria]],parametr[kategoria],parametr[typ])</f>
        <v>wydatki</v>
      </c>
      <c r="I1149" s="1">
        <f>ABS(transakcje[[#This Row],[kwota]])</f>
        <v>7.9560000000000004</v>
      </c>
    </row>
    <row r="1150" spans="1:9" x14ac:dyDescent="0.3">
      <c r="A1150">
        <v>1149</v>
      </c>
      <c r="B1150">
        <v>2014</v>
      </c>
      <c r="C1150">
        <v>6</v>
      </c>
      <c r="D1150">
        <v>11</v>
      </c>
      <c r="E1150" s="1">
        <v>-4.3259999999999996</v>
      </c>
      <c r="F1150" t="s">
        <v>26</v>
      </c>
      <c r="G1150" t="str">
        <f>_xlfn.XLOOKUP(transakcje[[#This Row],[podkategoria]],parametr[podkategoria],parametr[kategoria])</f>
        <v>życie</v>
      </c>
      <c r="H1150" t="str">
        <f>_xlfn.XLOOKUP(transakcje[[#This Row],[kategoria]],parametr[kategoria],parametr[typ])</f>
        <v>wydatki</v>
      </c>
      <c r="I1150" s="1">
        <f>ABS(transakcje[[#This Row],[kwota]])</f>
        <v>4.3259999999999996</v>
      </c>
    </row>
    <row r="1151" spans="1:9" x14ac:dyDescent="0.3">
      <c r="A1151">
        <v>1150</v>
      </c>
      <c r="B1151">
        <v>2014</v>
      </c>
      <c r="C1151">
        <v>6</v>
      </c>
      <c r="D1151">
        <v>13</v>
      </c>
      <c r="E1151" s="1">
        <v>-0.39800000000000002</v>
      </c>
      <c r="F1151" t="s">
        <v>14</v>
      </c>
      <c r="G1151" t="str">
        <f>_xlfn.XLOOKUP(transakcje[[#This Row],[podkategoria]],parametr[podkategoria],parametr[kategoria])</f>
        <v>opłaty stałe</v>
      </c>
      <c r="H1151" t="str">
        <f>_xlfn.XLOOKUP(transakcje[[#This Row],[kategoria]],parametr[kategoria],parametr[typ])</f>
        <v>wydatki</v>
      </c>
      <c r="I1151" s="1">
        <f>ABS(transakcje[[#This Row],[kwota]])</f>
        <v>0.39800000000000002</v>
      </c>
    </row>
    <row r="1152" spans="1:9" x14ac:dyDescent="0.3">
      <c r="A1152">
        <v>1151</v>
      </c>
      <c r="B1152">
        <v>2014</v>
      </c>
      <c r="C1152">
        <v>6</v>
      </c>
      <c r="D1152">
        <v>13</v>
      </c>
      <c r="E1152" s="1">
        <v>-6.6639999999999997</v>
      </c>
      <c r="F1152" t="s">
        <v>26</v>
      </c>
      <c r="G1152" t="str">
        <f>_xlfn.XLOOKUP(transakcje[[#This Row],[podkategoria]],parametr[podkategoria],parametr[kategoria])</f>
        <v>życie</v>
      </c>
      <c r="H1152" t="str">
        <f>_xlfn.XLOOKUP(transakcje[[#This Row],[kategoria]],parametr[kategoria],parametr[typ])</f>
        <v>wydatki</v>
      </c>
      <c r="I1152" s="1">
        <f>ABS(transakcje[[#This Row],[kwota]])</f>
        <v>6.6639999999999997</v>
      </c>
    </row>
    <row r="1153" spans="1:9" x14ac:dyDescent="0.3">
      <c r="A1153">
        <v>1152</v>
      </c>
      <c r="B1153">
        <v>2014</v>
      </c>
      <c r="C1153">
        <v>6</v>
      </c>
      <c r="D1153">
        <v>13</v>
      </c>
      <c r="E1153" s="1">
        <v>-2.7640000000000002</v>
      </c>
      <c r="F1153" t="s">
        <v>26</v>
      </c>
      <c r="G1153" t="str">
        <f>_xlfn.XLOOKUP(transakcje[[#This Row],[podkategoria]],parametr[podkategoria],parametr[kategoria])</f>
        <v>życie</v>
      </c>
      <c r="H1153" t="str">
        <f>_xlfn.XLOOKUP(transakcje[[#This Row],[kategoria]],parametr[kategoria],parametr[typ])</f>
        <v>wydatki</v>
      </c>
      <c r="I1153" s="1">
        <f>ABS(transakcje[[#This Row],[kwota]])</f>
        <v>2.7640000000000002</v>
      </c>
    </row>
    <row r="1154" spans="1:9" x14ac:dyDescent="0.3">
      <c r="A1154">
        <v>1153</v>
      </c>
      <c r="B1154">
        <v>2014</v>
      </c>
      <c r="C1154">
        <v>6</v>
      </c>
      <c r="D1154">
        <v>14</v>
      </c>
      <c r="E1154" s="1">
        <v>-1.98</v>
      </c>
      <c r="F1154" t="s">
        <v>11</v>
      </c>
      <c r="G1154" t="str">
        <f>_xlfn.XLOOKUP(transakcje[[#This Row],[podkategoria]],parametr[podkategoria],parametr[kategoria])</f>
        <v>wydatki inne</v>
      </c>
      <c r="H1154" t="str">
        <f>_xlfn.XLOOKUP(transakcje[[#This Row],[kategoria]],parametr[kategoria],parametr[typ])</f>
        <v>wydatki</v>
      </c>
      <c r="I1154" s="1">
        <f>ABS(transakcje[[#This Row],[kwota]])</f>
        <v>1.98</v>
      </c>
    </row>
    <row r="1155" spans="1:9" x14ac:dyDescent="0.3">
      <c r="A1155">
        <v>1154</v>
      </c>
      <c r="B1155">
        <v>2014</v>
      </c>
      <c r="C1155">
        <v>6</v>
      </c>
      <c r="D1155">
        <v>16</v>
      </c>
      <c r="E1155" s="1">
        <v>-0.8</v>
      </c>
      <c r="F1155" t="s">
        <v>14</v>
      </c>
      <c r="G1155" t="str">
        <f>_xlfn.XLOOKUP(transakcje[[#This Row],[podkategoria]],parametr[podkategoria],parametr[kategoria])</f>
        <v>opłaty stałe</v>
      </c>
      <c r="H1155" t="str">
        <f>_xlfn.XLOOKUP(transakcje[[#This Row],[kategoria]],parametr[kategoria],parametr[typ])</f>
        <v>wydatki</v>
      </c>
      <c r="I1155" s="1">
        <f>ABS(transakcje[[#This Row],[kwota]])</f>
        <v>0.8</v>
      </c>
    </row>
    <row r="1156" spans="1:9" x14ac:dyDescent="0.3">
      <c r="A1156">
        <v>1155</v>
      </c>
      <c r="B1156">
        <v>2014</v>
      </c>
      <c r="C1156">
        <v>6</v>
      </c>
      <c r="D1156">
        <v>20</v>
      </c>
      <c r="E1156" s="1">
        <v>-31.026</v>
      </c>
      <c r="F1156" t="s">
        <v>26</v>
      </c>
      <c r="G1156" t="str">
        <f>_xlfn.XLOOKUP(transakcje[[#This Row],[podkategoria]],parametr[podkategoria],parametr[kategoria])</f>
        <v>życie</v>
      </c>
      <c r="H1156" t="str">
        <f>_xlfn.XLOOKUP(transakcje[[#This Row],[kategoria]],parametr[kategoria],parametr[typ])</f>
        <v>wydatki</v>
      </c>
      <c r="I1156" s="1">
        <f>ABS(transakcje[[#This Row],[kwota]])</f>
        <v>31.026</v>
      </c>
    </row>
    <row r="1157" spans="1:9" x14ac:dyDescent="0.3">
      <c r="A1157">
        <v>1156</v>
      </c>
      <c r="B1157">
        <v>2014</v>
      </c>
      <c r="C1157">
        <v>6</v>
      </c>
      <c r="D1157">
        <v>21</v>
      </c>
      <c r="E1157" s="1">
        <v>-15.772</v>
      </c>
      <c r="F1157" t="s">
        <v>26</v>
      </c>
      <c r="G1157" t="str">
        <f>_xlfn.XLOOKUP(transakcje[[#This Row],[podkategoria]],parametr[podkategoria],parametr[kategoria])</f>
        <v>życie</v>
      </c>
      <c r="H1157" t="str">
        <f>_xlfn.XLOOKUP(transakcje[[#This Row],[kategoria]],parametr[kategoria],parametr[typ])</f>
        <v>wydatki</v>
      </c>
      <c r="I1157" s="1">
        <f>ABS(transakcje[[#This Row],[kwota]])</f>
        <v>15.772</v>
      </c>
    </row>
    <row r="1158" spans="1:9" x14ac:dyDescent="0.3">
      <c r="A1158">
        <v>1157</v>
      </c>
      <c r="B1158">
        <v>2014</v>
      </c>
      <c r="C1158">
        <v>6</v>
      </c>
      <c r="D1158">
        <v>24</v>
      </c>
      <c r="E1158" s="1">
        <v>-21.4</v>
      </c>
      <c r="F1158" t="s">
        <v>32</v>
      </c>
      <c r="G1158" t="str">
        <f>_xlfn.XLOOKUP(transakcje[[#This Row],[podkategoria]],parametr[podkategoria],parametr[kategoria])</f>
        <v>opłaty stałe</v>
      </c>
      <c r="H1158" t="str">
        <f>_xlfn.XLOOKUP(transakcje[[#This Row],[kategoria]],parametr[kategoria],parametr[typ])</f>
        <v>wydatki</v>
      </c>
      <c r="I1158" s="1">
        <f>ABS(transakcje[[#This Row],[kwota]])</f>
        <v>21.4</v>
      </c>
    </row>
    <row r="1159" spans="1:9" x14ac:dyDescent="0.3">
      <c r="A1159">
        <v>1158</v>
      </c>
      <c r="B1159">
        <v>2014</v>
      </c>
      <c r="C1159">
        <v>6</v>
      </c>
      <c r="D1159">
        <v>25</v>
      </c>
      <c r="E1159" s="1">
        <v>425.178</v>
      </c>
      <c r="F1159" t="s">
        <v>8</v>
      </c>
      <c r="G1159" t="str">
        <f>_xlfn.XLOOKUP(transakcje[[#This Row],[podkategoria]],parametr[podkategoria],parametr[kategoria])</f>
        <v>dochody z pracy</v>
      </c>
      <c r="H1159" t="str">
        <f>_xlfn.XLOOKUP(transakcje[[#This Row],[kategoria]],parametr[kategoria],parametr[typ])</f>
        <v>dochody</v>
      </c>
      <c r="I1159" s="1">
        <f>ABS(transakcje[[#This Row],[kwota]])</f>
        <v>425.178</v>
      </c>
    </row>
    <row r="1160" spans="1:9" x14ac:dyDescent="0.3">
      <c r="A1160">
        <v>1159</v>
      </c>
      <c r="B1160">
        <v>2014</v>
      </c>
      <c r="C1160">
        <v>6</v>
      </c>
      <c r="D1160">
        <v>25</v>
      </c>
      <c r="E1160" s="1">
        <v>-0.65400000000000003</v>
      </c>
      <c r="F1160" t="s">
        <v>26</v>
      </c>
      <c r="G1160" t="str">
        <f>_xlfn.XLOOKUP(transakcje[[#This Row],[podkategoria]],parametr[podkategoria],parametr[kategoria])</f>
        <v>życie</v>
      </c>
      <c r="H1160" t="str">
        <f>_xlfn.XLOOKUP(transakcje[[#This Row],[kategoria]],parametr[kategoria],parametr[typ])</f>
        <v>wydatki</v>
      </c>
      <c r="I1160" s="1">
        <f>ABS(transakcje[[#This Row],[kwota]])</f>
        <v>0.65400000000000003</v>
      </c>
    </row>
    <row r="1161" spans="1:9" x14ac:dyDescent="0.3">
      <c r="A1161">
        <v>1160</v>
      </c>
      <c r="B1161">
        <v>2014</v>
      </c>
      <c r="C1161">
        <v>6</v>
      </c>
      <c r="D1161">
        <v>26</v>
      </c>
      <c r="E1161" s="1">
        <v>-5.13</v>
      </c>
      <c r="F1161" t="s">
        <v>26</v>
      </c>
      <c r="G1161" t="str">
        <f>_xlfn.XLOOKUP(transakcje[[#This Row],[podkategoria]],parametr[podkategoria],parametr[kategoria])</f>
        <v>życie</v>
      </c>
      <c r="H1161" t="str">
        <f>_xlfn.XLOOKUP(transakcje[[#This Row],[kategoria]],parametr[kategoria],parametr[typ])</f>
        <v>wydatki</v>
      </c>
      <c r="I1161" s="1">
        <f>ABS(transakcje[[#This Row],[kwota]])</f>
        <v>5.13</v>
      </c>
    </row>
    <row r="1162" spans="1:9" x14ac:dyDescent="0.3">
      <c r="A1162">
        <v>1161</v>
      </c>
      <c r="B1162">
        <v>2014</v>
      </c>
      <c r="C1162">
        <v>6</v>
      </c>
      <c r="D1162">
        <v>27</v>
      </c>
      <c r="E1162" s="1">
        <v>-2.8479999999999999</v>
      </c>
      <c r="F1162" t="s">
        <v>26</v>
      </c>
      <c r="G1162" t="str">
        <f>_xlfn.XLOOKUP(transakcje[[#This Row],[podkategoria]],parametr[podkategoria],parametr[kategoria])</f>
        <v>życie</v>
      </c>
      <c r="H1162" t="str">
        <f>_xlfn.XLOOKUP(transakcje[[#This Row],[kategoria]],parametr[kategoria],parametr[typ])</f>
        <v>wydatki</v>
      </c>
      <c r="I1162" s="1">
        <f>ABS(transakcje[[#This Row],[kwota]])</f>
        <v>2.8479999999999999</v>
      </c>
    </row>
    <row r="1163" spans="1:9" x14ac:dyDescent="0.3">
      <c r="A1163">
        <v>1162</v>
      </c>
      <c r="B1163">
        <v>2014</v>
      </c>
      <c r="C1163">
        <v>6</v>
      </c>
      <c r="D1163">
        <v>30</v>
      </c>
      <c r="E1163" s="1">
        <v>4.0000000000000001E-3</v>
      </c>
      <c r="F1163" t="s">
        <v>17</v>
      </c>
      <c r="G1163" t="str">
        <f>_xlfn.XLOOKUP(transakcje[[#This Row],[podkategoria]],parametr[podkategoria],parametr[kategoria])</f>
        <v>dochody pozostałe</v>
      </c>
      <c r="H1163" t="str">
        <f>_xlfn.XLOOKUP(transakcje[[#This Row],[kategoria]],parametr[kategoria],parametr[typ])</f>
        <v>dochody</v>
      </c>
      <c r="I1163" s="1">
        <f>ABS(transakcje[[#This Row],[kwota]])</f>
        <v>4.0000000000000001E-3</v>
      </c>
    </row>
    <row r="1164" spans="1:9" x14ac:dyDescent="0.3">
      <c r="A1164">
        <v>1163</v>
      </c>
      <c r="B1164">
        <v>2014</v>
      </c>
      <c r="C1164">
        <v>6</v>
      </c>
      <c r="D1164">
        <v>30</v>
      </c>
      <c r="E1164" s="1">
        <v>-1.198</v>
      </c>
      <c r="F1164" t="s">
        <v>14</v>
      </c>
      <c r="G1164" t="str">
        <f>_xlfn.XLOOKUP(transakcje[[#This Row],[podkategoria]],parametr[podkategoria],parametr[kategoria])</f>
        <v>opłaty stałe</v>
      </c>
      <c r="H1164" t="str">
        <f>_xlfn.XLOOKUP(transakcje[[#This Row],[kategoria]],parametr[kategoria],parametr[typ])</f>
        <v>wydatki</v>
      </c>
      <c r="I1164" s="1">
        <f>ABS(transakcje[[#This Row],[kwota]])</f>
        <v>1.198</v>
      </c>
    </row>
    <row r="1165" spans="1:9" x14ac:dyDescent="0.3">
      <c r="A1165">
        <v>1164</v>
      </c>
      <c r="B1165">
        <v>2014</v>
      </c>
      <c r="C1165">
        <v>6</v>
      </c>
      <c r="D1165">
        <v>30</v>
      </c>
      <c r="E1165" s="1">
        <v>-0.5</v>
      </c>
      <c r="F1165" t="s">
        <v>14</v>
      </c>
      <c r="G1165" t="str">
        <f>_xlfn.XLOOKUP(transakcje[[#This Row],[podkategoria]],parametr[podkategoria],parametr[kategoria])</f>
        <v>opłaty stałe</v>
      </c>
      <c r="H1165" t="str">
        <f>_xlfn.XLOOKUP(transakcje[[#This Row],[kategoria]],parametr[kategoria],parametr[typ])</f>
        <v>wydatki</v>
      </c>
      <c r="I1165" s="1">
        <f>ABS(transakcje[[#This Row],[kwota]])</f>
        <v>0.5</v>
      </c>
    </row>
    <row r="1166" spans="1:9" x14ac:dyDescent="0.3">
      <c r="A1166">
        <v>1165</v>
      </c>
      <c r="B1166">
        <v>2014</v>
      </c>
      <c r="C1166">
        <v>6</v>
      </c>
      <c r="D1166">
        <v>30</v>
      </c>
      <c r="E1166" s="1">
        <v>-2E-3</v>
      </c>
      <c r="F1166" t="s">
        <v>14</v>
      </c>
      <c r="G1166" t="str">
        <f>_xlfn.XLOOKUP(transakcje[[#This Row],[podkategoria]],parametr[podkategoria],parametr[kategoria])</f>
        <v>opłaty stałe</v>
      </c>
      <c r="H1166" t="str">
        <f>_xlfn.XLOOKUP(transakcje[[#This Row],[kategoria]],parametr[kategoria],parametr[typ])</f>
        <v>wydatki</v>
      </c>
      <c r="I1166" s="1">
        <f>ABS(transakcje[[#This Row],[kwota]])</f>
        <v>2E-3</v>
      </c>
    </row>
    <row r="1167" spans="1:9" x14ac:dyDescent="0.3">
      <c r="A1167">
        <v>1166</v>
      </c>
      <c r="B1167">
        <v>2014</v>
      </c>
      <c r="C1167">
        <v>7</v>
      </c>
      <c r="D1167">
        <v>1</v>
      </c>
      <c r="E1167" s="1">
        <v>-40</v>
      </c>
      <c r="F1167" t="s">
        <v>26</v>
      </c>
      <c r="G1167" t="str">
        <f>_xlfn.XLOOKUP(transakcje[[#This Row],[podkategoria]],parametr[podkategoria],parametr[kategoria])</f>
        <v>życie</v>
      </c>
      <c r="H1167" t="str">
        <f>_xlfn.XLOOKUP(transakcje[[#This Row],[kategoria]],parametr[kategoria],parametr[typ])</f>
        <v>wydatki</v>
      </c>
      <c r="I1167" s="1">
        <f>ABS(transakcje[[#This Row],[kwota]])</f>
        <v>40</v>
      </c>
    </row>
    <row r="1168" spans="1:9" x14ac:dyDescent="0.3">
      <c r="A1168">
        <v>1167</v>
      </c>
      <c r="B1168">
        <v>2014</v>
      </c>
      <c r="C1168">
        <v>7</v>
      </c>
      <c r="D1168">
        <v>1</v>
      </c>
      <c r="E1168" s="1">
        <v>-8.98</v>
      </c>
      <c r="F1168" t="s">
        <v>25</v>
      </c>
      <c r="G1168" t="str">
        <f>_xlfn.XLOOKUP(transakcje[[#This Row],[podkategoria]],parametr[podkategoria],parametr[kategoria])</f>
        <v>opłaty stałe</v>
      </c>
      <c r="H1168" t="str">
        <f>_xlfn.XLOOKUP(transakcje[[#This Row],[kategoria]],parametr[kategoria],parametr[typ])</f>
        <v>wydatki</v>
      </c>
      <c r="I1168" s="1">
        <f>ABS(transakcje[[#This Row],[kwota]])</f>
        <v>8.98</v>
      </c>
    </row>
    <row r="1169" spans="1:9" x14ac:dyDescent="0.3">
      <c r="A1169">
        <v>1168</v>
      </c>
      <c r="B1169">
        <v>2014</v>
      </c>
      <c r="C1169">
        <v>7</v>
      </c>
      <c r="D1169">
        <v>1</v>
      </c>
      <c r="E1169" s="1">
        <v>-56.834000000000003</v>
      </c>
      <c r="F1169" t="s">
        <v>31</v>
      </c>
      <c r="G1169" t="str">
        <f>_xlfn.XLOOKUP(transakcje[[#This Row],[podkategoria]],parametr[podkategoria],parametr[kategoria])</f>
        <v>opłaty stałe</v>
      </c>
      <c r="H1169" t="str">
        <f>_xlfn.XLOOKUP(transakcje[[#This Row],[kategoria]],parametr[kategoria],parametr[typ])</f>
        <v>wydatki</v>
      </c>
      <c r="I1169" s="1">
        <f>ABS(transakcje[[#This Row],[kwota]])</f>
        <v>56.834000000000003</v>
      </c>
    </row>
    <row r="1170" spans="1:9" x14ac:dyDescent="0.3">
      <c r="A1170">
        <v>1169</v>
      </c>
      <c r="B1170">
        <v>2014</v>
      </c>
      <c r="C1170">
        <v>7</v>
      </c>
      <c r="D1170">
        <v>1</v>
      </c>
      <c r="E1170" s="1">
        <v>-8.1920000000000002</v>
      </c>
      <c r="F1170" t="s">
        <v>35</v>
      </c>
      <c r="G1170" t="str">
        <f>_xlfn.XLOOKUP(transakcje[[#This Row],[podkategoria]],parametr[podkategoria],parametr[kategoria])</f>
        <v>opłaty stałe</v>
      </c>
      <c r="H1170" t="str">
        <f>_xlfn.XLOOKUP(transakcje[[#This Row],[kategoria]],parametr[kategoria],parametr[typ])</f>
        <v>wydatki</v>
      </c>
      <c r="I1170" s="1">
        <f>ABS(transakcje[[#This Row],[kwota]])</f>
        <v>8.1920000000000002</v>
      </c>
    </row>
    <row r="1171" spans="1:9" x14ac:dyDescent="0.3">
      <c r="A1171">
        <v>1170</v>
      </c>
      <c r="B1171">
        <v>2014</v>
      </c>
      <c r="C1171">
        <v>7</v>
      </c>
      <c r="D1171">
        <v>1</v>
      </c>
      <c r="E1171" s="1">
        <v>-9.7200000000000006</v>
      </c>
      <c r="F1171" t="s">
        <v>23</v>
      </c>
      <c r="G1171" t="str">
        <f>_xlfn.XLOOKUP(transakcje[[#This Row],[podkategoria]],parametr[podkategoria],parametr[kategoria])</f>
        <v>opłaty stałe</v>
      </c>
      <c r="H1171" t="str">
        <f>_xlfn.XLOOKUP(transakcje[[#This Row],[kategoria]],parametr[kategoria],parametr[typ])</f>
        <v>wydatki</v>
      </c>
      <c r="I1171" s="1">
        <f>ABS(transakcje[[#This Row],[kwota]])</f>
        <v>9.7200000000000006</v>
      </c>
    </row>
    <row r="1172" spans="1:9" x14ac:dyDescent="0.3">
      <c r="A1172">
        <v>1171</v>
      </c>
      <c r="B1172">
        <v>2014</v>
      </c>
      <c r="C1172">
        <v>7</v>
      </c>
      <c r="D1172">
        <v>1</v>
      </c>
      <c r="E1172" s="1">
        <v>-14.180000000000001</v>
      </c>
      <c r="F1172" t="s">
        <v>34</v>
      </c>
      <c r="G1172" t="str">
        <f>_xlfn.XLOOKUP(transakcje[[#This Row],[podkategoria]],parametr[podkategoria],parametr[kategoria])</f>
        <v>opłaty stałe</v>
      </c>
      <c r="H1172" t="str">
        <f>_xlfn.XLOOKUP(transakcje[[#This Row],[kategoria]],parametr[kategoria],parametr[typ])</f>
        <v>wydatki</v>
      </c>
      <c r="I1172" s="1">
        <f>ABS(transakcje[[#This Row],[kwota]])</f>
        <v>14.180000000000001</v>
      </c>
    </row>
    <row r="1173" spans="1:9" x14ac:dyDescent="0.3">
      <c r="A1173">
        <v>1172</v>
      </c>
      <c r="B1173">
        <v>2014</v>
      </c>
      <c r="C1173">
        <v>7</v>
      </c>
      <c r="D1173">
        <v>3</v>
      </c>
      <c r="E1173" s="1">
        <v>-11.8</v>
      </c>
      <c r="F1173" t="s">
        <v>26</v>
      </c>
      <c r="G1173" t="str">
        <f>_xlfn.XLOOKUP(transakcje[[#This Row],[podkategoria]],parametr[podkategoria],parametr[kategoria])</f>
        <v>życie</v>
      </c>
      <c r="H1173" t="str">
        <f>_xlfn.XLOOKUP(transakcje[[#This Row],[kategoria]],parametr[kategoria],parametr[typ])</f>
        <v>wydatki</v>
      </c>
      <c r="I1173" s="1">
        <f>ABS(transakcje[[#This Row],[kwota]])</f>
        <v>11.8</v>
      </c>
    </row>
    <row r="1174" spans="1:9" x14ac:dyDescent="0.3">
      <c r="A1174">
        <v>1173</v>
      </c>
      <c r="B1174">
        <v>2014</v>
      </c>
      <c r="C1174">
        <v>7</v>
      </c>
      <c r="D1174">
        <v>4</v>
      </c>
      <c r="E1174" s="1">
        <v>-6.3780000000000001</v>
      </c>
      <c r="F1174" t="s">
        <v>26</v>
      </c>
      <c r="G1174" t="str">
        <f>_xlfn.XLOOKUP(transakcje[[#This Row],[podkategoria]],parametr[podkategoria],parametr[kategoria])</f>
        <v>życie</v>
      </c>
      <c r="H1174" t="str">
        <f>_xlfn.XLOOKUP(transakcje[[#This Row],[kategoria]],parametr[kategoria],parametr[typ])</f>
        <v>wydatki</v>
      </c>
      <c r="I1174" s="1">
        <f>ABS(transakcje[[#This Row],[kwota]])</f>
        <v>6.3780000000000001</v>
      </c>
    </row>
    <row r="1175" spans="1:9" x14ac:dyDescent="0.3">
      <c r="A1175">
        <v>1174</v>
      </c>
      <c r="B1175">
        <v>2014</v>
      </c>
      <c r="C1175">
        <v>7</v>
      </c>
      <c r="D1175">
        <v>5</v>
      </c>
      <c r="E1175" s="1">
        <v>-72.455999999999989</v>
      </c>
      <c r="F1175" t="s">
        <v>20</v>
      </c>
      <c r="G1175" t="str">
        <f>_xlfn.XLOOKUP(transakcje[[#This Row],[podkategoria]],parametr[podkategoria],parametr[kategoria])</f>
        <v>trwałe</v>
      </c>
      <c r="H1175" t="str">
        <f>_xlfn.XLOOKUP(transakcje[[#This Row],[kategoria]],parametr[kategoria],parametr[typ])</f>
        <v>wydatki</v>
      </c>
      <c r="I1175" s="1">
        <f>ABS(transakcje[[#This Row],[kwota]])</f>
        <v>72.455999999999989</v>
      </c>
    </row>
    <row r="1176" spans="1:9" x14ac:dyDescent="0.3">
      <c r="A1176">
        <v>1175</v>
      </c>
      <c r="B1176">
        <v>2014</v>
      </c>
      <c r="C1176">
        <v>7</v>
      </c>
      <c r="D1176">
        <v>7</v>
      </c>
      <c r="E1176" s="1">
        <v>-32.277999999999999</v>
      </c>
      <c r="F1176" t="s">
        <v>32</v>
      </c>
      <c r="G1176" t="str">
        <f>_xlfn.XLOOKUP(transakcje[[#This Row],[podkategoria]],parametr[podkategoria],parametr[kategoria])</f>
        <v>opłaty stałe</v>
      </c>
      <c r="H1176" t="str">
        <f>_xlfn.XLOOKUP(transakcje[[#This Row],[kategoria]],parametr[kategoria],parametr[typ])</f>
        <v>wydatki</v>
      </c>
      <c r="I1176" s="1">
        <f>ABS(transakcje[[#This Row],[kwota]])</f>
        <v>32.277999999999999</v>
      </c>
    </row>
    <row r="1177" spans="1:9" x14ac:dyDescent="0.3">
      <c r="A1177">
        <v>1176</v>
      </c>
      <c r="B1177">
        <v>2014</v>
      </c>
      <c r="C1177">
        <v>7</v>
      </c>
      <c r="D1177">
        <v>10</v>
      </c>
      <c r="E1177" s="1">
        <v>-0.39800000000000002</v>
      </c>
      <c r="F1177" t="s">
        <v>14</v>
      </c>
      <c r="G1177" t="str">
        <f>_xlfn.XLOOKUP(transakcje[[#This Row],[podkategoria]],parametr[podkategoria],parametr[kategoria])</f>
        <v>opłaty stałe</v>
      </c>
      <c r="H1177" t="str">
        <f>_xlfn.XLOOKUP(transakcje[[#This Row],[kategoria]],parametr[kategoria],parametr[typ])</f>
        <v>wydatki</v>
      </c>
      <c r="I1177" s="1">
        <f>ABS(transakcje[[#This Row],[kwota]])</f>
        <v>0.39800000000000002</v>
      </c>
    </row>
    <row r="1178" spans="1:9" x14ac:dyDescent="0.3">
      <c r="A1178">
        <v>1177</v>
      </c>
      <c r="B1178">
        <v>2014</v>
      </c>
      <c r="C1178">
        <v>7</v>
      </c>
      <c r="D1178">
        <v>10</v>
      </c>
      <c r="E1178" s="1">
        <v>-10.168000000000001</v>
      </c>
      <c r="F1178" t="s">
        <v>26</v>
      </c>
      <c r="G1178" t="str">
        <f>_xlfn.XLOOKUP(transakcje[[#This Row],[podkategoria]],parametr[podkategoria],parametr[kategoria])</f>
        <v>życie</v>
      </c>
      <c r="H1178" t="str">
        <f>_xlfn.XLOOKUP(transakcje[[#This Row],[kategoria]],parametr[kategoria],parametr[typ])</f>
        <v>wydatki</v>
      </c>
      <c r="I1178" s="1">
        <f>ABS(transakcje[[#This Row],[kwota]])</f>
        <v>10.168000000000001</v>
      </c>
    </row>
    <row r="1179" spans="1:9" x14ac:dyDescent="0.3">
      <c r="A1179">
        <v>1178</v>
      </c>
      <c r="B1179">
        <v>2014</v>
      </c>
      <c r="C1179">
        <v>7</v>
      </c>
      <c r="D1179">
        <v>11</v>
      </c>
      <c r="E1179" s="1">
        <v>-55.798000000000002</v>
      </c>
      <c r="F1179" t="s">
        <v>24</v>
      </c>
      <c r="G1179" t="str">
        <f>_xlfn.XLOOKUP(transakcje[[#This Row],[podkategoria]],parametr[podkategoria],parametr[kategoria])</f>
        <v>trwałe</v>
      </c>
      <c r="H1179" t="str">
        <f>_xlfn.XLOOKUP(transakcje[[#This Row],[kategoria]],parametr[kategoria],parametr[typ])</f>
        <v>wydatki</v>
      </c>
      <c r="I1179" s="1">
        <f>ABS(transakcje[[#This Row],[kwota]])</f>
        <v>55.798000000000002</v>
      </c>
    </row>
    <row r="1180" spans="1:9" x14ac:dyDescent="0.3">
      <c r="A1180">
        <v>1179</v>
      </c>
      <c r="B1180">
        <v>2014</v>
      </c>
      <c r="C1180">
        <v>7</v>
      </c>
      <c r="D1180">
        <v>15</v>
      </c>
      <c r="E1180" s="1">
        <v>-5.758</v>
      </c>
      <c r="F1180" t="s">
        <v>26</v>
      </c>
      <c r="G1180" t="str">
        <f>_xlfn.XLOOKUP(transakcje[[#This Row],[podkategoria]],parametr[podkategoria],parametr[kategoria])</f>
        <v>życie</v>
      </c>
      <c r="H1180" t="str">
        <f>_xlfn.XLOOKUP(transakcje[[#This Row],[kategoria]],parametr[kategoria],parametr[typ])</f>
        <v>wydatki</v>
      </c>
      <c r="I1180" s="1">
        <f>ABS(transakcje[[#This Row],[kwota]])</f>
        <v>5.758</v>
      </c>
    </row>
    <row r="1181" spans="1:9" x14ac:dyDescent="0.3">
      <c r="A1181">
        <v>1180</v>
      </c>
      <c r="B1181">
        <v>2014</v>
      </c>
      <c r="C1181">
        <v>7</v>
      </c>
      <c r="D1181">
        <v>16</v>
      </c>
      <c r="E1181" s="1">
        <v>-0.8</v>
      </c>
      <c r="F1181" t="s">
        <v>14</v>
      </c>
      <c r="G1181" t="str">
        <f>_xlfn.XLOOKUP(transakcje[[#This Row],[podkategoria]],parametr[podkategoria],parametr[kategoria])</f>
        <v>opłaty stałe</v>
      </c>
      <c r="H1181" t="str">
        <f>_xlfn.XLOOKUP(transakcje[[#This Row],[kategoria]],parametr[kategoria],parametr[typ])</f>
        <v>wydatki</v>
      </c>
      <c r="I1181" s="1">
        <f>ABS(transakcje[[#This Row],[kwota]])</f>
        <v>0.8</v>
      </c>
    </row>
    <row r="1182" spans="1:9" x14ac:dyDescent="0.3">
      <c r="A1182">
        <v>1181</v>
      </c>
      <c r="B1182">
        <v>2014</v>
      </c>
      <c r="C1182">
        <v>7</v>
      </c>
      <c r="D1182">
        <v>25</v>
      </c>
      <c r="E1182" s="1">
        <v>425.178</v>
      </c>
      <c r="F1182" t="s">
        <v>8</v>
      </c>
      <c r="G1182" t="str">
        <f>_xlfn.XLOOKUP(transakcje[[#This Row],[podkategoria]],parametr[podkategoria],parametr[kategoria])</f>
        <v>dochody z pracy</v>
      </c>
      <c r="H1182" t="str">
        <f>_xlfn.XLOOKUP(transakcje[[#This Row],[kategoria]],parametr[kategoria],parametr[typ])</f>
        <v>dochody</v>
      </c>
      <c r="I1182" s="1">
        <f>ABS(transakcje[[#This Row],[kwota]])</f>
        <v>425.178</v>
      </c>
    </row>
    <row r="1183" spans="1:9" x14ac:dyDescent="0.3">
      <c r="A1183">
        <v>1182</v>
      </c>
      <c r="B1183">
        <v>2014</v>
      </c>
      <c r="C1183">
        <v>7</v>
      </c>
      <c r="D1183">
        <v>29</v>
      </c>
      <c r="E1183" s="1">
        <v>-2</v>
      </c>
      <c r="F1183" t="s">
        <v>26</v>
      </c>
      <c r="G1183" t="str">
        <f>_xlfn.XLOOKUP(transakcje[[#This Row],[podkategoria]],parametr[podkategoria],parametr[kategoria])</f>
        <v>życie</v>
      </c>
      <c r="H1183" t="str">
        <f>_xlfn.XLOOKUP(transakcje[[#This Row],[kategoria]],parametr[kategoria],parametr[typ])</f>
        <v>wydatki</v>
      </c>
      <c r="I1183" s="1">
        <f>ABS(transakcje[[#This Row],[kwota]])</f>
        <v>2</v>
      </c>
    </row>
    <row r="1184" spans="1:9" x14ac:dyDescent="0.3">
      <c r="A1184">
        <v>1183</v>
      </c>
      <c r="B1184">
        <v>2014</v>
      </c>
      <c r="C1184">
        <v>7</v>
      </c>
      <c r="D1184">
        <v>29</v>
      </c>
      <c r="E1184" s="1">
        <v>-3.3840000000000003</v>
      </c>
      <c r="F1184" t="s">
        <v>26</v>
      </c>
      <c r="G1184" t="str">
        <f>_xlfn.XLOOKUP(transakcje[[#This Row],[podkategoria]],parametr[podkategoria],parametr[kategoria])</f>
        <v>życie</v>
      </c>
      <c r="H1184" t="str">
        <f>_xlfn.XLOOKUP(transakcje[[#This Row],[kategoria]],parametr[kategoria],parametr[typ])</f>
        <v>wydatki</v>
      </c>
      <c r="I1184" s="1">
        <f>ABS(transakcje[[#This Row],[kwota]])</f>
        <v>3.3840000000000003</v>
      </c>
    </row>
    <row r="1185" spans="1:9" x14ac:dyDescent="0.3">
      <c r="A1185">
        <v>1184</v>
      </c>
      <c r="B1185">
        <v>2014</v>
      </c>
      <c r="C1185">
        <v>7</v>
      </c>
      <c r="D1185">
        <v>31</v>
      </c>
      <c r="E1185" s="1">
        <v>2E-3</v>
      </c>
      <c r="F1185" t="s">
        <v>17</v>
      </c>
      <c r="G1185" t="str">
        <f>_xlfn.XLOOKUP(transakcje[[#This Row],[podkategoria]],parametr[podkategoria],parametr[kategoria])</f>
        <v>dochody pozostałe</v>
      </c>
      <c r="H1185" t="str">
        <f>_xlfn.XLOOKUP(transakcje[[#This Row],[kategoria]],parametr[kategoria],parametr[typ])</f>
        <v>dochody</v>
      </c>
      <c r="I1185" s="1">
        <f>ABS(transakcje[[#This Row],[kwota]])</f>
        <v>2E-3</v>
      </c>
    </row>
    <row r="1186" spans="1:9" x14ac:dyDescent="0.3">
      <c r="A1186">
        <v>1185</v>
      </c>
      <c r="B1186">
        <v>2014</v>
      </c>
      <c r="C1186">
        <v>7</v>
      </c>
      <c r="D1186">
        <v>31</v>
      </c>
      <c r="E1186" s="1">
        <v>-1.198</v>
      </c>
      <c r="F1186" t="s">
        <v>14</v>
      </c>
      <c r="G1186" t="str">
        <f>_xlfn.XLOOKUP(transakcje[[#This Row],[podkategoria]],parametr[podkategoria],parametr[kategoria])</f>
        <v>opłaty stałe</v>
      </c>
      <c r="H1186" t="str">
        <f>_xlfn.XLOOKUP(transakcje[[#This Row],[kategoria]],parametr[kategoria],parametr[typ])</f>
        <v>wydatki</v>
      </c>
      <c r="I1186" s="1">
        <f>ABS(transakcje[[#This Row],[kwota]])</f>
        <v>1.198</v>
      </c>
    </row>
    <row r="1187" spans="1:9" x14ac:dyDescent="0.3">
      <c r="A1187">
        <v>1186</v>
      </c>
      <c r="B1187">
        <v>2014</v>
      </c>
      <c r="C1187">
        <v>7</v>
      </c>
      <c r="D1187">
        <v>31</v>
      </c>
      <c r="E1187" s="1">
        <v>-2E-3</v>
      </c>
      <c r="F1187" t="s">
        <v>14</v>
      </c>
      <c r="G1187" t="str">
        <f>_xlfn.XLOOKUP(transakcje[[#This Row],[podkategoria]],parametr[podkategoria],parametr[kategoria])</f>
        <v>opłaty stałe</v>
      </c>
      <c r="H1187" t="str">
        <f>_xlfn.XLOOKUP(transakcje[[#This Row],[kategoria]],parametr[kategoria],parametr[typ])</f>
        <v>wydatki</v>
      </c>
      <c r="I1187" s="1">
        <f>ABS(transakcje[[#This Row],[kwota]])</f>
        <v>2E-3</v>
      </c>
    </row>
    <row r="1188" spans="1:9" x14ac:dyDescent="0.3">
      <c r="A1188">
        <v>1187</v>
      </c>
      <c r="B1188">
        <v>2014</v>
      </c>
      <c r="C1188">
        <v>8</v>
      </c>
      <c r="D1188">
        <v>1</v>
      </c>
      <c r="E1188" s="1">
        <v>-18.758000000000003</v>
      </c>
      <c r="F1188" t="s">
        <v>26</v>
      </c>
      <c r="G1188" t="str">
        <f>_xlfn.XLOOKUP(transakcje[[#This Row],[podkategoria]],parametr[podkategoria],parametr[kategoria])</f>
        <v>życie</v>
      </c>
      <c r="H1188" t="str">
        <f>_xlfn.XLOOKUP(transakcje[[#This Row],[kategoria]],parametr[kategoria],parametr[typ])</f>
        <v>wydatki</v>
      </c>
      <c r="I1188" s="1">
        <f>ABS(transakcje[[#This Row],[kwota]])</f>
        <v>18.758000000000003</v>
      </c>
    </row>
    <row r="1189" spans="1:9" x14ac:dyDescent="0.3">
      <c r="A1189">
        <v>1188</v>
      </c>
      <c r="B1189">
        <v>2014</v>
      </c>
      <c r="C1189">
        <v>8</v>
      </c>
      <c r="D1189">
        <v>2</v>
      </c>
      <c r="E1189" s="1">
        <v>-56.834000000000003</v>
      </c>
      <c r="F1189" t="s">
        <v>31</v>
      </c>
      <c r="G1189" t="str">
        <f>_xlfn.XLOOKUP(transakcje[[#This Row],[podkategoria]],parametr[podkategoria],parametr[kategoria])</f>
        <v>opłaty stałe</v>
      </c>
      <c r="H1189" t="str">
        <f>_xlfn.XLOOKUP(transakcje[[#This Row],[kategoria]],parametr[kategoria],parametr[typ])</f>
        <v>wydatki</v>
      </c>
      <c r="I1189" s="1">
        <f>ABS(transakcje[[#This Row],[kwota]])</f>
        <v>56.834000000000003</v>
      </c>
    </row>
    <row r="1190" spans="1:9" x14ac:dyDescent="0.3">
      <c r="A1190">
        <v>1189</v>
      </c>
      <c r="B1190">
        <v>2014</v>
      </c>
      <c r="C1190">
        <v>8</v>
      </c>
      <c r="D1190">
        <v>2</v>
      </c>
      <c r="E1190" s="1">
        <v>-9.7200000000000006</v>
      </c>
      <c r="F1190" t="s">
        <v>23</v>
      </c>
      <c r="G1190" t="str">
        <f>_xlfn.XLOOKUP(transakcje[[#This Row],[podkategoria]],parametr[podkategoria],parametr[kategoria])</f>
        <v>opłaty stałe</v>
      </c>
      <c r="H1190" t="str">
        <f>_xlfn.XLOOKUP(transakcje[[#This Row],[kategoria]],parametr[kategoria],parametr[typ])</f>
        <v>wydatki</v>
      </c>
      <c r="I1190" s="1">
        <f>ABS(transakcje[[#This Row],[kwota]])</f>
        <v>9.7200000000000006</v>
      </c>
    </row>
    <row r="1191" spans="1:9" x14ac:dyDescent="0.3">
      <c r="A1191">
        <v>1190</v>
      </c>
      <c r="B1191">
        <v>2014</v>
      </c>
      <c r="C1191">
        <v>8</v>
      </c>
      <c r="D1191">
        <v>2</v>
      </c>
      <c r="E1191" s="1">
        <v>-4.8</v>
      </c>
      <c r="F1191" t="s">
        <v>31</v>
      </c>
      <c r="G1191" t="str">
        <f>_xlfn.XLOOKUP(transakcje[[#This Row],[podkategoria]],parametr[podkategoria],parametr[kategoria])</f>
        <v>opłaty stałe</v>
      </c>
      <c r="H1191" t="str">
        <f>_xlfn.XLOOKUP(transakcje[[#This Row],[kategoria]],parametr[kategoria],parametr[typ])</f>
        <v>wydatki</v>
      </c>
      <c r="I1191" s="1">
        <f>ABS(transakcje[[#This Row],[kwota]])</f>
        <v>4.8</v>
      </c>
    </row>
    <row r="1192" spans="1:9" x14ac:dyDescent="0.3">
      <c r="A1192">
        <v>1191</v>
      </c>
      <c r="B1192">
        <v>2014</v>
      </c>
      <c r="C1192">
        <v>8</v>
      </c>
      <c r="D1192">
        <v>2</v>
      </c>
      <c r="E1192" s="1">
        <v>-8.98</v>
      </c>
      <c r="F1192" t="s">
        <v>25</v>
      </c>
      <c r="G1192" t="str">
        <f>_xlfn.XLOOKUP(transakcje[[#This Row],[podkategoria]],parametr[podkategoria],parametr[kategoria])</f>
        <v>opłaty stałe</v>
      </c>
      <c r="H1192" t="str">
        <f>_xlfn.XLOOKUP(transakcje[[#This Row],[kategoria]],parametr[kategoria],parametr[typ])</f>
        <v>wydatki</v>
      </c>
      <c r="I1192" s="1">
        <f>ABS(transakcje[[#This Row],[kwota]])</f>
        <v>8.98</v>
      </c>
    </row>
    <row r="1193" spans="1:9" x14ac:dyDescent="0.3">
      <c r="A1193">
        <v>1192</v>
      </c>
      <c r="B1193">
        <v>2014</v>
      </c>
      <c r="C1193">
        <v>8</v>
      </c>
      <c r="D1193">
        <v>4</v>
      </c>
      <c r="E1193" s="1">
        <v>-5.9659999999999993</v>
      </c>
      <c r="F1193" t="s">
        <v>26</v>
      </c>
      <c r="G1193" t="str">
        <f>_xlfn.XLOOKUP(transakcje[[#This Row],[podkategoria]],parametr[podkategoria],parametr[kategoria])</f>
        <v>życie</v>
      </c>
      <c r="H1193" t="str">
        <f>_xlfn.XLOOKUP(transakcje[[#This Row],[kategoria]],parametr[kategoria],parametr[typ])</f>
        <v>wydatki</v>
      </c>
      <c r="I1193" s="1">
        <f>ABS(transakcje[[#This Row],[kwota]])</f>
        <v>5.9659999999999993</v>
      </c>
    </row>
    <row r="1194" spans="1:9" x14ac:dyDescent="0.3">
      <c r="A1194">
        <v>1193</v>
      </c>
      <c r="B1194">
        <v>2014</v>
      </c>
      <c r="C1194">
        <v>8</v>
      </c>
      <c r="D1194">
        <v>5</v>
      </c>
      <c r="E1194" s="1">
        <v>-3.3979999999999997</v>
      </c>
      <c r="F1194" t="s">
        <v>11</v>
      </c>
      <c r="G1194" t="str">
        <f>_xlfn.XLOOKUP(transakcje[[#This Row],[podkategoria]],parametr[podkategoria],parametr[kategoria])</f>
        <v>wydatki inne</v>
      </c>
      <c r="H1194" t="str">
        <f>_xlfn.XLOOKUP(transakcje[[#This Row],[kategoria]],parametr[kategoria],parametr[typ])</f>
        <v>wydatki</v>
      </c>
      <c r="I1194" s="1">
        <f>ABS(transakcje[[#This Row],[kwota]])</f>
        <v>3.3979999999999997</v>
      </c>
    </row>
    <row r="1195" spans="1:9" x14ac:dyDescent="0.3">
      <c r="A1195">
        <v>1194</v>
      </c>
      <c r="B1195">
        <v>2014</v>
      </c>
      <c r="C1195">
        <v>8</v>
      </c>
      <c r="D1195">
        <v>8</v>
      </c>
      <c r="E1195" s="1">
        <v>-5.6020000000000003</v>
      </c>
      <c r="F1195" t="s">
        <v>26</v>
      </c>
      <c r="G1195" t="str">
        <f>_xlfn.XLOOKUP(transakcje[[#This Row],[podkategoria]],parametr[podkategoria],parametr[kategoria])</f>
        <v>życie</v>
      </c>
      <c r="H1195" t="str">
        <f>_xlfn.XLOOKUP(transakcje[[#This Row],[kategoria]],parametr[kategoria],parametr[typ])</f>
        <v>wydatki</v>
      </c>
      <c r="I1195" s="1">
        <f>ABS(transakcje[[#This Row],[kwota]])</f>
        <v>5.6020000000000003</v>
      </c>
    </row>
    <row r="1196" spans="1:9" x14ac:dyDescent="0.3">
      <c r="A1196">
        <v>1195</v>
      </c>
      <c r="B1196">
        <v>2014</v>
      </c>
      <c r="C1196">
        <v>8</v>
      </c>
      <c r="D1196">
        <v>11</v>
      </c>
      <c r="E1196" s="1">
        <v>65.412000000000006</v>
      </c>
      <c r="F1196" t="s">
        <v>19</v>
      </c>
      <c r="G1196" t="str">
        <f>_xlfn.XLOOKUP(transakcje[[#This Row],[podkategoria]],parametr[podkategoria],parametr[kategoria])</f>
        <v>dochody z pracy</v>
      </c>
      <c r="H1196" t="str">
        <f>_xlfn.XLOOKUP(transakcje[[#This Row],[kategoria]],parametr[kategoria],parametr[typ])</f>
        <v>dochody</v>
      </c>
      <c r="I1196" s="1">
        <f>ABS(transakcje[[#This Row],[kwota]])</f>
        <v>65.412000000000006</v>
      </c>
    </row>
    <row r="1197" spans="1:9" x14ac:dyDescent="0.3">
      <c r="A1197">
        <v>1196</v>
      </c>
      <c r="B1197">
        <v>2014</v>
      </c>
      <c r="C1197">
        <v>8</v>
      </c>
      <c r="D1197">
        <v>12</v>
      </c>
      <c r="E1197" s="1">
        <v>-6.9939999999999998</v>
      </c>
      <c r="F1197" t="s">
        <v>26</v>
      </c>
      <c r="G1197" t="str">
        <f>_xlfn.XLOOKUP(transakcje[[#This Row],[podkategoria]],parametr[podkategoria],parametr[kategoria])</f>
        <v>życie</v>
      </c>
      <c r="H1197" t="str">
        <f>_xlfn.XLOOKUP(transakcje[[#This Row],[kategoria]],parametr[kategoria],parametr[typ])</f>
        <v>wydatki</v>
      </c>
      <c r="I1197" s="1">
        <f>ABS(transakcje[[#This Row],[kwota]])</f>
        <v>6.9939999999999998</v>
      </c>
    </row>
    <row r="1198" spans="1:9" x14ac:dyDescent="0.3">
      <c r="A1198">
        <v>1197</v>
      </c>
      <c r="B1198">
        <v>2014</v>
      </c>
      <c r="C1198">
        <v>8</v>
      </c>
      <c r="D1198">
        <v>14</v>
      </c>
      <c r="E1198" s="1">
        <v>-0.39800000000000002</v>
      </c>
      <c r="F1198" t="s">
        <v>14</v>
      </c>
      <c r="G1198" t="str">
        <f>_xlfn.XLOOKUP(transakcje[[#This Row],[podkategoria]],parametr[podkategoria],parametr[kategoria])</f>
        <v>opłaty stałe</v>
      </c>
      <c r="H1198" t="str">
        <f>_xlfn.XLOOKUP(transakcje[[#This Row],[kategoria]],parametr[kategoria],parametr[typ])</f>
        <v>wydatki</v>
      </c>
      <c r="I1198" s="1">
        <f>ABS(transakcje[[#This Row],[kwota]])</f>
        <v>0.39800000000000002</v>
      </c>
    </row>
    <row r="1199" spans="1:9" x14ac:dyDescent="0.3">
      <c r="A1199">
        <v>1198</v>
      </c>
      <c r="B1199">
        <v>2014</v>
      </c>
      <c r="C1199">
        <v>8</v>
      </c>
      <c r="D1199">
        <v>16</v>
      </c>
      <c r="E1199" s="1">
        <v>-0.8</v>
      </c>
      <c r="F1199" t="s">
        <v>14</v>
      </c>
      <c r="G1199" t="str">
        <f>_xlfn.XLOOKUP(transakcje[[#This Row],[podkategoria]],parametr[podkategoria],parametr[kategoria])</f>
        <v>opłaty stałe</v>
      </c>
      <c r="H1199" t="str">
        <f>_xlfn.XLOOKUP(transakcje[[#This Row],[kategoria]],parametr[kategoria],parametr[typ])</f>
        <v>wydatki</v>
      </c>
      <c r="I1199" s="1">
        <f>ABS(transakcje[[#This Row],[kwota]])</f>
        <v>0.8</v>
      </c>
    </row>
    <row r="1200" spans="1:9" x14ac:dyDescent="0.3">
      <c r="A1200">
        <v>1199</v>
      </c>
      <c r="B1200">
        <v>2014</v>
      </c>
      <c r="C1200">
        <v>8</v>
      </c>
      <c r="D1200">
        <v>17</v>
      </c>
      <c r="E1200" s="1">
        <v>-6.9799999999999995</v>
      </c>
      <c r="F1200" t="s">
        <v>26</v>
      </c>
      <c r="G1200" t="str">
        <f>_xlfn.XLOOKUP(transakcje[[#This Row],[podkategoria]],parametr[podkategoria],parametr[kategoria])</f>
        <v>życie</v>
      </c>
      <c r="H1200" t="str">
        <f>_xlfn.XLOOKUP(transakcje[[#This Row],[kategoria]],parametr[kategoria],parametr[typ])</f>
        <v>wydatki</v>
      </c>
      <c r="I1200" s="1">
        <f>ABS(transakcje[[#This Row],[kwota]])</f>
        <v>6.9799999999999995</v>
      </c>
    </row>
    <row r="1201" spans="1:9" x14ac:dyDescent="0.3">
      <c r="A1201">
        <v>1200</v>
      </c>
      <c r="B1201">
        <v>2014</v>
      </c>
      <c r="C1201">
        <v>8</v>
      </c>
      <c r="D1201">
        <v>18</v>
      </c>
      <c r="E1201" s="1">
        <v>-6</v>
      </c>
      <c r="F1201" t="s">
        <v>26</v>
      </c>
      <c r="G1201" t="str">
        <f>_xlfn.XLOOKUP(transakcje[[#This Row],[podkategoria]],parametr[podkategoria],parametr[kategoria])</f>
        <v>życie</v>
      </c>
      <c r="H1201" t="str">
        <f>_xlfn.XLOOKUP(transakcje[[#This Row],[kategoria]],parametr[kategoria],parametr[typ])</f>
        <v>wydatki</v>
      </c>
      <c r="I1201" s="1">
        <f>ABS(transakcje[[#This Row],[kwota]])</f>
        <v>6</v>
      </c>
    </row>
    <row r="1202" spans="1:9" x14ac:dyDescent="0.3">
      <c r="A1202">
        <v>1201</v>
      </c>
      <c r="B1202">
        <v>2014</v>
      </c>
      <c r="C1202">
        <v>8</v>
      </c>
      <c r="D1202">
        <v>19</v>
      </c>
      <c r="E1202" s="1">
        <v>22.552</v>
      </c>
      <c r="F1202" t="s">
        <v>17</v>
      </c>
      <c r="G1202" t="str">
        <f>_xlfn.XLOOKUP(transakcje[[#This Row],[podkategoria]],parametr[podkategoria],parametr[kategoria])</f>
        <v>dochody pozostałe</v>
      </c>
      <c r="H1202" t="str">
        <f>_xlfn.XLOOKUP(transakcje[[#This Row],[kategoria]],parametr[kategoria],parametr[typ])</f>
        <v>dochody</v>
      </c>
      <c r="I1202" s="1">
        <f>ABS(transakcje[[#This Row],[kwota]])</f>
        <v>22.552</v>
      </c>
    </row>
    <row r="1203" spans="1:9" x14ac:dyDescent="0.3">
      <c r="A1203">
        <v>1202</v>
      </c>
      <c r="B1203">
        <v>2014</v>
      </c>
      <c r="C1203">
        <v>8</v>
      </c>
      <c r="D1203">
        <v>20</v>
      </c>
      <c r="E1203" s="1">
        <v>-5.3680000000000003</v>
      </c>
      <c r="F1203" t="s">
        <v>26</v>
      </c>
      <c r="G1203" t="str">
        <f>_xlfn.XLOOKUP(transakcje[[#This Row],[podkategoria]],parametr[podkategoria],parametr[kategoria])</f>
        <v>życie</v>
      </c>
      <c r="H1203" t="str">
        <f>_xlfn.XLOOKUP(transakcje[[#This Row],[kategoria]],parametr[kategoria],parametr[typ])</f>
        <v>wydatki</v>
      </c>
      <c r="I1203" s="1">
        <f>ABS(transakcje[[#This Row],[kwota]])</f>
        <v>5.3680000000000003</v>
      </c>
    </row>
    <row r="1204" spans="1:9" x14ac:dyDescent="0.3">
      <c r="A1204">
        <v>1203</v>
      </c>
      <c r="B1204">
        <v>2014</v>
      </c>
      <c r="C1204">
        <v>8</v>
      </c>
      <c r="D1204">
        <v>20</v>
      </c>
      <c r="E1204" s="1">
        <v>-1.948</v>
      </c>
      <c r="F1204" t="s">
        <v>26</v>
      </c>
      <c r="G1204" t="str">
        <f>_xlfn.XLOOKUP(transakcje[[#This Row],[podkategoria]],parametr[podkategoria],parametr[kategoria])</f>
        <v>życie</v>
      </c>
      <c r="H1204" t="str">
        <f>_xlfn.XLOOKUP(transakcje[[#This Row],[kategoria]],parametr[kategoria],parametr[typ])</f>
        <v>wydatki</v>
      </c>
      <c r="I1204" s="1">
        <f>ABS(transakcje[[#This Row],[kwota]])</f>
        <v>1.948</v>
      </c>
    </row>
    <row r="1205" spans="1:9" x14ac:dyDescent="0.3">
      <c r="A1205">
        <v>1204</v>
      </c>
      <c r="B1205">
        <v>2014</v>
      </c>
      <c r="C1205">
        <v>8</v>
      </c>
      <c r="D1205">
        <v>22</v>
      </c>
      <c r="E1205" s="1">
        <v>-4.2799999999999994</v>
      </c>
      <c r="F1205" t="s">
        <v>26</v>
      </c>
      <c r="G1205" t="str">
        <f>_xlfn.XLOOKUP(transakcje[[#This Row],[podkategoria]],parametr[podkategoria],parametr[kategoria])</f>
        <v>życie</v>
      </c>
      <c r="H1205" t="str">
        <f>_xlfn.XLOOKUP(transakcje[[#This Row],[kategoria]],parametr[kategoria],parametr[typ])</f>
        <v>wydatki</v>
      </c>
      <c r="I1205" s="1">
        <f>ABS(transakcje[[#This Row],[kwota]])</f>
        <v>4.2799999999999994</v>
      </c>
    </row>
    <row r="1206" spans="1:9" x14ac:dyDescent="0.3">
      <c r="A1206">
        <v>1205</v>
      </c>
      <c r="B1206">
        <v>2014</v>
      </c>
      <c r="C1206">
        <v>8</v>
      </c>
      <c r="D1206">
        <v>24</v>
      </c>
      <c r="E1206" s="1">
        <v>-4</v>
      </c>
      <c r="F1206" t="s">
        <v>26</v>
      </c>
      <c r="G1206" t="str">
        <f>_xlfn.XLOOKUP(transakcje[[#This Row],[podkategoria]],parametr[podkategoria],parametr[kategoria])</f>
        <v>życie</v>
      </c>
      <c r="H1206" t="str">
        <f>_xlfn.XLOOKUP(transakcje[[#This Row],[kategoria]],parametr[kategoria],parametr[typ])</f>
        <v>wydatki</v>
      </c>
      <c r="I1206" s="1">
        <f>ABS(transakcje[[#This Row],[kwota]])</f>
        <v>4</v>
      </c>
    </row>
    <row r="1207" spans="1:9" x14ac:dyDescent="0.3">
      <c r="A1207">
        <v>1206</v>
      </c>
      <c r="B1207">
        <v>2014</v>
      </c>
      <c r="C1207">
        <v>8</v>
      </c>
      <c r="D1207">
        <v>25</v>
      </c>
      <c r="E1207" s="1">
        <v>425.178</v>
      </c>
      <c r="F1207" t="s">
        <v>8</v>
      </c>
      <c r="G1207" t="str">
        <f>_xlfn.XLOOKUP(transakcje[[#This Row],[podkategoria]],parametr[podkategoria],parametr[kategoria])</f>
        <v>dochody z pracy</v>
      </c>
      <c r="H1207" t="str">
        <f>_xlfn.XLOOKUP(transakcje[[#This Row],[kategoria]],parametr[kategoria],parametr[typ])</f>
        <v>dochody</v>
      </c>
      <c r="I1207" s="1">
        <f>ABS(transakcje[[#This Row],[kwota]])</f>
        <v>425.178</v>
      </c>
    </row>
    <row r="1208" spans="1:9" x14ac:dyDescent="0.3">
      <c r="A1208">
        <v>1207</v>
      </c>
      <c r="B1208">
        <v>2014</v>
      </c>
      <c r="C1208">
        <v>8</v>
      </c>
      <c r="D1208">
        <v>25</v>
      </c>
      <c r="E1208" s="1">
        <v>-3.6119999999999997</v>
      </c>
      <c r="F1208" t="s">
        <v>26</v>
      </c>
      <c r="G1208" t="str">
        <f>_xlfn.XLOOKUP(transakcje[[#This Row],[podkategoria]],parametr[podkategoria],parametr[kategoria])</f>
        <v>życie</v>
      </c>
      <c r="H1208" t="str">
        <f>_xlfn.XLOOKUP(transakcje[[#This Row],[kategoria]],parametr[kategoria],parametr[typ])</f>
        <v>wydatki</v>
      </c>
      <c r="I1208" s="1">
        <f>ABS(transakcje[[#This Row],[kwota]])</f>
        <v>3.6119999999999997</v>
      </c>
    </row>
    <row r="1209" spans="1:9" x14ac:dyDescent="0.3">
      <c r="A1209">
        <v>1208</v>
      </c>
      <c r="B1209">
        <v>2014</v>
      </c>
      <c r="C1209">
        <v>8</v>
      </c>
      <c r="D1209">
        <v>27</v>
      </c>
      <c r="E1209" s="1">
        <v>-5.0140000000000002</v>
      </c>
      <c r="F1209" t="s">
        <v>26</v>
      </c>
      <c r="G1209" t="str">
        <f>_xlfn.XLOOKUP(transakcje[[#This Row],[podkategoria]],parametr[podkategoria],parametr[kategoria])</f>
        <v>życie</v>
      </c>
      <c r="H1209" t="str">
        <f>_xlfn.XLOOKUP(transakcje[[#This Row],[kategoria]],parametr[kategoria],parametr[typ])</f>
        <v>wydatki</v>
      </c>
      <c r="I1209" s="1">
        <f>ABS(transakcje[[#This Row],[kwota]])</f>
        <v>5.0140000000000002</v>
      </c>
    </row>
    <row r="1210" spans="1:9" x14ac:dyDescent="0.3">
      <c r="A1210">
        <v>1209</v>
      </c>
      <c r="B1210">
        <v>2014</v>
      </c>
      <c r="C1210">
        <v>8</v>
      </c>
      <c r="D1210">
        <v>31</v>
      </c>
      <c r="E1210" s="1">
        <v>8.0000000000000002E-3</v>
      </c>
      <c r="F1210" t="s">
        <v>17</v>
      </c>
      <c r="G1210" t="str">
        <f>_xlfn.XLOOKUP(transakcje[[#This Row],[podkategoria]],parametr[podkategoria],parametr[kategoria])</f>
        <v>dochody pozostałe</v>
      </c>
      <c r="H1210" t="str">
        <f>_xlfn.XLOOKUP(transakcje[[#This Row],[kategoria]],parametr[kategoria],parametr[typ])</f>
        <v>dochody</v>
      </c>
      <c r="I1210" s="1">
        <f>ABS(transakcje[[#This Row],[kwota]])</f>
        <v>8.0000000000000002E-3</v>
      </c>
    </row>
    <row r="1211" spans="1:9" x14ac:dyDescent="0.3">
      <c r="A1211">
        <v>1210</v>
      </c>
      <c r="B1211">
        <v>2014</v>
      </c>
      <c r="C1211">
        <v>8</v>
      </c>
      <c r="D1211">
        <v>31</v>
      </c>
      <c r="E1211" s="1">
        <v>-1.198</v>
      </c>
      <c r="F1211" t="s">
        <v>14</v>
      </c>
      <c r="G1211" t="str">
        <f>_xlfn.XLOOKUP(transakcje[[#This Row],[podkategoria]],parametr[podkategoria],parametr[kategoria])</f>
        <v>opłaty stałe</v>
      </c>
      <c r="H1211" t="str">
        <f>_xlfn.XLOOKUP(transakcje[[#This Row],[kategoria]],parametr[kategoria],parametr[typ])</f>
        <v>wydatki</v>
      </c>
      <c r="I1211" s="1">
        <f>ABS(transakcje[[#This Row],[kwota]])</f>
        <v>1.198</v>
      </c>
    </row>
    <row r="1212" spans="1:9" x14ac:dyDescent="0.3">
      <c r="A1212">
        <v>1211</v>
      </c>
      <c r="B1212">
        <v>2014</v>
      </c>
      <c r="C1212">
        <v>8</v>
      </c>
      <c r="D1212">
        <v>31</v>
      </c>
      <c r="E1212" s="1">
        <v>-0.9</v>
      </c>
      <c r="F1212" t="s">
        <v>14</v>
      </c>
      <c r="G1212" t="str">
        <f>_xlfn.XLOOKUP(transakcje[[#This Row],[podkategoria]],parametr[podkategoria],parametr[kategoria])</f>
        <v>opłaty stałe</v>
      </c>
      <c r="H1212" t="str">
        <f>_xlfn.XLOOKUP(transakcje[[#This Row],[kategoria]],parametr[kategoria],parametr[typ])</f>
        <v>wydatki</v>
      </c>
      <c r="I1212" s="1">
        <f>ABS(transakcje[[#This Row],[kwota]])</f>
        <v>0.9</v>
      </c>
    </row>
    <row r="1213" spans="1:9" x14ac:dyDescent="0.3">
      <c r="A1213">
        <v>1212</v>
      </c>
      <c r="B1213">
        <v>2014</v>
      </c>
      <c r="C1213">
        <v>8</v>
      </c>
      <c r="D1213">
        <v>31</v>
      </c>
      <c r="E1213" s="1">
        <v>-2E-3</v>
      </c>
      <c r="F1213" t="s">
        <v>14</v>
      </c>
      <c r="G1213" t="str">
        <f>_xlfn.XLOOKUP(transakcje[[#This Row],[podkategoria]],parametr[podkategoria],parametr[kategoria])</f>
        <v>opłaty stałe</v>
      </c>
      <c r="H1213" t="str">
        <f>_xlfn.XLOOKUP(transakcje[[#This Row],[kategoria]],parametr[kategoria],parametr[typ])</f>
        <v>wydatki</v>
      </c>
      <c r="I1213" s="1">
        <f>ABS(transakcje[[#This Row],[kwota]])</f>
        <v>2E-3</v>
      </c>
    </row>
    <row r="1214" spans="1:9" x14ac:dyDescent="0.3">
      <c r="A1214">
        <v>1213</v>
      </c>
      <c r="B1214">
        <v>2014</v>
      </c>
      <c r="C1214">
        <v>9</v>
      </c>
      <c r="D1214">
        <v>1</v>
      </c>
      <c r="E1214" s="1">
        <v>-9.17</v>
      </c>
      <c r="F1214" t="s">
        <v>25</v>
      </c>
      <c r="G1214" t="str">
        <f>_xlfn.XLOOKUP(transakcje[[#This Row],[podkategoria]],parametr[podkategoria],parametr[kategoria])</f>
        <v>opłaty stałe</v>
      </c>
      <c r="H1214" t="str">
        <f>_xlfn.XLOOKUP(transakcje[[#This Row],[kategoria]],parametr[kategoria],parametr[typ])</f>
        <v>wydatki</v>
      </c>
      <c r="I1214" s="1">
        <f>ABS(transakcje[[#This Row],[kwota]])</f>
        <v>9.17</v>
      </c>
    </row>
    <row r="1215" spans="1:9" x14ac:dyDescent="0.3">
      <c r="A1215">
        <v>1214</v>
      </c>
      <c r="B1215">
        <v>2014</v>
      </c>
      <c r="C1215">
        <v>9</v>
      </c>
      <c r="D1215">
        <v>1</v>
      </c>
      <c r="E1215" s="1">
        <v>-46.4</v>
      </c>
      <c r="F1215" t="s">
        <v>30</v>
      </c>
      <c r="G1215" t="str">
        <f>_xlfn.XLOOKUP(transakcje[[#This Row],[podkategoria]],parametr[podkategoria],parametr[kategoria])</f>
        <v>opłaty stałe</v>
      </c>
      <c r="H1215" t="str">
        <f>_xlfn.XLOOKUP(transakcje[[#This Row],[kategoria]],parametr[kategoria],parametr[typ])</f>
        <v>wydatki</v>
      </c>
      <c r="I1215" s="1">
        <f>ABS(transakcje[[#This Row],[kwota]])</f>
        <v>46.4</v>
      </c>
    </row>
    <row r="1216" spans="1:9" x14ac:dyDescent="0.3">
      <c r="A1216">
        <v>1215</v>
      </c>
      <c r="B1216">
        <v>2014</v>
      </c>
      <c r="C1216">
        <v>9</v>
      </c>
      <c r="D1216">
        <v>1</v>
      </c>
      <c r="E1216" s="1">
        <v>-56.834000000000003</v>
      </c>
      <c r="F1216" t="s">
        <v>31</v>
      </c>
      <c r="G1216" t="str">
        <f>_xlfn.XLOOKUP(transakcje[[#This Row],[podkategoria]],parametr[podkategoria],parametr[kategoria])</f>
        <v>opłaty stałe</v>
      </c>
      <c r="H1216" t="str">
        <f>_xlfn.XLOOKUP(transakcje[[#This Row],[kategoria]],parametr[kategoria],parametr[typ])</f>
        <v>wydatki</v>
      </c>
      <c r="I1216" s="1">
        <f>ABS(transakcje[[#This Row],[kwota]])</f>
        <v>56.834000000000003</v>
      </c>
    </row>
    <row r="1217" spans="1:9" x14ac:dyDescent="0.3">
      <c r="A1217">
        <v>1216</v>
      </c>
      <c r="B1217">
        <v>2014</v>
      </c>
      <c r="C1217">
        <v>9</v>
      </c>
      <c r="D1217">
        <v>1</v>
      </c>
      <c r="E1217" s="1">
        <v>-6.4819999999999993</v>
      </c>
      <c r="F1217" t="s">
        <v>35</v>
      </c>
      <c r="G1217" t="str">
        <f>_xlfn.XLOOKUP(transakcje[[#This Row],[podkategoria]],parametr[podkategoria],parametr[kategoria])</f>
        <v>opłaty stałe</v>
      </c>
      <c r="H1217" t="str">
        <f>_xlfn.XLOOKUP(transakcje[[#This Row],[kategoria]],parametr[kategoria],parametr[typ])</f>
        <v>wydatki</v>
      </c>
      <c r="I1217" s="1">
        <f>ABS(transakcje[[#This Row],[kwota]])</f>
        <v>6.4819999999999993</v>
      </c>
    </row>
    <row r="1218" spans="1:9" x14ac:dyDescent="0.3">
      <c r="A1218">
        <v>1217</v>
      </c>
      <c r="B1218">
        <v>2014</v>
      </c>
      <c r="C1218">
        <v>9</v>
      </c>
      <c r="D1218">
        <v>1</v>
      </c>
      <c r="E1218" s="1">
        <v>-9.7200000000000006</v>
      </c>
      <c r="F1218" t="s">
        <v>23</v>
      </c>
      <c r="G1218" t="str">
        <f>_xlfn.XLOOKUP(transakcje[[#This Row],[podkategoria]],parametr[podkategoria],parametr[kategoria])</f>
        <v>opłaty stałe</v>
      </c>
      <c r="H1218" t="str">
        <f>_xlfn.XLOOKUP(transakcje[[#This Row],[kategoria]],parametr[kategoria],parametr[typ])</f>
        <v>wydatki</v>
      </c>
      <c r="I1218" s="1">
        <f>ABS(transakcje[[#This Row],[kwota]])</f>
        <v>9.7200000000000006</v>
      </c>
    </row>
    <row r="1219" spans="1:9" x14ac:dyDescent="0.3">
      <c r="A1219">
        <v>1218</v>
      </c>
      <c r="B1219">
        <v>2014</v>
      </c>
      <c r="C1219">
        <v>9</v>
      </c>
      <c r="D1219">
        <v>1</v>
      </c>
      <c r="E1219" s="1">
        <v>-13.330000000000002</v>
      </c>
      <c r="F1219" t="s">
        <v>34</v>
      </c>
      <c r="G1219" t="str">
        <f>_xlfn.XLOOKUP(transakcje[[#This Row],[podkategoria]],parametr[podkategoria],parametr[kategoria])</f>
        <v>opłaty stałe</v>
      </c>
      <c r="H1219" t="str">
        <f>_xlfn.XLOOKUP(transakcje[[#This Row],[kategoria]],parametr[kategoria],parametr[typ])</f>
        <v>wydatki</v>
      </c>
      <c r="I1219" s="1">
        <f>ABS(transakcje[[#This Row],[kwota]])</f>
        <v>13.330000000000002</v>
      </c>
    </row>
    <row r="1220" spans="1:9" x14ac:dyDescent="0.3">
      <c r="A1220">
        <v>1219</v>
      </c>
      <c r="B1220">
        <v>2014</v>
      </c>
      <c r="C1220">
        <v>9</v>
      </c>
      <c r="D1220">
        <v>3</v>
      </c>
      <c r="E1220" s="1">
        <v>-20</v>
      </c>
      <c r="F1220" t="s">
        <v>11</v>
      </c>
      <c r="G1220" t="str">
        <f>_xlfn.XLOOKUP(transakcje[[#This Row],[podkategoria]],parametr[podkategoria],parametr[kategoria])</f>
        <v>wydatki inne</v>
      </c>
      <c r="H1220" t="str">
        <f>_xlfn.XLOOKUP(transakcje[[#This Row],[kategoria]],parametr[kategoria],parametr[typ])</f>
        <v>wydatki</v>
      </c>
      <c r="I1220" s="1">
        <f>ABS(transakcje[[#This Row],[kwota]])</f>
        <v>20</v>
      </c>
    </row>
    <row r="1221" spans="1:9" x14ac:dyDescent="0.3">
      <c r="A1221">
        <v>1220</v>
      </c>
      <c r="B1221">
        <v>2014</v>
      </c>
      <c r="C1221">
        <v>9</v>
      </c>
      <c r="D1221">
        <v>3</v>
      </c>
      <c r="E1221" s="1">
        <v>-4.5780000000000003</v>
      </c>
      <c r="F1221" t="s">
        <v>26</v>
      </c>
      <c r="G1221" t="str">
        <f>_xlfn.XLOOKUP(transakcje[[#This Row],[podkategoria]],parametr[podkategoria],parametr[kategoria])</f>
        <v>życie</v>
      </c>
      <c r="H1221" t="str">
        <f>_xlfn.XLOOKUP(transakcje[[#This Row],[kategoria]],parametr[kategoria],parametr[typ])</f>
        <v>wydatki</v>
      </c>
      <c r="I1221" s="1">
        <f>ABS(transakcje[[#This Row],[kwota]])</f>
        <v>4.5780000000000003</v>
      </c>
    </row>
    <row r="1222" spans="1:9" x14ac:dyDescent="0.3">
      <c r="A1222">
        <v>1221</v>
      </c>
      <c r="B1222">
        <v>2014</v>
      </c>
      <c r="C1222">
        <v>9</v>
      </c>
      <c r="D1222">
        <v>3</v>
      </c>
      <c r="E1222" s="1">
        <v>-3.22</v>
      </c>
      <c r="F1222" t="s">
        <v>26</v>
      </c>
      <c r="G1222" t="str">
        <f>_xlfn.XLOOKUP(transakcje[[#This Row],[podkategoria]],parametr[podkategoria],parametr[kategoria])</f>
        <v>życie</v>
      </c>
      <c r="H1222" t="str">
        <f>_xlfn.XLOOKUP(transakcje[[#This Row],[kategoria]],parametr[kategoria],parametr[typ])</f>
        <v>wydatki</v>
      </c>
      <c r="I1222" s="1">
        <f>ABS(transakcje[[#This Row],[kwota]])</f>
        <v>3.22</v>
      </c>
    </row>
    <row r="1223" spans="1:9" x14ac:dyDescent="0.3">
      <c r="A1223">
        <v>1222</v>
      </c>
      <c r="B1223">
        <v>2014</v>
      </c>
      <c r="C1223">
        <v>9</v>
      </c>
      <c r="D1223">
        <v>6</v>
      </c>
      <c r="E1223" s="1">
        <v>-13.706</v>
      </c>
      <c r="F1223" t="s">
        <v>26</v>
      </c>
      <c r="G1223" t="str">
        <f>_xlfn.XLOOKUP(transakcje[[#This Row],[podkategoria]],parametr[podkategoria],parametr[kategoria])</f>
        <v>życie</v>
      </c>
      <c r="H1223" t="str">
        <f>_xlfn.XLOOKUP(transakcje[[#This Row],[kategoria]],parametr[kategoria],parametr[typ])</f>
        <v>wydatki</v>
      </c>
      <c r="I1223" s="1">
        <f>ABS(transakcje[[#This Row],[kwota]])</f>
        <v>13.706</v>
      </c>
    </row>
    <row r="1224" spans="1:9" x14ac:dyDescent="0.3">
      <c r="A1224">
        <v>1223</v>
      </c>
      <c r="B1224">
        <v>2014</v>
      </c>
      <c r="C1224">
        <v>9</v>
      </c>
      <c r="D1224">
        <v>8</v>
      </c>
      <c r="E1224" s="1">
        <v>-52.712000000000003</v>
      </c>
      <c r="F1224" t="s">
        <v>26</v>
      </c>
      <c r="G1224" t="str">
        <f>_xlfn.XLOOKUP(transakcje[[#This Row],[podkategoria]],parametr[podkategoria],parametr[kategoria])</f>
        <v>życie</v>
      </c>
      <c r="H1224" t="str">
        <f>_xlfn.XLOOKUP(transakcje[[#This Row],[kategoria]],parametr[kategoria],parametr[typ])</f>
        <v>wydatki</v>
      </c>
      <c r="I1224" s="1">
        <f>ABS(transakcje[[#This Row],[kwota]])</f>
        <v>52.712000000000003</v>
      </c>
    </row>
    <row r="1225" spans="1:9" x14ac:dyDescent="0.3">
      <c r="A1225">
        <v>1224</v>
      </c>
      <c r="B1225">
        <v>2014</v>
      </c>
      <c r="C1225">
        <v>9</v>
      </c>
      <c r="D1225">
        <v>12</v>
      </c>
      <c r="E1225" s="1">
        <v>-0.39800000000000002</v>
      </c>
      <c r="F1225" t="s">
        <v>14</v>
      </c>
      <c r="G1225" t="str">
        <f>_xlfn.XLOOKUP(transakcje[[#This Row],[podkategoria]],parametr[podkategoria],parametr[kategoria])</f>
        <v>opłaty stałe</v>
      </c>
      <c r="H1225" t="str">
        <f>_xlfn.XLOOKUP(transakcje[[#This Row],[kategoria]],parametr[kategoria],parametr[typ])</f>
        <v>wydatki</v>
      </c>
      <c r="I1225" s="1">
        <f>ABS(transakcje[[#This Row],[kwota]])</f>
        <v>0.39800000000000002</v>
      </c>
    </row>
    <row r="1226" spans="1:9" x14ac:dyDescent="0.3">
      <c r="A1226">
        <v>1225</v>
      </c>
      <c r="B1226">
        <v>2014</v>
      </c>
      <c r="C1226">
        <v>9</v>
      </c>
      <c r="D1226">
        <v>12</v>
      </c>
      <c r="E1226" s="1">
        <v>-8.581999999999999</v>
      </c>
      <c r="F1226" t="s">
        <v>26</v>
      </c>
      <c r="G1226" t="str">
        <f>_xlfn.XLOOKUP(transakcje[[#This Row],[podkategoria]],parametr[podkategoria],parametr[kategoria])</f>
        <v>życie</v>
      </c>
      <c r="H1226" t="str">
        <f>_xlfn.XLOOKUP(transakcje[[#This Row],[kategoria]],parametr[kategoria],parametr[typ])</f>
        <v>wydatki</v>
      </c>
      <c r="I1226" s="1">
        <f>ABS(transakcje[[#This Row],[kwota]])</f>
        <v>8.581999999999999</v>
      </c>
    </row>
    <row r="1227" spans="1:9" x14ac:dyDescent="0.3">
      <c r="A1227">
        <v>1226</v>
      </c>
      <c r="B1227">
        <v>2014</v>
      </c>
      <c r="C1227">
        <v>9</v>
      </c>
      <c r="D1227">
        <v>15</v>
      </c>
      <c r="E1227" s="1">
        <v>-11.943999999999999</v>
      </c>
      <c r="F1227" t="s">
        <v>26</v>
      </c>
      <c r="G1227" t="str">
        <f>_xlfn.XLOOKUP(transakcje[[#This Row],[podkategoria]],parametr[podkategoria],parametr[kategoria])</f>
        <v>życie</v>
      </c>
      <c r="H1227" t="str">
        <f>_xlfn.XLOOKUP(transakcje[[#This Row],[kategoria]],parametr[kategoria],parametr[typ])</f>
        <v>wydatki</v>
      </c>
      <c r="I1227" s="1">
        <f>ABS(transakcje[[#This Row],[kwota]])</f>
        <v>11.943999999999999</v>
      </c>
    </row>
    <row r="1228" spans="1:9" x14ac:dyDescent="0.3">
      <c r="A1228">
        <v>1227</v>
      </c>
      <c r="B1228">
        <v>2014</v>
      </c>
      <c r="C1228">
        <v>9</v>
      </c>
      <c r="D1228">
        <v>16</v>
      </c>
      <c r="E1228" s="1">
        <v>-0.8</v>
      </c>
      <c r="F1228" t="s">
        <v>14</v>
      </c>
      <c r="G1228" t="str">
        <f>_xlfn.XLOOKUP(transakcje[[#This Row],[podkategoria]],parametr[podkategoria],parametr[kategoria])</f>
        <v>opłaty stałe</v>
      </c>
      <c r="H1228" t="str">
        <f>_xlfn.XLOOKUP(transakcje[[#This Row],[kategoria]],parametr[kategoria],parametr[typ])</f>
        <v>wydatki</v>
      </c>
      <c r="I1228" s="1">
        <f>ABS(transakcje[[#This Row],[kwota]])</f>
        <v>0.8</v>
      </c>
    </row>
    <row r="1229" spans="1:9" x14ac:dyDescent="0.3">
      <c r="A1229">
        <v>1228</v>
      </c>
      <c r="B1229">
        <v>2014</v>
      </c>
      <c r="C1229">
        <v>9</v>
      </c>
      <c r="D1229">
        <v>19</v>
      </c>
      <c r="E1229" s="1">
        <v>-120</v>
      </c>
      <c r="F1229" t="s">
        <v>11</v>
      </c>
      <c r="G1229" t="str">
        <f>_xlfn.XLOOKUP(transakcje[[#This Row],[podkategoria]],parametr[podkategoria],parametr[kategoria])</f>
        <v>wydatki inne</v>
      </c>
      <c r="H1229" t="str">
        <f>_xlfn.XLOOKUP(transakcje[[#This Row],[kategoria]],parametr[kategoria],parametr[typ])</f>
        <v>wydatki</v>
      </c>
      <c r="I1229" s="1">
        <f>ABS(transakcje[[#This Row],[kwota]])</f>
        <v>120</v>
      </c>
    </row>
    <row r="1230" spans="1:9" x14ac:dyDescent="0.3">
      <c r="A1230">
        <v>1229</v>
      </c>
      <c r="B1230">
        <v>2014</v>
      </c>
      <c r="C1230">
        <v>9</v>
      </c>
      <c r="D1230">
        <v>19</v>
      </c>
      <c r="E1230" s="1">
        <v>84.8</v>
      </c>
      <c r="F1230" t="s">
        <v>16</v>
      </c>
      <c r="G1230" t="str">
        <f>_xlfn.XLOOKUP(transakcje[[#This Row],[podkategoria]],parametr[podkategoria],parametr[kategoria])</f>
        <v>dochody z pracy</v>
      </c>
      <c r="H1230" t="str">
        <f>_xlfn.XLOOKUP(transakcje[[#This Row],[kategoria]],parametr[kategoria],parametr[typ])</f>
        <v>dochody</v>
      </c>
      <c r="I1230" s="1">
        <f>ABS(transakcje[[#This Row],[kwota]])</f>
        <v>84.8</v>
      </c>
    </row>
    <row r="1231" spans="1:9" x14ac:dyDescent="0.3">
      <c r="A1231">
        <v>1230</v>
      </c>
      <c r="B1231">
        <v>2014</v>
      </c>
      <c r="C1231">
        <v>9</v>
      </c>
      <c r="D1231">
        <v>24</v>
      </c>
      <c r="E1231" s="1">
        <v>-21</v>
      </c>
      <c r="F1231" t="s">
        <v>32</v>
      </c>
      <c r="G1231" t="str">
        <f>_xlfn.XLOOKUP(transakcje[[#This Row],[podkategoria]],parametr[podkategoria],parametr[kategoria])</f>
        <v>opłaty stałe</v>
      </c>
      <c r="H1231" t="str">
        <f>_xlfn.XLOOKUP(transakcje[[#This Row],[kategoria]],parametr[kategoria],parametr[typ])</f>
        <v>wydatki</v>
      </c>
      <c r="I1231" s="1">
        <f>ABS(transakcje[[#This Row],[kwota]])</f>
        <v>21</v>
      </c>
    </row>
    <row r="1232" spans="1:9" x14ac:dyDescent="0.3">
      <c r="A1232">
        <v>1231</v>
      </c>
      <c r="B1232">
        <v>2014</v>
      </c>
      <c r="C1232">
        <v>9</v>
      </c>
      <c r="D1232">
        <v>25</v>
      </c>
      <c r="E1232" s="1">
        <v>425.178</v>
      </c>
      <c r="F1232" t="s">
        <v>8</v>
      </c>
      <c r="G1232" t="str">
        <f>_xlfn.XLOOKUP(transakcje[[#This Row],[podkategoria]],parametr[podkategoria],parametr[kategoria])</f>
        <v>dochody z pracy</v>
      </c>
      <c r="H1232" t="str">
        <f>_xlfn.XLOOKUP(transakcje[[#This Row],[kategoria]],parametr[kategoria],parametr[typ])</f>
        <v>dochody</v>
      </c>
      <c r="I1232" s="1">
        <f>ABS(transakcje[[#This Row],[kwota]])</f>
        <v>425.178</v>
      </c>
    </row>
    <row r="1233" spans="1:9" x14ac:dyDescent="0.3">
      <c r="A1233">
        <v>1232</v>
      </c>
      <c r="B1233">
        <v>2014</v>
      </c>
      <c r="C1233">
        <v>9</v>
      </c>
      <c r="D1233">
        <v>30</v>
      </c>
      <c r="E1233" s="1">
        <v>8.0000000000000002E-3</v>
      </c>
      <c r="F1233" t="s">
        <v>17</v>
      </c>
      <c r="G1233" t="str">
        <f>_xlfn.XLOOKUP(transakcje[[#This Row],[podkategoria]],parametr[podkategoria],parametr[kategoria])</f>
        <v>dochody pozostałe</v>
      </c>
      <c r="H1233" t="str">
        <f>_xlfn.XLOOKUP(transakcje[[#This Row],[kategoria]],parametr[kategoria],parametr[typ])</f>
        <v>dochody</v>
      </c>
      <c r="I1233" s="1">
        <f>ABS(transakcje[[#This Row],[kwota]])</f>
        <v>8.0000000000000002E-3</v>
      </c>
    </row>
    <row r="1234" spans="1:9" x14ac:dyDescent="0.3">
      <c r="A1234">
        <v>1233</v>
      </c>
      <c r="B1234">
        <v>2014</v>
      </c>
      <c r="C1234">
        <v>9</v>
      </c>
      <c r="D1234">
        <v>30</v>
      </c>
      <c r="E1234" s="1">
        <v>-1.198</v>
      </c>
      <c r="F1234" t="s">
        <v>14</v>
      </c>
      <c r="G1234" t="str">
        <f>_xlfn.XLOOKUP(transakcje[[#This Row],[podkategoria]],parametr[podkategoria],parametr[kategoria])</f>
        <v>opłaty stałe</v>
      </c>
      <c r="H1234" t="str">
        <f>_xlfn.XLOOKUP(transakcje[[#This Row],[kategoria]],parametr[kategoria],parametr[typ])</f>
        <v>wydatki</v>
      </c>
      <c r="I1234" s="1">
        <f>ABS(transakcje[[#This Row],[kwota]])</f>
        <v>1.198</v>
      </c>
    </row>
    <row r="1235" spans="1:9" x14ac:dyDescent="0.3">
      <c r="A1235">
        <v>1234</v>
      </c>
      <c r="B1235">
        <v>2014</v>
      </c>
      <c r="C1235">
        <v>9</v>
      </c>
      <c r="D1235">
        <v>30</v>
      </c>
      <c r="E1235" s="1">
        <v>-0.1</v>
      </c>
      <c r="F1235" t="s">
        <v>14</v>
      </c>
      <c r="G1235" t="str">
        <f>_xlfn.XLOOKUP(transakcje[[#This Row],[podkategoria]],parametr[podkategoria],parametr[kategoria])</f>
        <v>opłaty stałe</v>
      </c>
      <c r="H1235" t="str">
        <f>_xlfn.XLOOKUP(transakcje[[#This Row],[kategoria]],parametr[kategoria],parametr[typ])</f>
        <v>wydatki</v>
      </c>
      <c r="I1235" s="1">
        <f>ABS(transakcje[[#This Row],[kwota]])</f>
        <v>0.1</v>
      </c>
    </row>
    <row r="1236" spans="1:9" x14ac:dyDescent="0.3">
      <c r="A1236">
        <v>1235</v>
      </c>
      <c r="B1236">
        <v>2014</v>
      </c>
      <c r="C1236">
        <v>9</v>
      </c>
      <c r="D1236">
        <v>30</v>
      </c>
      <c r="E1236" s="1">
        <v>-2E-3</v>
      </c>
      <c r="F1236" t="s">
        <v>14</v>
      </c>
      <c r="G1236" t="str">
        <f>_xlfn.XLOOKUP(transakcje[[#This Row],[podkategoria]],parametr[podkategoria],parametr[kategoria])</f>
        <v>opłaty stałe</v>
      </c>
      <c r="H1236" t="str">
        <f>_xlfn.XLOOKUP(transakcje[[#This Row],[kategoria]],parametr[kategoria],parametr[typ])</f>
        <v>wydatki</v>
      </c>
      <c r="I1236" s="1">
        <f>ABS(transakcje[[#This Row],[kwota]])</f>
        <v>2E-3</v>
      </c>
    </row>
    <row r="1237" spans="1:9" x14ac:dyDescent="0.3">
      <c r="A1237">
        <v>1236</v>
      </c>
      <c r="B1237">
        <v>2014</v>
      </c>
      <c r="C1237">
        <v>10</v>
      </c>
      <c r="D1237">
        <v>1</v>
      </c>
      <c r="E1237" s="1">
        <v>-56.834000000000003</v>
      </c>
      <c r="F1237" t="s">
        <v>31</v>
      </c>
      <c r="G1237" t="str">
        <f>_xlfn.XLOOKUP(transakcje[[#This Row],[podkategoria]],parametr[podkategoria],parametr[kategoria])</f>
        <v>opłaty stałe</v>
      </c>
      <c r="H1237" t="str">
        <f>_xlfn.XLOOKUP(transakcje[[#This Row],[kategoria]],parametr[kategoria],parametr[typ])</f>
        <v>wydatki</v>
      </c>
      <c r="I1237" s="1">
        <f>ABS(transakcje[[#This Row],[kwota]])</f>
        <v>56.834000000000003</v>
      </c>
    </row>
    <row r="1238" spans="1:9" x14ac:dyDescent="0.3">
      <c r="A1238">
        <v>1237</v>
      </c>
      <c r="B1238">
        <v>2014</v>
      </c>
      <c r="C1238">
        <v>10</v>
      </c>
      <c r="D1238">
        <v>1</v>
      </c>
      <c r="E1238" s="1">
        <v>-8.5</v>
      </c>
      <c r="F1238" t="s">
        <v>23</v>
      </c>
      <c r="G1238" t="str">
        <f>_xlfn.XLOOKUP(transakcje[[#This Row],[podkategoria]],parametr[podkategoria],parametr[kategoria])</f>
        <v>opłaty stałe</v>
      </c>
      <c r="H1238" t="str">
        <f>_xlfn.XLOOKUP(transakcje[[#This Row],[kategoria]],parametr[kategoria],parametr[typ])</f>
        <v>wydatki</v>
      </c>
      <c r="I1238" s="1">
        <f>ABS(transakcje[[#This Row],[kwota]])</f>
        <v>8.5</v>
      </c>
    </row>
    <row r="1239" spans="1:9" x14ac:dyDescent="0.3">
      <c r="A1239">
        <v>1238</v>
      </c>
      <c r="B1239">
        <v>2014</v>
      </c>
      <c r="C1239">
        <v>10</v>
      </c>
      <c r="D1239">
        <v>1</v>
      </c>
      <c r="E1239" s="1">
        <v>-4.8</v>
      </c>
      <c r="F1239" t="s">
        <v>31</v>
      </c>
      <c r="G1239" t="str">
        <f>_xlfn.XLOOKUP(transakcje[[#This Row],[podkategoria]],parametr[podkategoria],parametr[kategoria])</f>
        <v>opłaty stałe</v>
      </c>
      <c r="H1239" t="str">
        <f>_xlfn.XLOOKUP(transakcje[[#This Row],[kategoria]],parametr[kategoria],parametr[typ])</f>
        <v>wydatki</v>
      </c>
      <c r="I1239" s="1">
        <f>ABS(transakcje[[#This Row],[kwota]])</f>
        <v>4.8</v>
      </c>
    </row>
    <row r="1240" spans="1:9" x14ac:dyDescent="0.3">
      <c r="A1240">
        <v>1239</v>
      </c>
      <c r="B1240">
        <v>2014</v>
      </c>
      <c r="C1240">
        <v>10</v>
      </c>
      <c r="D1240">
        <v>1</v>
      </c>
      <c r="E1240" s="1">
        <v>-9.0299999999999994</v>
      </c>
      <c r="F1240" t="s">
        <v>25</v>
      </c>
      <c r="G1240" t="str">
        <f>_xlfn.XLOOKUP(transakcje[[#This Row],[podkategoria]],parametr[podkategoria],parametr[kategoria])</f>
        <v>opłaty stałe</v>
      </c>
      <c r="H1240" t="str">
        <f>_xlfn.XLOOKUP(transakcje[[#This Row],[kategoria]],parametr[kategoria],parametr[typ])</f>
        <v>wydatki</v>
      </c>
      <c r="I1240" s="1">
        <f>ABS(transakcje[[#This Row],[kwota]])</f>
        <v>9.0299999999999994</v>
      </c>
    </row>
    <row r="1241" spans="1:9" x14ac:dyDescent="0.3">
      <c r="A1241">
        <v>1240</v>
      </c>
      <c r="B1241">
        <v>2014</v>
      </c>
      <c r="C1241">
        <v>10</v>
      </c>
      <c r="D1241">
        <v>3</v>
      </c>
      <c r="E1241" s="1">
        <v>-1.1539999999999999</v>
      </c>
      <c r="F1241" t="s">
        <v>26</v>
      </c>
      <c r="G1241" t="str">
        <f>_xlfn.XLOOKUP(transakcje[[#This Row],[podkategoria]],parametr[podkategoria],parametr[kategoria])</f>
        <v>życie</v>
      </c>
      <c r="H1241" t="str">
        <f>_xlfn.XLOOKUP(transakcje[[#This Row],[kategoria]],parametr[kategoria],parametr[typ])</f>
        <v>wydatki</v>
      </c>
      <c r="I1241" s="1">
        <f>ABS(transakcje[[#This Row],[kwota]])</f>
        <v>1.1539999999999999</v>
      </c>
    </row>
    <row r="1242" spans="1:9" x14ac:dyDescent="0.3">
      <c r="A1242">
        <v>1241</v>
      </c>
      <c r="B1242">
        <v>2014</v>
      </c>
      <c r="C1242">
        <v>10</v>
      </c>
      <c r="D1242">
        <v>8</v>
      </c>
      <c r="E1242" s="1">
        <v>-4.5039999999999996</v>
      </c>
      <c r="F1242" t="s">
        <v>26</v>
      </c>
      <c r="G1242" t="str">
        <f>_xlfn.XLOOKUP(transakcje[[#This Row],[podkategoria]],parametr[podkategoria],parametr[kategoria])</f>
        <v>życie</v>
      </c>
      <c r="H1242" t="str">
        <f>_xlfn.XLOOKUP(transakcje[[#This Row],[kategoria]],parametr[kategoria],parametr[typ])</f>
        <v>wydatki</v>
      </c>
      <c r="I1242" s="1">
        <f>ABS(transakcje[[#This Row],[kwota]])</f>
        <v>4.5039999999999996</v>
      </c>
    </row>
    <row r="1243" spans="1:9" x14ac:dyDescent="0.3">
      <c r="A1243">
        <v>1242</v>
      </c>
      <c r="B1243">
        <v>2014</v>
      </c>
      <c r="C1243">
        <v>10</v>
      </c>
      <c r="D1243">
        <v>9</v>
      </c>
      <c r="E1243" s="1">
        <v>-2.4</v>
      </c>
      <c r="F1243" t="s">
        <v>26</v>
      </c>
      <c r="G1243" t="str">
        <f>_xlfn.XLOOKUP(transakcje[[#This Row],[podkategoria]],parametr[podkategoria],parametr[kategoria])</f>
        <v>życie</v>
      </c>
      <c r="H1243" t="str">
        <f>_xlfn.XLOOKUP(transakcje[[#This Row],[kategoria]],parametr[kategoria],parametr[typ])</f>
        <v>wydatki</v>
      </c>
      <c r="I1243" s="1">
        <f>ABS(transakcje[[#This Row],[kwota]])</f>
        <v>2.4</v>
      </c>
    </row>
    <row r="1244" spans="1:9" x14ac:dyDescent="0.3">
      <c r="A1244">
        <v>1243</v>
      </c>
      <c r="B1244">
        <v>2014</v>
      </c>
      <c r="C1244">
        <v>10</v>
      </c>
      <c r="D1244">
        <v>16</v>
      </c>
      <c r="E1244" s="1">
        <v>-0.8</v>
      </c>
      <c r="F1244" t="s">
        <v>14</v>
      </c>
      <c r="G1244" t="str">
        <f>_xlfn.XLOOKUP(transakcje[[#This Row],[podkategoria]],parametr[podkategoria],parametr[kategoria])</f>
        <v>opłaty stałe</v>
      </c>
      <c r="H1244" t="str">
        <f>_xlfn.XLOOKUP(transakcje[[#This Row],[kategoria]],parametr[kategoria],parametr[typ])</f>
        <v>wydatki</v>
      </c>
      <c r="I1244" s="1">
        <f>ABS(transakcje[[#This Row],[kwota]])</f>
        <v>0.8</v>
      </c>
    </row>
    <row r="1245" spans="1:9" x14ac:dyDescent="0.3">
      <c r="A1245">
        <v>1244</v>
      </c>
      <c r="B1245">
        <v>2014</v>
      </c>
      <c r="C1245">
        <v>10</v>
      </c>
      <c r="D1245">
        <v>16</v>
      </c>
      <c r="E1245" s="1">
        <v>-0.39800000000000002</v>
      </c>
      <c r="F1245" t="s">
        <v>14</v>
      </c>
      <c r="G1245" t="str">
        <f>_xlfn.XLOOKUP(transakcje[[#This Row],[podkategoria]],parametr[podkategoria],parametr[kategoria])</f>
        <v>opłaty stałe</v>
      </c>
      <c r="H1245" t="str">
        <f>_xlfn.XLOOKUP(transakcje[[#This Row],[kategoria]],parametr[kategoria],parametr[typ])</f>
        <v>wydatki</v>
      </c>
      <c r="I1245" s="1">
        <f>ABS(transakcje[[#This Row],[kwota]])</f>
        <v>0.39800000000000002</v>
      </c>
    </row>
    <row r="1246" spans="1:9" x14ac:dyDescent="0.3">
      <c r="A1246">
        <v>1245</v>
      </c>
      <c r="B1246">
        <v>2014</v>
      </c>
      <c r="C1246">
        <v>10</v>
      </c>
      <c r="D1246">
        <v>16</v>
      </c>
      <c r="E1246" s="1">
        <v>-8.0719999999999992</v>
      </c>
      <c r="F1246" t="s">
        <v>26</v>
      </c>
      <c r="G1246" t="str">
        <f>_xlfn.XLOOKUP(transakcje[[#This Row],[podkategoria]],parametr[podkategoria],parametr[kategoria])</f>
        <v>życie</v>
      </c>
      <c r="H1246" t="str">
        <f>_xlfn.XLOOKUP(transakcje[[#This Row],[kategoria]],parametr[kategoria],parametr[typ])</f>
        <v>wydatki</v>
      </c>
      <c r="I1246" s="1">
        <f>ABS(transakcje[[#This Row],[kwota]])</f>
        <v>8.0719999999999992</v>
      </c>
    </row>
    <row r="1247" spans="1:9" x14ac:dyDescent="0.3">
      <c r="A1247">
        <v>1246</v>
      </c>
      <c r="B1247">
        <v>2014</v>
      </c>
      <c r="C1247">
        <v>10</v>
      </c>
      <c r="D1247">
        <v>18</v>
      </c>
      <c r="E1247" s="1">
        <v>-2.4</v>
      </c>
      <c r="F1247" t="s">
        <v>26</v>
      </c>
      <c r="G1247" t="str">
        <f>_xlfn.XLOOKUP(transakcje[[#This Row],[podkategoria]],parametr[podkategoria],parametr[kategoria])</f>
        <v>życie</v>
      </c>
      <c r="H1247" t="str">
        <f>_xlfn.XLOOKUP(transakcje[[#This Row],[kategoria]],parametr[kategoria],parametr[typ])</f>
        <v>wydatki</v>
      </c>
      <c r="I1247" s="1">
        <f>ABS(transakcje[[#This Row],[kwota]])</f>
        <v>2.4</v>
      </c>
    </row>
    <row r="1248" spans="1:9" x14ac:dyDescent="0.3">
      <c r="A1248">
        <v>1247</v>
      </c>
      <c r="B1248">
        <v>2014</v>
      </c>
      <c r="C1248">
        <v>10</v>
      </c>
      <c r="D1248">
        <v>23</v>
      </c>
      <c r="E1248" s="1">
        <v>-19.8</v>
      </c>
      <c r="F1248" t="s">
        <v>32</v>
      </c>
      <c r="G1248" t="str">
        <f>_xlfn.XLOOKUP(transakcje[[#This Row],[podkategoria]],parametr[podkategoria],parametr[kategoria])</f>
        <v>opłaty stałe</v>
      </c>
      <c r="H1248" t="str">
        <f>_xlfn.XLOOKUP(transakcje[[#This Row],[kategoria]],parametr[kategoria],parametr[typ])</f>
        <v>wydatki</v>
      </c>
      <c r="I1248" s="1">
        <f>ABS(transakcje[[#This Row],[kwota]])</f>
        <v>19.8</v>
      </c>
    </row>
    <row r="1249" spans="1:9" x14ac:dyDescent="0.3">
      <c r="A1249">
        <v>1248</v>
      </c>
      <c r="B1249">
        <v>2014</v>
      </c>
      <c r="C1249">
        <v>10</v>
      </c>
      <c r="D1249">
        <v>23</v>
      </c>
      <c r="E1249" s="1">
        <v>-6.3280000000000003</v>
      </c>
      <c r="F1249" t="s">
        <v>26</v>
      </c>
      <c r="G1249" t="str">
        <f>_xlfn.XLOOKUP(transakcje[[#This Row],[podkategoria]],parametr[podkategoria],parametr[kategoria])</f>
        <v>życie</v>
      </c>
      <c r="H1249" t="str">
        <f>_xlfn.XLOOKUP(transakcje[[#This Row],[kategoria]],parametr[kategoria],parametr[typ])</f>
        <v>wydatki</v>
      </c>
      <c r="I1249" s="1">
        <f>ABS(transakcje[[#This Row],[kwota]])</f>
        <v>6.3280000000000003</v>
      </c>
    </row>
    <row r="1250" spans="1:9" x14ac:dyDescent="0.3">
      <c r="A1250">
        <v>1249</v>
      </c>
      <c r="B1250">
        <v>2014</v>
      </c>
      <c r="C1250">
        <v>10</v>
      </c>
      <c r="D1250">
        <v>24</v>
      </c>
      <c r="E1250" s="1">
        <v>-2.0539999999999998</v>
      </c>
      <c r="F1250" t="s">
        <v>26</v>
      </c>
      <c r="G1250" t="str">
        <f>_xlfn.XLOOKUP(transakcje[[#This Row],[podkategoria]],parametr[podkategoria],parametr[kategoria])</f>
        <v>życie</v>
      </c>
      <c r="H1250" t="str">
        <f>_xlfn.XLOOKUP(transakcje[[#This Row],[kategoria]],parametr[kategoria],parametr[typ])</f>
        <v>wydatki</v>
      </c>
      <c r="I1250" s="1">
        <f>ABS(transakcje[[#This Row],[kwota]])</f>
        <v>2.0539999999999998</v>
      </c>
    </row>
    <row r="1251" spans="1:9" x14ac:dyDescent="0.3">
      <c r="A1251">
        <v>1250</v>
      </c>
      <c r="B1251">
        <v>2014</v>
      </c>
      <c r="C1251">
        <v>10</v>
      </c>
      <c r="D1251">
        <v>27</v>
      </c>
      <c r="E1251" s="1">
        <v>425.178</v>
      </c>
      <c r="F1251" t="s">
        <v>8</v>
      </c>
      <c r="G1251" t="str">
        <f>_xlfn.XLOOKUP(transakcje[[#This Row],[podkategoria]],parametr[podkategoria],parametr[kategoria])</f>
        <v>dochody z pracy</v>
      </c>
      <c r="H1251" t="str">
        <f>_xlfn.XLOOKUP(transakcje[[#This Row],[kategoria]],parametr[kategoria],parametr[typ])</f>
        <v>dochody</v>
      </c>
      <c r="I1251" s="1">
        <f>ABS(transakcje[[#This Row],[kwota]])</f>
        <v>425.178</v>
      </c>
    </row>
    <row r="1252" spans="1:9" x14ac:dyDescent="0.3">
      <c r="A1252">
        <v>1251</v>
      </c>
      <c r="B1252">
        <v>2014</v>
      </c>
      <c r="C1252">
        <v>10</v>
      </c>
      <c r="D1252">
        <v>31</v>
      </c>
      <c r="E1252" s="1">
        <v>8.0000000000000002E-3</v>
      </c>
      <c r="F1252" t="s">
        <v>17</v>
      </c>
      <c r="G1252" t="str">
        <f>_xlfn.XLOOKUP(transakcje[[#This Row],[podkategoria]],parametr[podkategoria],parametr[kategoria])</f>
        <v>dochody pozostałe</v>
      </c>
      <c r="H1252" t="str">
        <f>_xlfn.XLOOKUP(transakcje[[#This Row],[kategoria]],parametr[kategoria],parametr[typ])</f>
        <v>dochody</v>
      </c>
      <c r="I1252" s="1">
        <f>ABS(transakcje[[#This Row],[kwota]])</f>
        <v>8.0000000000000002E-3</v>
      </c>
    </row>
    <row r="1253" spans="1:9" x14ac:dyDescent="0.3">
      <c r="A1253">
        <v>1252</v>
      </c>
      <c r="B1253">
        <v>2014</v>
      </c>
      <c r="C1253">
        <v>10</v>
      </c>
      <c r="D1253">
        <v>31</v>
      </c>
      <c r="E1253" s="1">
        <v>-1.198</v>
      </c>
      <c r="F1253" t="s">
        <v>14</v>
      </c>
      <c r="G1253" t="str">
        <f>_xlfn.XLOOKUP(transakcje[[#This Row],[podkategoria]],parametr[podkategoria],parametr[kategoria])</f>
        <v>opłaty stałe</v>
      </c>
      <c r="H1253" t="str">
        <f>_xlfn.XLOOKUP(transakcje[[#This Row],[kategoria]],parametr[kategoria],parametr[typ])</f>
        <v>wydatki</v>
      </c>
      <c r="I1253" s="1">
        <f>ABS(transakcje[[#This Row],[kwota]])</f>
        <v>1.198</v>
      </c>
    </row>
    <row r="1254" spans="1:9" x14ac:dyDescent="0.3">
      <c r="A1254">
        <v>1253</v>
      </c>
      <c r="B1254">
        <v>2014</v>
      </c>
      <c r="C1254">
        <v>10</v>
      </c>
      <c r="D1254">
        <v>31</v>
      </c>
      <c r="E1254" s="1">
        <v>-0.4</v>
      </c>
      <c r="F1254" t="s">
        <v>14</v>
      </c>
      <c r="G1254" t="str">
        <f>_xlfn.XLOOKUP(transakcje[[#This Row],[podkategoria]],parametr[podkategoria],parametr[kategoria])</f>
        <v>opłaty stałe</v>
      </c>
      <c r="H1254" t="str">
        <f>_xlfn.XLOOKUP(transakcje[[#This Row],[kategoria]],parametr[kategoria],parametr[typ])</f>
        <v>wydatki</v>
      </c>
      <c r="I1254" s="1">
        <f>ABS(transakcje[[#This Row],[kwota]])</f>
        <v>0.4</v>
      </c>
    </row>
    <row r="1255" spans="1:9" x14ac:dyDescent="0.3">
      <c r="A1255">
        <v>1254</v>
      </c>
      <c r="B1255">
        <v>2014</v>
      </c>
      <c r="C1255">
        <v>10</v>
      </c>
      <c r="D1255">
        <v>31</v>
      </c>
      <c r="E1255" s="1">
        <v>-2E-3</v>
      </c>
      <c r="F1255" t="s">
        <v>14</v>
      </c>
      <c r="G1255" t="str">
        <f>_xlfn.XLOOKUP(transakcje[[#This Row],[podkategoria]],parametr[podkategoria],parametr[kategoria])</f>
        <v>opłaty stałe</v>
      </c>
      <c r="H1255" t="str">
        <f>_xlfn.XLOOKUP(transakcje[[#This Row],[kategoria]],parametr[kategoria],parametr[typ])</f>
        <v>wydatki</v>
      </c>
      <c r="I1255" s="1">
        <f>ABS(transakcje[[#This Row],[kwota]])</f>
        <v>2E-3</v>
      </c>
    </row>
    <row r="1256" spans="1:9" x14ac:dyDescent="0.3">
      <c r="A1256">
        <v>1255</v>
      </c>
      <c r="B1256">
        <v>2014</v>
      </c>
      <c r="C1256">
        <v>10</v>
      </c>
      <c r="D1256">
        <v>31</v>
      </c>
      <c r="E1256" s="1">
        <v>-2.7760000000000002</v>
      </c>
      <c r="F1256" t="s">
        <v>26</v>
      </c>
      <c r="G1256" t="str">
        <f>_xlfn.XLOOKUP(transakcje[[#This Row],[podkategoria]],parametr[podkategoria],parametr[kategoria])</f>
        <v>życie</v>
      </c>
      <c r="H1256" t="str">
        <f>_xlfn.XLOOKUP(transakcje[[#This Row],[kategoria]],parametr[kategoria],parametr[typ])</f>
        <v>wydatki</v>
      </c>
      <c r="I1256" s="1">
        <f>ABS(transakcje[[#This Row],[kwota]])</f>
        <v>2.7760000000000002</v>
      </c>
    </row>
    <row r="1257" spans="1:9" x14ac:dyDescent="0.3">
      <c r="A1257">
        <v>1256</v>
      </c>
      <c r="B1257">
        <v>2014</v>
      </c>
      <c r="C1257">
        <v>10</v>
      </c>
      <c r="D1257">
        <v>31</v>
      </c>
      <c r="E1257" s="1">
        <v>-1.3859999999999999</v>
      </c>
      <c r="F1257" t="s">
        <v>26</v>
      </c>
      <c r="G1257" t="str">
        <f>_xlfn.XLOOKUP(transakcje[[#This Row],[podkategoria]],parametr[podkategoria],parametr[kategoria])</f>
        <v>życie</v>
      </c>
      <c r="H1257" t="str">
        <f>_xlfn.XLOOKUP(transakcje[[#This Row],[kategoria]],parametr[kategoria],parametr[typ])</f>
        <v>wydatki</v>
      </c>
      <c r="I1257" s="1">
        <f>ABS(transakcje[[#This Row],[kwota]])</f>
        <v>1.3859999999999999</v>
      </c>
    </row>
    <row r="1258" spans="1:9" x14ac:dyDescent="0.3">
      <c r="A1258">
        <v>1257</v>
      </c>
      <c r="B1258">
        <v>2014</v>
      </c>
      <c r="C1258">
        <v>11</v>
      </c>
      <c r="D1258">
        <v>1</v>
      </c>
      <c r="E1258" s="1">
        <v>-57.634</v>
      </c>
      <c r="F1258" t="s">
        <v>31</v>
      </c>
      <c r="G1258" t="str">
        <f>_xlfn.XLOOKUP(transakcje[[#This Row],[podkategoria]],parametr[podkategoria],parametr[kategoria])</f>
        <v>opłaty stałe</v>
      </c>
      <c r="H1258" t="str">
        <f>_xlfn.XLOOKUP(transakcje[[#This Row],[kategoria]],parametr[kategoria],parametr[typ])</f>
        <v>wydatki</v>
      </c>
      <c r="I1258" s="1">
        <f>ABS(transakcje[[#This Row],[kwota]])</f>
        <v>57.634</v>
      </c>
    </row>
    <row r="1259" spans="1:9" x14ac:dyDescent="0.3">
      <c r="A1259">
        <v>1258</v>
      </c>
      <c r="B1259">
        <v>2014</v>
      </c>
      <c r="C1259">
        <v>11</v>
      </c>
      <c r="D1259">
        <v>1</v>
      </c>
      <c r="E1259" s="1">
        <v>-6.032</v>
      </c>
      <c r="F1259" t="s">
        <v>35</v>
      </c>
      <c r="G1259" t="str">
        <f>_xlfn.XLOOKUP(transakcje[[#This Row],[podkategoria]],parametr[podkategoria],parametr[kategoria])</f>
        <v>opłaty stałe</v>
      </c>
      <c r="H1259" t="str">
        <f>_xlfn.XLOOKUP(transakcje[[#This Row],[kategoria]],parametr[kategoria],parametr[typ])</f>
        <v>wydatki</v>
      </c>
      <c r="I1259" s="1">
        <f>ABS(transakcje[[#This Row],[kwota]])</f>
        <v>6.032</v>
      </c>
    </row>
    <row r="1260" spans="1:9" x14ac:dyDescent="0.3">
      <c r="A1260">
        <v>1259</v>
      </c>
      <c r="B1260">
        <v>2014</v>
      </c>
      <c r="C1260">
        <v>11</v>
      </c>
      <c r="D1260">
        <v>1</v>
      </c>
      <c r="E1260" s="1">
        <v>-8.5</v>
      </c>
      <c r="F1260" t="s">
        <v>23</v>
      </c>
      <c r="G1260" t="str">
        <f>_xlfn.XLOOKUP(transakcje[[#This Row],[podkategoria]],parametr[podkategoria],parametr[kategoria])</f>
        <v>opłaty stałe</v>
      </c>
      <c r="H1260" t="str">
        <f>_xlfn.XLOOKUP(transakcje[[#This Row],[kategoria]],parametr[kategoria],parametr[typ])</f>
        <v>wydatki</v>
      </c>
      <c r="I1260" s="1">
        <f>ABS(transakcje[[#This Row],[kwota]])</f>
        <v>8.5</v>
      </c>
    </row>
    <row r="1261" spans="1:9" x14ac:dyDescent="0.3">
      <c r="A1261">
        <v>1260</v>
      </c>
      <c r="B1261">
        <v>2014</v>
      </c>
      <c r="C1261">
        <v>11</v>
      </c>
      <c r="D1261">
        <v>1</v>
      </c>
      <c r="E1261" s="1">
        <v>-18.213999999999999</v>
      </c>
      <c r="F1261" t="s">
        <v>34</v>
      </c>
      <c r="G1261" t="str">
        <f>_xlfn.XLOOKUP(transakcje[[#This Row],[podkategoria]],parametr[podkategoria],parametr[kategoria])</f>
        <v>opłaty stałe</v>
      </c>
      <c r="H1261" t="str">
        <f>_xlfn.XLOOKUP(transakcje[[#This Row],[kategoria]],parametr[kategoria],parametr[typ])</f>
        <v>wydatki</v>
      </c>
      <c r="I1261" s="1">
        <f>ABS(transakcje[[#This Row],[kwota]])</f>
        <v>18.213999999999999</v>
      </c>
    </row>
    <row r="1262" spans="1:9" x14ac:dyDescent="0.3">
      <c r="A1262">
        <v>1261</v>
      </c>
      <c r="B1262">
        <v>2014</v>
      </c>
      <c r="C1262">
        <v>11</v>
      </c>
      <c r="D1262">
        <v>1</v>
      </c>
      <c r="E1262" s="1">
        <v>-8.9779999999999998</v>
      </c>
      <c r="F1262" t="s">
        <v>25</v>
      </c>
      <c r="G1262" t="str">
        <f>_xlfn.XLOOKUP(transakcje[[#This Row],[podkategoria]],parametr[podkategoria],parametr[kategoria])</f>
        <v>opłaty stałe</v>
      </c>
      <c r="H1262" t="str">
        <f>_xlfn.XLOOKUP(transakcje[[#This Row],[kategoria]],parametr[kategoria],parametr[typ])</f>
        <v>wydatki</v>
      </c>
      <c r="I1262" s="1">
        <f>ABS(transakcje[[#This Row],[kwota]])</f>
        <v>8.9779999999999998</v>
      </c>
    </row>
    <row r="1263" spans="1:9" x14ac:dyDescent="0.3">
      <c r="A1263">
        <v>1262</v>
      </c>
      <c r="B1263">
        <v>2014</v>
      </c>
      <c r="C1263">
        <v>11</v>
      </c>
      <c r="D1263">
        <v>4</v>
      </c>
      <c r="E1263" s="1">
        <v>-20</v>
      </c>
      <c r="F1263" t="s">
        <v>26</v>
      </c>
      <c r="G1263" t="str">
        <f>_xlfn.XLOOKUP(transakcje[[#This Row],[podkategoria]],parametr[podkategoria],parametr[kategoria])</f>
        <v>życie</v>
      </c>
      <c r="H1263" t="str">
        <f>_xlfn.XLOOKUP(transakcje[[#This Row],[kategoria]],parametr[kategoria],parametr[typ])</f>
        <v>wydatki</v>
      </c>
      <c r="I1263" s="1">
        <f>ABS(transakcje[[#This Row],[kwota]])</f>
        <v>20</v>
      </c>
    </row>
    <row r="1264" spans="1:9" x14ac:dyDescent="0.3">
      <c r="A1264">
        <v>1263</v>
      </c>
      <c r="B1264">
        <v>2014</v>
      </c>
      <c r="C1264">
        <v>11</v>
      </c>
      <c r="D1264">
        <v>6</v>
      </c>
      <c r="E1264" s="1">
        <v>-12.257999999999999</v>
      </c>
      <c r="F1264" t="s">
        <v>26</v>
      </c>
      <c r="G1264" t="str">
        <f>_xlfn.XLOOKUP(transakcje[[#This Row],[podkategoria]],parametr[podkategoria],parametr[kategoria])</f>
        <v>życie</v>
      </c>
      <c r="H1264" t="str">
        <f>_xlfn.XLOOKUP(transakcje[[#This Row],[kategoria]],parametr[kategoria],parametr[typ])</f>
        <v>wydatki</v>
      </c>
      <c r="I1264" s="1">
        <f>ABS(transakcje[[#This Row],[kwota]])</f>
        <v>12.257999999999999</v>
      </c>
    </row>
    <row r="1265" spans="1:9" x14ac:dyDescent="0.3">
      <c r="A1265">
        <v>1264</v>
      </c>
      <c r="B1265">
        <v>2014</v>
      </c>
      <c r="C1265">
        <v>11</v>
      </c>
      <c r="D1265">
        <v>7</v>
      </c>
      <c r="E1265" s="1">
        <v>59.929999999999993</v>
      </c>
      <c r="F1265" t="s">
        <v>19</v>
      </c>
      <c r="G1265" t="str">
        <f>_xlfn.XLOOKUP(transakcje[[#This Row],[podkategoria]],parametr[podkategoria],parametr[kategoria])</f>
        <v>dochody z pracy</v>
      </c>
      <c r="H1265" t="str">
        <f>_xlfn.XLOOKUP(transakcje[[#This Row],[kategoria]],parametr[kategoria],parametr[typ])</f>
        <v>dochody</v>
      </c>
      <c r="I1265" s="1">
        <f>ABS(transakcje[[#This Row],[kwota]])</f>
        <v>59.929999999999993</v>
      </c>
    </row>
    <row r="1266" spans="1:9" x14ac:dyDescent="0.3">
      <c r="A1266">
        <v>1265</v>
      </c>
      <c r="B1266">
        <v>2014</v>
      </c>
      <c r="C1266">
        <v>11</v>
      </c>
      <c r="D1266">
        <v>12</v>
      </c>
      <c r="E1266" s="1">
        <v>-4.5299999999999994</v>
      </c>
      <c r="F1266" t="s">
        <v>26</v>
      </c>
      <c r="G1266" t="str">
        <f>_xlfn.XLOOKUP(transakcje[[#This Row],[podkategoria]],parametr[podkategoria],parametr[kategoria])</f>
        <v>życie</v>
      </c>
      <c r="H1266" t="str">
        <f>_xlfn.XLOOKUP(transakcje[[#This Row],[kategoria]],parametr[kategoria],parametr[typ])</f>
        <v>wydatki</v>
      </c>
      <c r="I1266" s="1">
        <f>ABS(transakcje[[#This Row],[kwota]])</f>
        <v>4.5299999999999994</v>
      </c>
    </row>
    <row r="1267" spans="1:9" x14ac:dyDescent="0.3">
      <c r="A1267">
        <v>1266</v>
      </c>
      <c r="B1267">
        <v>2014</v>
      </c>
      <c r="C1267">
        <v>11</v>
      </c>
      <c r="D1267">
        <v>12</v>
      </c>
      <c r="E1267" s="1">
        <v>-5.9619999999999997</v>
      </c>
      <c r="F1267" t="s">
        <v>26</v>
      </c>
      <c r="G1267" t="str">
        <f>_xlfn.XLOOKUP(transakcje[[#This Row],[podkategoria]],parametr[podkategoria],parametr[kategoria])</f>
        <v>życie</v>
      </c>
      <c r="H1267" t="str">
        <f>_xlfn.XLOOKUP(transakcje[[#This Row],[kategoria]],parametr[kategoria],parametr[typ])</f>
        <v>wydatki</v>
      </c>
      <c r="I1267" s="1">
        <f>ABS(transakcje[[#This Row],[kwota]])</f>
        <v>5.9619999999999997</v>
      </c>
    </row>
    <row r="1268" spans="1:9" x14ac:dyDescent="0.3">
      <c r="A1268">
        <v>1267</v>
      </c>
      <c r="B1268">
        <v>2014</v>
      </c>
      <c r="C1268">
        <v>11</v>
      </c>
      <c r="D1268">
        <v>14</v>
      </c>
      <c r="E1268" s="1">
        <v>-3.1079999999999997</v>
      </c>
      <c r="F1268" t="s">
        <v>26</v>
      </c>
      <c r="G1268" t="str">
        <f>_xlfn.XLOOKUP(transakcje[[#This Row],[podkategoria]],parametr[podkategoria],parametr[kategoria])</f>
        <v>życie</v>
      </c>
      <c r="H1268" t="str">
        <f>_xlfn.XLOOKUP(transakcje[[#This Row],[kategoria]],parametr[kategoria],parametr[typ])</f>
        <v>wydatki</v>
      </c>
      <c r="I1268" s="1">
        <f>ABS(transakcje[[#This Row],[kwota]])</f>
        <v>3.1079999999999997</v>
      </c>
    </row>
    <row r="1269" spans="1:9" x14ac:dyDescent="0.3">
      <c r="A1269">
        <v>1268</v>
      </c>
      <c r="B1269">
        <v>2014</v>
      </c>
      <c r="C1269">
        <v>11</v>
      </c>
      <c r="D1269">
        <v>16</v>
      </c>
      <c r="E1269" s="1">
        <v>-0.8</v>
      </c>
      <c r="F1269" t="s">
        <v>14</v>
      </c>
      <c r="G1269" t="str">
        <f>_xlfn.XLOOKUP(transakcje[[#This Row],[podkategoria]],parametr[podkategoria],parametr[kategoria])</f>
        <v>opłaty stałe</v>
      </c>
      <c r="H1269" t="str">
        <f>_xlfn.XLOOKUP(transakcje[[#This Row],[kategoria]],parametr[kategoria],parametr[typ])</f>
        <v>wydatki</v>
      </c>
      <c r="I1269" s="1">
        <f>ABS(transakcje[[#This Row],[kwota]])</f>
        <v>0.8</v>
      </c>
    </row>
    <row r="1270" spans="1:9" x14ac:dyDescent="0.3">
      <c r="A1270">
        <v>1269</v>
      </c>
      <c r="B1270">
        <v>2014</v>
      </c>
      <c r="C1270">
        <v>11</v>
      </c>
      <c r="D1270">
        <v>18</v>
      </c>
      <c r="E1270" s="1">
        <v>-15.847999999999999</v>
      </c>
      <c r="F1270" t="s">
        <v>11</v>
      </c>
      <c r="G1270" t="str">
        <f>_xlfn.XLOOKUP(transakcje[[#This Row],[podkategoria]],parametr[podkategoria],parametr[kategoria])</f>
        <v>wydatki inne</v>
      </c>
      <c r="H1270" t="str">
        <f>_xlfn.XLOOKUP(transakcje[[#This Row],[kategoria]],parametr[kategoria],parametr[typ])</f>
        <v>wydatki</v>
      </c>
      <c r="I1270" s="1">
        <f>ABS(transakcje[[#This Row],[kwota]])</f>
        <v>15.847999999999999</v>
      </c>
    </row>
    <row r="1271" spans="1:9" x14ac:dyDescent="0.3">
      <c r="A1271">
        <v>1270</v>
      </c>
      <c r="B1271">
        <v>2014</v>
      </c>
      <c r="C1271">
        <v>11</v>
      </c>
      <c r="D1271">
        <v>19</v>
      </c>
      <c r="E1271" s="1">
        <v>-0.39800000000000002</v>
      </c>
      <c r="F1271" t="s">
        <v>14</v>
      </c>
      <c r="G1271" t="str">
        <f>_xlfn.XLOOKUP(transakcje[[#This Row],[podkategoria]],parametr[podkategoria],parametr[kategoria])</f>
        <v>opłaty stałe</v>
      </c>
      <c r="H1271" t="str">
        <f>_xlfn.XLOOKUP(transakcje[[#This Row],[kategoria]],parametr[kategoria],parametr[typ])</f>
        <v>wydatki</v>
      </c>
      <c r="I1271" s="1">
        <f>ABS(transakcje[[#This Row],[kwota]])</f>
        <v>0.39800000000000002</v>
      </c>
    </row>
    <row r="1272" spans="1:9" x14ac:dyDescent="0.3">
      <c r="A1272">
        <v>1271</v>
      </c>
      <c r="B1272">
        <v>2014</v>
      </c>
      <c r="C1272">
        <v>11</v>
      </c>
      <c r="D1272">
        <v>19</v>
      </c>
      <c r="E1272" s="1">
        <v>-1.1759999999999999</v>
      </c>
      <c r="F1272" t="s">
        <v>26</v>
      </c>
      <c r="G1272" t="str">
        <f>_xlfn.XLOOKUP(transakcje[[#This Row],[podkategoria]],parametr[podkategoria],parametr[kategoria])</f>
        <v>życie</v>
      </c>
      <c r="H1272" t="str">
        <f>_xlfn.XLOOKUP(transakcje[[#This Row],[kategoria]],parametr[kategoria],parametr[typ])</f>
        <v>wydatki</v>
      </c>
      <c r="I1272" s="1">
        <f>ABS(transakcje[[#This Row],[kwota]])</f>
        <v>1.1759999999999999</v>
      </c>
    </row>
    <row r="1273" spans="1:9" x14ac:dyDescent="0.3">
      <c r="A1273">
        <v>1272</v>
      </c>
      <c r="B1273">
        <v>2014</v>
      </c>
      <c r="C1273">
        <v>11</v>
      </c>
      <c r="D1273">
        <v>20</v>
      </c>
      <c r="E1273" s="1">
        <v>-80</v>
      </c>
      <c r="F1273" t="s">
        <v>11</v>
      </c>
      <c r="G1273" t="str">
        <f>_xlfn.XLOOKUP(transakcje[[#This Row],[podkategoria]],parametr[podkategoria],parametr[kategoria])</f>
        <v>wydatki inne</v>
      </c>
      <c r="H1273" t="str">
        <f>_xlfn.XLOOKUP(transakcje[[#This Row],[kategoria]],parametr[kategoria],parametr[typ])</f>
        <v>wydatki</v>
      </c>
      <c r="I1273" s="1">
        <f>ABS(transakcje[[#This Row],[kwota]])</f>
        <v>80</v>
      </c>
    </row>
    <row r="1274" spans="1:9" x14ac:dyDescent="0.3">
      <c r="A1274">
        <v>1273</v>
      </c>
      <c r="B1274">
        <v>2014</v>
      </c>
      <c r="C1274">
        <v>11</v>
      </c>
      <c r="D1274">
        <v>20</v>
      </c>
      <c r="E1274" s="1">
        <v>22.552</v>
      </c>
      <c r="F1274" t="s">
        <v>17</v>
      </c>
      <c r="G1274" t="str">
        <f>_xlfn.XLOOKUP(transakcje[[#This Row],[podkategoria]],parametr[podkategoria],parametr[kategoria])</f>
        <v>dochody pozostałe</v>
      </c>
      <c r="H1274" t="str">
        <f>_xlfn.XLOOKUP(transakcje[[#This Row],[kategoria]],parametr[kategoria],parametr[typ])</f>
        <v>dochody</v>
      </c>
      <c r="I1274" s="1">
        <f>ABS(transakcje[[#This Row],[kwota]])</f>
        <v>22.552</v>
      </c>
    </row>
    <row r="1275" spans="1:9" x14ac:dyDescent="0.3">
      <c r="A1275">
        <v>1274</v>
      </c>
      <c r="B1275">
        <v>2014</v>
      </c>
      <c r="C1275">
        <v>11</v>
      </c>
      <c r="D1275">
        <v>20</v>
      </c>
      <c r="E1275" s="1">
        <v>-7.18</v>
      </c>
      <c r="F1275" t="s">
        <v>26</v>
      </c>
      <c r="G1275" t="str">
        <f>_xlfn.XLOOKUP(transakcje[[#This Row],[podkategoria]],parametr[podkategoria],parametr[kategoria])</f>
        <v>życie</v>
      </c>
      <c r="H1275" t="str">
        <f>_xlfn.XLOOKUP(transakcje[[#This Row],[kategoria]],parametr[kategoria],parametr[typ])</f>
        <v>wydatki</v>
      </c>
      <c r="I1275" s="1">
        <f>ABS(transakcje[[#This Row],[kwota]])</f>
        <v>7.18</v>
      </c>
    </row>
    <row r="1276" spans="1:9" x14ac:dyDescent="0.3">
      <c r="A1276">
        <v>1275</v>
      </c>
      <c r="B1276">
        <v>2014</v>
      </c>
      <c r="C1276">
        <v>11</v>
      </c>
      <c r="D1276">
        <v>21</v>
      </c>
      <c r="E1276" s="1">
        <v>80</v>
      </c>
      <c r="F1276" t="s">
        <v>17</v>
      </c>
      <c r="G1276" t="str">
        <f>_xlfn.XLOOKUP(transakcje[[#This Row],[podkategoria]],parametr[podkategoria],parametr[kategoria])</f>
        <v>dochody pozostałe</v>
      </c>
      <c r="H1276" t="str">
        <f>_xlfn.XLOOKUP(transakcje[[#This Row],[kategoria]],parametr[kategoria],parametr[typ])</f>
        <v>dochody</v>
      </c>
      <c r="I1276" s="1">
        <f>ABS(transakcje[[#This Row],[kwota]])</f>
        <v>80</v>
      </c>
    </row>
    <row r="1277" spans="1:9" x14ac:dyDescent="0.3">
      <c r="A1277">
        <v>1276</v>
      </c>
      <c r="B1277">
        <v>2014</v>
      </c>
      <c r="C1277">
        <v>11</v>
      </c>
      <c r="D1277">
        <v>21</v>
      </c>
      <c r="E1277" s="1">
        <v>-4.8780000000000001</v>
      </c>
      <c r="F1277" t="s">
        <v>26</v>
      </c>
      <c r="G1277" t="str">
        <f>_xlfn.XLOOKUP(transakcje[[#This Row],[podkategoria]],parametr[podkategoria],parametr[kategoria])</f>
        <v>życie</v>
      </c>
      <c r="H1277" t="str">
        <f>_xlfn.XLOOKUP(transakcje[[#This Row],[kategoria]],parametr[kategoria],parametr[typ])</f>
        <v>wydatki</v>
      </c>
      <c r="I1277" s="1">
        <f>ABS(transakcje[[#This Row],[kwota]])</f>
        <v>4.8780000000000001</v>
      </c>
    </row>
    <row r="1278" spans="1:9" x14ac:dyDescent="0.3">
      <c r="A1278">
        <v>1277</v>
      </c>
      <c r="B1278">
        <v>2014</v>
      </c>
      <c r="C1278">
        <v>11</v>
      </c>
      <c r="D1278">
        <v>25</v>
      </c>
      <c r="E1278" s="1">
        <v>-19.8</v>
      </c>
      <c r="F1278" t="s">
        <v>32</v>
      </c>
      <c r="G1278" t="str">
        <f>_xlfn.XLOOKUP(transakcje[[#This Row],[podkategoria]],parametr[podkategoria],parametr[kategoria])</f>
        <v>opłaty stałe</v>
      </c>
      <c r="H1278" t="str">
        <f>_xlfn.XLOOKUP(transakcje[[#This Row],[kategoria]],parametr[kategoria],parametr[typ])</f>
        <v>wydatki</v>
      </c>
      <c r="I1278" s="1">
        <f>ABS(transakcje[[#This Row],[kwota]])</f>
        <v>19.8</v>
      </c>
    </row>
    <row r="1279" spans="1:9" x14ac:dyDescent="0.3">
      <c r="A1279">
        <v>1278</v>
      </c>
      <c r="B1279">
        <v>2014</v>
      </c>
      <c r="C1279">
        <v>11</v>
      </c>
      <c r="D1279">
        <v>25</v>
      </c>
      <c r="E1279" s="1">
        <v>428.95600000000002</v>
      </c>
      <c r="F1279" t="s">
        <v>8</v>
      </c>
      <c r="G1279" t="str">
        <f>_xlfn.XLOOKUP(transakcje[[#This Row],[podkategoria]],parametr[podkategoria],parametr[kategoria])</f>
        <v>dochody z pracy</v>
      </c>
      <c r="H1279" t="str">
        <f>_xlfn.XLOOKUP(transakcje[[#This Row],[kategoria]],parametr[kategoria],parametr[typ])</f>
        <v>dochody</v>
      </c>
      <c r="I1279" s="1">
        <f>ABS(transakcje[[#This Row],[kwota]])</f>
        <v>428.95600000000002</v>
      </c>
    </row>
    <row r="1280" spans="1:9" x14ac:dyDescent="0.3">
      <c r="A1280">
        <v>1279</v>
      </c>
      <c r="B1280">
        <v>2014</v>
      </c>
      <c r="C1280">
        <v>11</v>
      </c>
      <c r="D1280">
        <v>25</v>
      </c>
      <c r="E1280" s="1">
        <v>-8.3339999999999996</v>
      </c>
      <c r="F1280" t="s">
        <v>26</v>
      </c>
      <c r="G1280" t="str">
        <f>_xlfn.XLOOKUP(transakcje[[#This Row],[podkategoria]],parametr[podkategoria],parametr[kategoria])</f>
        <v>życie</v>
      </c>
      <c r="H1280" t="str">
        <f>_xlfn.XLOOKUP(transakcje[[#This Row],[kategoria]],parametr[kategoria],parametr[typ])</f>
        <v>wydatki</v>
      </c>
      <c r="I1280" s="1">
        <f>ABS(transakcje[[#This Row],[kwota]])</f>
        <v>8.3339999999999996</v>
      </c>
    </row>
    <row r="1281" spans="1:9" x14ac:dyDescent="0.3">
      <c r="A1281">
        <v>1280</v>
      </c>
      <c r="B1281">
        <v>2014</v>
      </c>
      <c r="C1281">
        <v>11</v>
      </c>
      <c r="D1281">
        <v>26</v>
      </c>
      <c r="E1281" s="1">
        <v>-4.13</v>
      </c>
      <c r="F1281" t="s">
        <v>26</v>
      </c>
      <c r="G1281" t="str">
        <f>_xlfn.XLOOKUP(transakcje[[#This Row],[podkategoria]],parametr[podkategoria],parametr[kategoria])</f>
        <v>życie</v>
      </c>
      <c r="H1281" t="str">
        <f>_xlfn.XLOOKUP(transakcje[[#This Row],[kategoria]],parametr[kategoria],parametr[typ])</f>
        <v>wydatki</v>
      </c>
      <c r="I1281" s="1">
        <f>ABS(transakcje[[#This Row],[kwota]])</f>
        <v>4.13</v>
      </c>
    </row>
    <row r="1282" spans="1:9" x14ac:dyDescent="0.3">
      <c r="A1282">
        <v>1281</v>
      </c>
      <c r="B1282">
        <v>2014</v>
      </c>
      <c r="C1282">
        <v>11</v>
      </c>
      <c r="D1282">
        <v>26</v>
      </c>
      <c r="E1282" s="1">
        <v>-1.954</v>
      </c>
      <c r="F1282" t="s">
        <v>26</v>
      </c>
      <c r="G1282" t="str">
        <f>_xlfn.XLOOKUP(transakcje[[#This Row],[podkategoria]],parametr[podkategoria],parametr[kategoria])</f>
        <v>życie</v>
      </c>
      <c r="H1282" t="str">
        <f>_xlfn.XLOOKUP(transakcje[[#This Row],[kategoria]],parametr[kategoria],parametr[typ])</f>
        <v>wydatki</v>
      </c>
      <c r="I1282" s="1">
        <f>ABS(transakcje[[#This Row],[kwota]])</f>
        <v>1.954</v>
      </c>
    </row>
    <row r="1283" spans="1:9" x14ac:dyDescent="0.3">
      <c r="A1283">
        <v>1282</v>
      </c>
      <c r="B1283">
        <v>2014</v>
      </c>
      <c r="C1283">
        <v>11</v>
      </c>
      <c r="D1283">
        <v>29</v>
      </c>
      <c r="E1283" s="1">
        <v>-7</v>
      </c>
      <c r="F1283" t="s">
        <v>26</v>
      </c>
      <c r="G1283" t="str">
        <f>_xlfn.XLOOKUP(transakcje[[#This Row],[podkategoria]],parametr[podkategoria],parametr[kategoria])</f>
        <v>życie</v>
      </c>
      <c r="H1283" t="str">
        <f>_xlfn.XLOOKUP(transakcje[[#This Row],[kategoria]],parametr[kategoria],parametr[typ])</f>
        <v>wydatki</v>
      </c>
      <c r="I1283" s="1">
        <f>ABS(transakcje[[#This Row],[kwota]])</f>
        <v>7</v>
      </c>
    </row>
    <row r="1284" spans="1:9" x14ac:dyDescent="0.3">
      <c r="A1284">
        <v>1283</v>
      </c>
      <c r="B1284">
        <v>2014</v>
      </c>
      <c r="C1284">
        <v>11</v>
      </c>
      <c r="D1284">
        <v>29</v>
      </c>
      <c r="E1284" s="1">
        <v>-7</v>
      </c>
      <c r="F1284" t="s">
        <v>26</v>
      </c>
      <c r="G1284" t="str">
        <f>_xlfn.XLOOKUP(transakcje[[#This Row],[podkategoria]],parametr[podkategoria],parametr[kategoria])</f>
        <v>życie</v>
      </c>
      <c r="H1284" t="str">
        <f>_xlfn.XLOOKUP(transakcje[[#This Row],[kategoria]],parametr[kategoria],parametr[typ])</f>
        <v>wydatki</v>
      </c>
      <c r="I1284" s="1">
        <f>ABS(transakcje[[#This Row],[kwota]])</f>
        <v>7</v>
      </c>
    </row>
    <row r="1285" spans="1:9" x14ac:dyDescent="0.3">
      <c r="A1285">
        <v>1284</v>
      </c>
      <c r="B1285">
        <v>2014</v>
      </c>
      <c r="C1285">
        <v>11</v>
      </c>
      <c r="D1285">
        <v>29</v>
      </c>
      <c r="E1285" s="1">
        <v>-4.8</v>
      </c>
      <c r="F1285" t="s">
        <v>31</v>
      </c>
      <c r="G1285" t="str">
        <f>_xlfn.XLOOKUP(transakcje[[#This Row],[podkategoria]],parametr[podkategoria],parametr[kategoria])</f>
        <v>opłaty stałe</v>
      </c>
      <c r="H1285" t="str">
        <f>_xlfn.XLOOKUP(transakcje[[#This Row],[kategoria]],parametr[kategoria],parametr[typ])</f>
        <v>wydatki</v>
      </c>
      <c r="I1285" s="1">
        <f>ABS(transakcje[[#This Row],[kwota]])</f>
        <v>4.8</v>
      </c>
    </row>
    <row r="1286" spans="1:9" x14ac:dyDescent="0.3">
      <c r="A1286">
        <v>1285</v>
      </c>
      <c r="B1286">
        <v>2014</v>
      </c>
      <c r="C1286">
        <v>11</v>
      </c>
      <c r="D1286">
        <v>30</v>
      </c>
      <c r="E1286" s="1">
        <v>0.01</v>
      </c>
      <c r="F1286" t="s">
        <v>17</v>
      </c>
      <c r="G1286" t="str">
        <f>_xlfn.XLOOKUP(transakcje[[#This Row],[podkategoria]],parametr[podkategoria],parametr[kategoria])</f>
        <v>dochody pozostałe</v>
      </c>
      <c r="H1286" t="str">
        <f>_xlfn.XLOOKUP(transakcje[[#This Row],[kategoria]],parametr[kategoria],parametr[typ])</f>
        <v>dochody</v>
      </c>
      <c r="I1286" s="1">
        <f>ABS(transakcje[[#This Row],[kwota]])</f>
        <v>0.01</v>
      </c>
    </row>
    <row r="1287" spans="1:9" x14ac:dyDescent="0.3">
      <c r="A1287">
        <v>1286</v>
      </c>
      <c r="B1287">
        <v>2014</v>
      </c>
      <c r="C1287">
        <v>11</v>
      </c>
      <c r="D1287">
        <v>30</v>
      </c>
      <c r="E1287" s="1">
        <v>-1.198</v>
      </c>
      <c r="F1287" t="s">
        <v>14</v>
      </c>
      <c r="G1287" t="str">
        <f>_xlfn.XLOOKUP(transakcje[[#This Row],[podkategoria]],parametr[podkategoria],parametr[kategoria])</f>
        <v>opłaty stałe</v>
      </c>
      <c r="H1287" t="str">
        <f>_xlfn.XLOOKUP(transakcje[[#This Row],[kategoria]],parametr[kategoria],parametr[typ])</f>
        <v>wydatki</v>
      </c>
      <c r="I1287" s="1">
        <f>ABS(transakcje[[#This Row],[kwota]])</f>
        <v>1.198</v>
      </c>
    </row>
    <row r="1288" spans="1:9" x14ac:dyDescent="0.3">
      <c r="A1288">
        <v>1287</v>
      </c>
      <c r="B1288">
        <v>2014</v>
      </c>
      <c r="C1288">
        <v>11</v>
      </c>
      <c r="D1288">
        <v>30</v>
      </c>
      <c r="E1288" s="1">
        <v>-0.9</v>
      </c>
      <c r="F1288" t="s">
        <v>14</v>
      </c>
      <c r="G1288" t="str">
        <f>_xlfn.XLOOKUP(transakcje[[#This Row],[podkategoria]],parametr[podkategoria],parametr[kategoria])</f>
        <v>opłaty stałe</v>
      </c>
      <c r="H1288" t="str">
        <f>_xlfn.XLOOKUP(transakcje[[#This Row],[kategoria]],parametr[kategoria],parametr[typ])</f>
        <v>wydatki</v>
      </c>
      <c r="I1288" s="1">
        <f>ABS(transakcje[[#This Row],[kwota]])</f>
        <v>0.9</v>
      </c>
    </row>
    <row r="1289" spans="1:9" x14ac:dyDescent="0.3">
      <c r="A1289">
        <v>1288</v>
      </c>
      <c r="B1289">
        <v>2014</v>
      </c>
      <c r="C1289">
        <v>11</v>
      </c>
      <c r="D1289">
        <v>30</v>
      </c>
      <c r="E1289" s="1">
        <v>-2E-3</v>
      </c>
      <c r="F1289" t="s">
        <v>14</v>
      </c>
      <c r="G1289" t="str">
        <f>_xlfn.XLOOKUP(transakcje[[#This Row],[podkategoria]],parametr[podkategoria],parametr[kategoria])</f>
        <v>opłaty stałe</v>
      </c>
      <c r="H1289" t="str">
        <f>_xlfn.XLOOKUP(transakcje[[#This Row],[kategoria]],parametr[kategoria],parametr[typ])</f>
        <v>wydatki</v>
      </c>
      <c r="I1289" s="1">
        <f>ABS(transakcje[[#This Row],[kwota]])</f>
        <v>2E-3</v>
      </c>
    </row>
    <row r="1290" spans="1:9" x14ac:dyDescent="0.3">
      <c r="A1290">
        <v>1289</v>
      </c>
      <c r="B1290">
        <v>2014</v>
      </c>
      <c r="C1290">
        <v>12</v>
      </c>
      <c r="D1290">
        <v>1</v>
      </c>
      <c r="E1290" s="1">
        <v>-8.98</v>
      </c>
      <c r="F1290" t="s">
        <v>25</v>
      </c>
      <c r="G1290" t="str">
        <f>_xlfn.XLOOKUP(transakcje[[#This Row],[podkategoria]],parametr[podkategoria],parametr[kategoria])</f>
        <v>opłaty stałe</v>
      </c>
      <c r="H1290" t="str">
        <f>_xlfn.XLOOKUP(transakcje[[#This Row],[kategoria]],parametr[kategoria],parametr[typ])</f>
        <v>wydatki</v>
      </c>
      <c r="I1290" s="1">
        <f>ABS(transakcje[[#This Row],[kwota]])</f>
        <v>8.98</v>
      </c>
    </row>
    <row r="1291" spans="1:9" x14ac:dyDescent="0.3">
      <c r="A1291">
        <v>1290</v>
      </c>
      <c r="B1291">
        <v>2014</v>
      </c>
      <c r="C1291">
        <v>12</v>
      </c>
      <c r="D1291">
        <v>1</v>
      </c>
      <c r="E1291" s="1">
        <v>-56.834000000000003</v>
      </c>
      <c r="F1291" t="s">
        <v>31</v>
      </c>
      <c r="G1291" t="str">
        <f>_xlfn.XLOOKUP(transakcje[[#This Row],[podkategoria]],parametr[podkategoria],parametr[kategoria])</f>
        <v>opłaty stałe</v>
      </c>
      <c r="H1291" t="str">
        <f>_xlfn.XLOOKUP(transakcje[[#This Row],[kategoria]],parametr[kategoria],parametr[typ])</f>
        <v>wydatki</v>
      </c>
      <c r="I1291" s="1">
        <f>ABS(transakcje[[#This Row],[kwota]])</f>
        <v>56.834000000000003</v>
      </c>
    </row>
    <row r="1292" spans="1:9" x14ac:dyDescent="0.3">
      <c r="A1292">
        <v>1291</v>
      </c>
      <c r="B1292">
        <v>2014</v>
      </c>
      <c r="C1292">
        <v>12</v>
      </c>
      <c r="D1292">
        <v>1</v>
      </c>
      <c r="E1292" s="1">
        <v>-8.5</v>
      </c>
      <c r="F1292" t="s">
        <v>23</v>
      </c>
      <c r="G1292" t="str">
        <f>_xlfn.XLOOKUP(transakcje[[#This Row],[podkategoria]],parametr[podkategoria],parametr[kategoria])</f>
        <v>opłaty stałe</v>
      </c>
      <c r="H1292" t="str">
        <f>_xlfn.XLOOKUP(transakcje[[#This Row],[kategoria]],parametr[kategoria],parametr[typ])</f>
        <v>wydatki</v>
      </c>
      <c r="I1292" s="1">
        <f>ABS(transakcje[[#This Row],[kwota]])</f>
        <v>8.5</v>
      </c>
    </row>
    <row r="1293" spans="1:9" x14ac:dyDescent="0.3">
      <c r="A1293">
        <v>1292</v>
      </c>
      <c r="B1293">
        <v>2014</v>
      </c>
      <c r="C1293">
        <v>12</v>
      </c>
      <c r="D1293">
        <v>3</v>
      </c>
      <c r="E1293" s="1">
        <v>-5.6079999999999997</v>
      </c>
      <c r="F1293" t="s">
        <v>26</v>
      </c>
      <c r="G1293" t="str">
        <f>_xlfn.XLOOKUP(transakcje[[#This Row],[podkategoria]],parametr[podkategoria],parametr[kategoria])</f>
        <v>życie</v>
      </c>
      <c r="H1293" t="str">
        <f>_xlfn.XLOOKUP(transakcje[[#This Row],[kategoria]],parametr[kategoria],parametr[typ])</f>
        <v>wydatki</v>
      </c>
      <c r="I1293" s="1">
        <f>ABS(transakcje[[#This Row],[kwota]])</f>
        <v>5.6079999999999997</v>
      </c>
    </row>
    <row r="1294" spans="1:9" x14ac:dyDescent="0.3">
      <c r="A1294">
        <v>1293</v>
      </c>
      <c r="B1294">
        <v>2014</v>
      </c>
      <c r="C1294">
        <v>12</v>
      </c>
      <c r="D1294">
        <v>3</v>
      </c>
      <c r="E1294" s="1">
        <v>-0.82799999999999996</v>
      </c>
      <c r="F1294" t="s">
        <v>26</v>
      </c>
      <c r="G1294" t="str">
        <f>_xlfn.XLOOKUP(transakcje[[#This Row],[podkategoria]],parametr[podkategoria],parametr[kategoria])</f>
        <v>życie</v>
      </c>
      <c r="H1294" t="str">
        <f>_xlfn.XLOOKUP(transakcje[[#This Row],[kategoria]],parametr[kategoria],parametr[typ])</f>
        <v>wydatki</v>
      </c>
      <c r="I1294" s="1">
        <f>ABS(transakcje[[#This Row],[kwota]])</f>
        <v>0.82799999999999996</v>
      </c>
    </row>
    <row r="1295" spans="1:9" x14ac:dyDescent="0.3">
      <c r="A1295">
        <v>1294</v>
      </c>
      <c r="B1295">
        <v>2014</v>
      </c>
      <c r="C1295">
        <v>12</v>
      </c>
      <c r="D1295">
        <v>4</v>
      </c>
      <c r="E1295" s="1">
        <v>-20</v>
      </c>
      <c r="F1295" t="s">
        <v>32</v>
      </c>
      <c r="G1295" t="str">
        <f>_xlfn.XLOOKUP(transakcje[[#This Row],[podkategoria]],parametr[podkategoria],parametr[kategoria])</f>
        <v>opłaty stałe</v>
      </c>
      <c r="H1295" t="str">
        <f>_xlfn.XLOOKUP(transakcje[[#This Row],[kategoria]],parametr[kategoria],parametr[typ])</f>
        <v>wydatki</v>
      </c>
      <c r="I1295" s="1">
        <f>ABS(transakcje[[#This Row],[kwota]])</f>
        <v>20</v>
      </c>
    </row>
    <row r="1296" spans="1:9" x14ac:dyDescent="0.3">
      <c r="A1296">
        <v>1295</v>
      </c>
      <c r="B1296">
        <v>2014</v>
      </c>
      <c r="C1296">
        <v>12</v>
      </c>
      <c r="D1296">
        <v>4</v>
      </c>
      <c r="E1296" s="1">
        <v>-10.220000000000001</v>
      </c>
      <c r="F1296" t="s">
        <v>26</v>
      </c>
      <c r="G1296" t="str">
        <f>_xlfn.XLOOKUP(transakcje[[#This Row],[podkategoria]],parametr[podkategoria],parametr[kategoria])</f>
        <v>życie</v>
      </c>
      <c r="H1296" t="str">
        <f>_xlfn.XLOOKUP(transakcje[[#This Row],[kategoria]],parametr[kategoria],parametr[typ])</f>
        <v>wydatki</v>
      </c>
      <c r="I1296" s="1">
        <f>ABS(transakcje[[#This Row],[kwota]])</f>
        <v>10.220000000000001</v>
      </c>
    </row>
    <row r="1297" spans="1:9" x14ac:dyDescent="0.3">
      <c r="A1297">
        <v>1296</v>
      </c>
      <c r="B1297">
        <v>2014</v>
      </c>
      <c r="C1297">
        <v>12</v>
      </c>
      <c r="D1297">
        <v>5</v>
      </c>
      <c r="E1297" s="1">
        <v>77</v>
      </c>
      <c r="F1297" t="s">
        <v>16</v>
      </c>
      <c r="G1297" t="str">
        <f>_xlfn.XLOOKUP(transakcje[[#This Row],[podkategoria]],parametr[podkategoria],parametr[kategoria])</f>
        <v>dochody z pracy</v>
      </c>
      <c r="H1297" t="str">
        <f>_xlfn.XLOOKUP(transakcje[[#This Row],[kategoria]],parametr[kategoria],parametr[typ])</f>
        <v>dochody</v>
      </c>
      <c r="I1297" s="1">
        <f>ABS(transakcje[[#This Row],[kwota]])</f>
        <v>77</v>
      </c>
    </row>
    <row r="1298" spans="1:9" x14ac:dyDescent="0.3">
      <c r="A1298">
        <v>1297</v>
      </c>
      <c r="B1298">
        <v>2014</v>
      </c>
      <c r="C1298">
        <v>12</v>
      </c>
      <c r="D1298">
        <v>9</v>
      </c>
      <c r="E1298" s="1">
        <v>-14.228</v>
      </c>
      <c r="F1298" t="s">
        <v>26</v>
      </c>
      <c r="G1298" t="str">
        <f>_xlfn.XLOOKUP(transakcje[[#This Row],[podkategoria]],parametr[podkategoria],parametr[kategoria])</f>
        <v>życie</v>
      </c>
      <c r="H1298" t="str">
        <f>_xlfn.XLOOKUP(transakcje[[#This Row],[kategoria]],parametr[kategoria],parametr[typ])</f>
        <v>wydatki</v>
      </c>
      <c r="I1298" s="1">
        <f>ABS(transakcje[[#This Row],[kwota]])</f>
        <v>14.228</v>
      </c>
    </row>
    <row r="1299" spans="1:9" x14ac:dyDescent="0.3">
      <c r="A1299">
        <v>1298</v>
      </c>
      <c r="B1299">
        <v>2014</v>
      </c>
      <c r="C1299">
        <v>12</v>
      </c>
      <c r="D1299">
        <v>13</v>
      </c>
      <c r="E1299" s="1">
        <v>-6.9799999999999995</v>
      </c>
      <c r="F1299" t="s">
        <v>26</v>
      </c>
      <c r="G1299" t="str">
        <f>_xlfn.XLOOKUP(transakcje[[#This Row],[podkategoria]],parametr[podkategoria],parametr[kategoria])</f>
        <v>życie</v>
      </c>
      <c r="H1299" t="str">
        <f>_xlfn.XLOOKUP(transakcje[[#This Row],[kategoria]],parametr[kategoria],parametr[typ])</f>
        <v>wydatki</v>
      </c>
      <c r="I1299" s="1">
        <f>ABS(transakcje[[#This Row],[kwota]])</f>
        <v>6.9799999999999995</v>
      </c>
    </row>
    <row r="1300" spans="1:9" x14ac:dyDescent="0.3">
      <c r="A1300">
        <v>1299</v>
      </c>
      <c r="B1300">
        <v>2014</v>
      </c>
      <c r="C1300">
        <v>12</v>
      </c>
      <c r="D1300">
        <v>15</v>
      </c>
      <c r="E1300" s="1">
        <v>-3.7320000000000002</v>
      </c>
      <c r="F1300" t="s">
        <v>26</v>
      </c>
      <c r="G1300" t="str">
        <f>_xlfn.XLOOKUP(transakcje[[#This Row],[podkategoria]],parametr[podkategoria],parametr[kategoria])</f>
        <v>życie</v>
      </c>
      <c r="H1300" t="str">
        <f>_xlfn.XLOOKUP(transakcje[[#This Row],[kategoria]],parametr[kategoria],parametr[typ])</f>
        <v>wydatki</v>
      </c>
      <c r="I1300" s="1">
        <f>ABS(transakcje[[#This Row],[kwota]])</f>
        <v>3.7320000000000002</v>
      </c>
    </row>
    <row r="1301" spans="1:9" x14ac:dyDescent="0.3">
      <c r="A1301">
        <v>1300</v>
      </c>
      <c r="B1301">
        <v>2014</v>
      </c>
      <c r="C1301">
        <v>12</v>
      </c>
      <c r="D1301">
        <v>16</v>
      </c>
      <c r="E1301" s="1">
        <v>-0.8</v>
      </c>
      <c r="F1301" t="s">
        <v>14</v>
      </c>
      <c r="G1301" t="str">
        <f>_xlfn.XLOOKUP(transakcje[[#This Row],[podkategoria]],parametr[podkategoria],parametr[kategoria])</f>
        <v>opłaty stałe</v>
      </c>
      <c r="H1301" t="str">
        <f>_xlfn.XLOOKUP(transakcje[[#This Row],[kategoria]],parametr[kategoria],parametr[typ])</f>
        <v>wydatki</v>
      </c>
      <c r="I1301" s="1">
        <f>ABS(transakcje[[#This Row],[kwota]])</f>
        <v>0.8</v>
      </c>
    </row>
    <row r="1302" spans="1:9" x14ac:dyDescent="0.3">
      <c r="A1302">
        <v>1301</v>
      </c>
      <c r="B1302">
        <v>2014</v>
      </c>
      <c r="C1302">
        <v>12</v>
      </c>
      <c r="D1302">
        <v>16</v>
      </c>
      <c r="E1302" s="1">
        <v>-0.39800000000000002</v>
      </c>
      <c r="F1302" t="s">
        <v>14</v>
      </c>
      <c r="G1302" t="str">
        <f>_xlfn.XLOOKUP(transakcje[[#This Row],[podkategoria]],parametr[podkategoria],parametr[kategoria])</f>
        <v>opłaty stałe</v>
      </c>
      <c r="H1302" t="str">
        <f>_xlfn.XLOOKUP(transakcje[[#This Row],[kategoria]],parametr[kategoria],parametr[typ])</f>
        <v>wydatki</v>
      </c>
      <c r="I1302" s="1">
        <f>ABS(transakcje[[#This Row],[kwota]])</f>
        <v>0.39800000000000002</v>
      </c>
    </row>
    <row r="1303" spans="1:9" x14ac:dyDescent="0.3">
      <c r="A1303">
        <v>1302</v>
      </c>
      <c r="B1303">
        <v>2014</v>
      </c>
      <c r="C1303">
        <v>12</v>
      </c>
      <c r="D1303">
        <v>18</v>
      </c>
      <c r="E1303" s="1">
        <v>428.95600000000002</v>
      </c>
      <c r="F1303" t="s">
        <v>8</v>
      </c>
      <c r="G1303" t="str">
        <f>_xlfn.XLOOKUP(transakcje[[#This Row],[podkategoria]],parametr[podkategoria],parametr[kategoria])</f>
        <v>dochody z pracy</v>
      </c>
      <c r="H1303" t="str">
        <f>_xlfn.XLOOKUP(transakcje[[#This Row],[kategoria]],parametr[kategoria],parametr[typ])</f>
        <v>dochody</v>
      </c>
      <c r="I1303" s="1">
        <f>ABS(transakcje[[#This Row],[kwota]])</f>
        <v>428.95600000000002</v>
      </c>
    </row>
    <row r="1304" spans="1:9" x14ac:dyDescent="0.3">
      <c r="A1304">
        <v>1303</v>
      </c>
      <c r="B1304">
        <v>2014</v>
      </c>
      <c r="C1304">
        <v>12</v>
      </c>
      <c r="D1304">
        <v>23</v>
      </c>
      <c r="E1304" s="1">
        <v>267.10599999999999</v>
      </c>
      <c r="F1304" t="s">
        <v>19</v>
      </c>
      <c r="G1304" t="str">
        <f>_xlfn.XLOOKUP(transakcje[[#This Row],[podkategoria]],parametr[podkategoria],parametr[kategoria])</f>
        <v>dochody z pracy</v>
      </c>
      <c r="H1304" t="str">
        <f>_xlfn.XLOOKUP(transakcje[[#This Row],[kategoria]],parametr[kategoria],parametr[typ])</f>
        <v>dochody</v>
      </c>
      <c r="I1304" s="1">
        <f>ABS(transakcje[[#This Row],[kwota]])</f>
        <v>267.10599999999999</v>
      </c>
    </row>
    <row r="1305" spans="1:9" x14ac:dyDescent="0.3">
      <c r="A1305">
        <v>1304</v>
      </c>
      <c r="B1305">
        <v>2014</v>
      </c>
      <c r="C1305">
        <v>12</v>
      </c>
      <c r="D1305">
        <v>31</v>
      </c>
      <c r="E1305" s="1">
        <v>1.2E-2</v>
      </c>
      <c r="F1305" t="s">
        <v>17</v>
      </c>
      <c r="G1305" t="str">
        <f>_xlfn.XLOOKUP(transakcje[[#This Row],[podkategoria]],parametr[podkategoria],parametr[kategoria])</f>
        <v>dochody pozostałe</v>
      </c>
      <c r="H1305" t="str">
        <f>_xlfn.XLOOKUP(transakcje[[#This Row],[kategoria]],parametr[kategoria],parametr[typ])</f>
        <v>dochody</v>
      </c>
      <c r="I1305" s="1">
        <f>ABS(transakcje[[#This Row],[kwota]])</f>
        <v>1.2E-2</v>
      </c>
    </row>
    <row r="1306" spans="1:9" x14ac:dyDescent="0.3">
      <c r="A1306">
        <v>1305</v>
      </c>
      <c r="B1306">
        <v>2014</v>
      </c>
      <c r="C1306">
        <v>12</v>
      </c>
      <c r="D1306">
        <v>31</v>
      </c>
      <c r="E1306" s="1">
        <v>-1.198</v>
      </c>
      <c r="F1306" t="s">
        <v>14</v>
      </c>
      <c r="G1306" t="str">
        <f>_xlfn.XLOOKUP(transakcje[[#This Row],[podkategoria]],parametr[podkategoria],parametr[kategoria])</f>
        <v>opłaty stałe</v>
      </c>
      <c r="H1306" t="str">
        <f>_xlfn.XLOOKUP(transakcje[[#This Row],[kategoria]],parametr[kategoria],parametr[typ])</f>
        <v>wydatki</v>
      </c>
      <c r="I1306" s="1">
        <f>ABS(transakcje[[#This Row],[kwota]])</f>
        <v>1.198</v>
      </c>
    </row>
    <row r="1307" spans="1:9" x14ac:dyDescent="0.3">
      <c r="A1307">
        <v>1306</v>
      </c>
      <c r="B1307">
        <v>2014</v>
      </c>
      <c r="C1307">
        <v>12</v>
      </c>
      <c r="D1307">
        <v>31</v>
      </c>
      <c r="E1307" s="1">
        <v>-4.0000000000000001E-3</v>
      </c>
      <c r="F1307" t="s">
        <v>14</v>
      </c>
      <c r="G1307" t="str">
        <f>_xlfn.XLOOKUP(transakcje[[#This Row],[podkategoria]],parametr[podkategoria],parametr[kategoria])</f>
        <v>opłaty stałe</v>
      </c>
      <c r="H1307" t="str">
        <f>_xlfn.XLOOKUP(transakcje[[#This Row],[kategoria]],parametr[kategoria],parametr[typ])</f>
        <v>wydatki</v>
      </c>
      <c r="I1307" s="1">
        <f>ABS(transakcje[[#This Row],[kwota]])</f>
        <v>4.0000000000000001E-3</v>
      </c>
    </row>
    <row r="1308" spans="1:9" x14ac:dyDescent="0.3">
      <c r="A1308">
        <v>1307</v>
      </c>
      <c r="B1308">
        <v>2015</v>
      </c>
      <c r="C1308">
        <v>1</v>
      </c>
      <c r="D1308">
        <v>2</v>
      </c>
      <c r="E1308" s="1">
        <v>-68</v>
      </c>
      <c r="F1308" t="s">
        <v>26</v>
      </c>
      <c r="G1308" t="str">
        <f>_xlfn.XLOOKUP(transakcje[[#This Row],[podkategoria]],parametr[podkategoria],parametr[kategoria])</f>
        <v>życie</v>
      </c>
      <c r="H1308" t="str">
        <f>_xlfn.XLOOKUP(transakcje[[#This Row],[kategoria]],parametr[kategoria],parametr[typ])</f>
        <v>wydatki</v>
      </c>
      <c r="I1308" s="1">
        <f>ABS(transakcje[[#This Row],[kwota]])</f>
        <v>68</v>
      </c>
    </row>
    <row r="1309" spans="1:9" x14ac:dyDescent="0.3">
      <c r="A1309">
        <v>1308</v>
      </c>
      <c r="B1309">
        <v>2015</v>
      </c>
      <c r="C1309">
        <v>1</v>
      </c>
      <c r="D1309">
        <v>3</v>
      </c>
      <c r="E1309" s="1">
        <v>-4.3</v>
      </c>
      <c r="F1309" t="s">
        <v>37</v>
      </c>
      <c r="G1309" t="str">
        <f>_xlfn.XLOOKUP(transakcje[[#This Row],[podkategoria]],parametr[podkategoria],parametr[kategoria])</f>
        <v>opłaty stałe</v>
      </c>
      <c r="H1309" t="str">
        <f>_xlfn.XLOOKUP(transakcje[[#This Row],[kategoria]],parametr[kategoria],parametr[typ])</f>
        <v>wydatki</v>
      </c>
      <c r="I1309" s="1">
        <f>ABS(transakcje[[#This Row],[kwota]])</f>
        <v>4.3</v>
      </c>
    </row>
    <row r="1310" spans="1:9" x14ac:dyDescent="0.3">
      <c r="A1310">
        <v>1309</v>
      </c>
      <c r="B1310">
        <v>2015</v>
      </c>
      <c r="C1310">
        <v>1</v>
      </c>
      <c r="D1310">
        <v>3</v>
      </c>
      <c r="E1310" s="1">
        <v>-6.032</v>
      </c>
      <c r="F1310" t="s">
        <v>35</v>
      </c>
      <c r="G1310" t="str">
        <f>_xlfn.XLOOKUP(transakcje[[#This Row],[podkategoria]],parametr[podkategoria],parametr[kategoria])</f>
        <v>opłaty stałe</v>
      </c>
      <c r="H1310" t="str">
        <f>_xlfn.XLOOKUP(transakcje[[#This Row],[kategoria]],parametr[kategoria],parametr[typ])</f>
        <v>wydatki</v>
      </c>
      <c r="I1310" s="1">
        <f>ABS(transakcje[[#This Row],[kwota]])</f>
        <v>6.032</v>
      </c>
    </row>
    <row r="1311" spans="1:9" x14ac:dyDescent="0.3">
      <c r="A1311">
        <v>1310</v>
      </c>
      <c r="B1311">
        <v>2015</v>
      </c>
      <c r="C1311">
        <v>1</v>
      </c>
      <c r="D1311">
        <v>3</v>
      </c>
      <c r="E1311" s="1">
        <v>-8.5</v>
      </c>
      <c r="F1311" t="s">
        <v>23</v>
      </c>
      <c r="G1311" t="str">
        <f>_xlfn.XLOOKUP(transakcje[[#This Row],[podkategoria]],parametr[podkategoria],parametr[kategoria])</f>
        <v>opłaty stałe</v>
      </c>
      <c r="H1311" t="str">
        <f>_xlfn.XLOOKUP(transakcje[[#This Row],[kategoria]],parametr[kategoria],parametr[typ])</f>
        <v>wydatki</v>
      </c>
      <c r="I1311" s="1">
        <f>ABS(transakcje[[#This Row],[kwota]])</f>
        <v>8.5</v>
      </c>
    </row>
    <row r="1312" spans="1:9" x14ac:dyDescent="0.3">
      <c r="A1312">
        <v>1311</v>
      </c>
      <c r="B1312">
        <v>2015</v>
      </c>
      <c r="C1312">
        <v>1</v>
      </c>
      <c r="D1312">
        <v>3</v>
      </c>
      <c r="E1312" s="1">
        <v>-15.666</v>
      </c>
      <c r="F1312" t="s">
        <v>34</v>
      </c>
      <c r="G1312" t="str">
        <f>_xlfn.XLOOKUP(transakcje[[#This Row],[podkategoria]],parametr[podkategoria],parametr[kategoria])</f>
        <v>opłaty stałe</v>
      </c>
      <c r="H1312" t="str">
        <f>_xlfn.XLOOKUP(transakcje[[#This Row],[kategoria]],parametr[kategoria],parametr[typ])</f>
        <v>wydatki</v>
      </c>
      <c r="I1312" s="1">
        <f>ABS(transakcje[[#This Row],[kwota]])</f>
        <v>15.666</v>
      </c>
    </row>
    <row r="1313" spans="1:9" x14ac:dyDescent="0.3">
      <c r="A1313">
        <v>1312</v>
      </c>
      <c r="B1313">
        <v>2015</v>
      </c>
      <c r="C1313">
        <v>1</v>
      </c>
      <c r="D1313">
        <v>3</v>
      </c>
      <c r="E1313" s="1">
        <v>-8.98</v>
      </c>
      <c r="F1313" t="s">
        <v>25</v>
      </c>
      <c r="G1313" t="str">
        <f>_xlfn.XLOOKUP(transakcje[[#This Row],[podkategoria]],parametr[podkategoria],parametr[kategoria])</f>
        <v>opłaty stałe</v>
      </c>
      <c r="H1313" t="str">
        <f>_xlfn.XLOOKUP(transakcje[[#This Row],[kategoria]],parametr[kategoria],parametr[typ])</f>
        <v>wydatki</v>
      </c>
      <c r="I1313" s="1">
        <f>ABS(transakcje[[#This Row],[kwota]])</f>
        <v>8.98</v>
      </c>
    </row>
    <row r="1314" spans="1:9" x14ac:dyDescent="0.3">
      <c r="A1314">
        <v>1313</v>
      </c>
      <c r="B1314">
        <v>2015</v>
      </c>
      <c r="C1314">
        <v>1</v>
      </c>
      <c r="D1314">
        <v>13</v>
      </c>
      <c r="E1314" s="1">
        <v>-7.3920000000000003</v>
      </c>
      <c r="F1314" t="s">
        <v>26</v>
      </c>
      <c r="G1314" t="str">
        <f>_xlfn.XLOOKUP(transakcje[[#This Row],[podkategoria]],parametr[podkategoria],parametr[kategoria])</f>
        <v>życie</v>
      </c>
      <c r="H1314" t="str">
        <f>_xlfn.XLOOKUP(transakcje[[#This Row],[kategoria]],parametr[kategoria],parametr[typ])</f>
        <v>wydatki</v>
      </c>
      <c r="I1314" s="1">
        <f>ABS(transakcje[[#This Row],[kwota]])</f>
        <v>7.3920000000000003</v>
      </c>
    </row>
    <row r="1315" spans="1:9" x14ac:dyDescent="0.3">
      <c r="A1315">
        <v>1314</v>
      </c>
      <c r="B1315">
        <v>2015</v>
      </c>
      <c r="C1315">
        <v>1</v>
      </c>
      <c r="D1315">
        <v>14</v>
      </c>
      <c r="E1315" s="1">
        <v>-0.39800000000000002</v>
      </c>
      <c r="F1315" t="s">
        <v>14</v>
      </c>
      <c r="G1315" t="str">
        <f>_xlfn.XLOOKUP(transakcje[[#This Row],[podkategoria]],parametr[podkategoria],parametr[kategoria])</f>
        <v>opłaty stałe</v>
      </c>
      <c r="H1315" t="str">
        <f>_xlfn.XLOOKUP(transakcje[[#This Row],[kategoria]],parametr[kategoria],parametr[typ])</f>
        <v>wydatki</v>
      </c>
      <c r="I1315" s="1">
        <f>ABS(transakcje[[#This Row],[kwota]])</f>
        <v>0.39800000000000002</v>
      </c>
    </row>
    <row r="1316" spans="1:9" x14ac:dyDescent="0.3">
      <c r="A1316">
        <v>1315</v>
      </c>
      <c r="B1316">
        <v>2015</v>
      </c>
      <c r="C1316">
        <v>1</v>
      </c>
      <c r="D1316">
        <v>15</v>
      </c>
      <c r="E1316" s="1">
        <v>-3.528</v>
      </c>
      <c r="F1316" t="s">
        <v>26</v>
      </c>
      <c r="G1316" t="str">
        <f>_xlfn.XLOOKUP(transakcje[[#This Row],[podkategoria]],parametr[podkategoria],parametr[kategoria])</f>
        <v>życie</v>
      </c>
      <c r="H1316" t="str">
        <f>_xlfn.XLOOKUP(transakcje[[#This Row],[kategoria]],parametr[kategoria],parametr[typ])</f>
        <v>wydatki</v>
      </c>
      <c r="I1316" s="1">
        <f>ABS(transakcje[[#This Row],[kwota]])</f>
        <v>3.528</v>
      </c>
    </row>
    <row r="1317" spans="1:9" x14ac:dyDescent="0.3">
      <c r="A1317">
        <v>1316</v>
      </c>
      <c r="B1317">
        <v>2015</v>
      </c>
      <c r="C1317">
        <v>1</v>
      </c>
      <c r="D1317">
        <v>16</v>
      </c>
      <c r="E1317" s="1">
        <v>-0.8</v>
      </c>
      <c r="F1317" t="s">
        <v>14</v>
      </c>
      <c r="G1317" t="str">
        <f>_xlfn.XLOOKUP(transakcje[[#This Row],[podkategoria]],parametr[podkategoria],parametr[kategoria])</f>
        <v>opłaty stałe</v>
      </c>
      <c r="H1317" t="str">
        <f>_xlfn.XLOOKUP(transakcje[[#This Row],[kategoria]],parametr[kategoria],parametr[typ])</f>
        <v>wydatki</v>
      </c>
      <c r="I1317" s="1">
        <f>ABS(transakcje[[#This Row],[kwota]])</f>
        <v>0.8</v>
      </c>
    </row>
    <row r="1318" spans="1:9" x14ac:dyDescent="0.3">
      <c r="A1318">
        <v>1317</v>
      </c>
      <c r="B1318">
        <v>2015</v>
      </c>
      <c r="C1318">
        <v>1</v>
      </c>
      <c r="D1318">
        <v>22</v>
      </c>
      <c r="E1318" s="1">
        <v>-9.5220000000000002</v>
      </c>
      <c r="F1318" t="s">
        <v>26</v>
      </c>
      <c r="G1318" t="str">
        <f>_xlfn.XLOOKUP(transakcje[[#This Row],[podkategoria]],parametr[podkategoria],parametr[kategoria])</f>
        <v>życie</v>
      </c>
      <c r="H1318" t="str">
        <f>_xlfn.XLOOKUP(transakcje[[#This Row],[kategoria]],parametr[kategoria],parametr[typ])</f>
        <v>wydatki</v>
      </c>
      <c r="I1318" s="1">
        <f>ABS(transakcje[[#This Row],[kwota]])</f>
        <v>9.5220000000000002</v>
      </c>
    </row>
    <row r="1319" spans="1:9" x14ac:dyDescent="0.3">
      <c r="A1319">
        <v>1318</v>
      </c>
      <c r="B1319">
        <v>2015</v>
      </c>
      <c r="C1319">
        <v>1</v>
      </c>
      <c r="D1319">
        <v>23</v>
      </c>
      <c r="E1319" s="1">
        <v>428.95600000000002</v>
      </c>
      <c r="F1319" t="s">
        <v>8</v>
      </c>
      <c r="G1319" t="str">
        <f>_xlfn.XLOOKUP(transakcje[[#This Row],[podkategoria]],parametr[podkategoria],parametr[kategoria])</f>
        <v>dochody z pracy</v>
      </c>
      <c r="H1319" t="str">
        <f>_xlfn.XLOOKUP(transakcje[[#This Row],[kategoria]],parametr[kategoria],parametr[typ])</f>
        <v>dochody</v>
      </c>
      <c r="I1319" s="1">
        <f>ABS(transakcje[[#This Row],[kwota]])</f>
        <v>428.95600000000002</v>
      </c>
    </row>
    <row r="1320" spans="1:9" x14ac:dyDescent="0.3">
      <c r="A1320">
        <v>1319</v>
      </c>
      <c r="B1320">
        <v>2015</v>
      </c>
      <c r="C1320">
        <v>1</v>
      </c>
      <c r="D1320">
        <v>23</v>
      </c>
      <c r="E1320" s="1">
        <v>-13.068000000000001</v>
      </c>
      <c r="F1320" t="s">
        <v>11</v>
      </c>
      <c r="G1320" t="str">
        <f>_xlfn.XLOOKUP(transakcje[[#This Row],[podkategoria]],parametr[podkategoria],parametr[kategoria])</f>
        <v>wydatki inne</v>
      </c>
      <c r="H1320" t="str">
        <f>_xlfn.XLOOKUP(transakcje[[#This Row],[kategoria]],parametr[kategoria],parametr[typ])</f>
        <v>wydatki</v>
      </c>
      <c r="I1320" s="1">
        <f>ABS(transakcje[[#This Row],[kwota]])</f>
        <v>13.068000000000001</v>
      </c>
    </row>
    <row r="1321" spans="1:9" x14ac:dyDescent="0.3">
      <c r="A1321">
        <v>1320</v>
      </c>
      <c r="B1321">
        <v>2015</v>
      </c>
      <c r="C1321">
        <v>1</v>
      </c>
      <c r="D1321">
        <v>29</v>
      </c>
      <c r="E1321" s="1">
        <v>-55.8</v>
      </c>
      <c r="F1321" t="s">
        <v>24</v>
      </c>
      <c r="G1321" t="str">
        <f>_xlfn.XLOOKUP(transakcje[[#This Row],[podkategoria]],parametr[podkategoria],parametr[kategoria])</f>
        <v>trwałe</v>
      </c>
      <c r="H1321" t="str">
        <f>_xlfn.XLOOKUP(transakcje[[#This Row],[kategoria]],parametr[kategoria],parametr[typ])</f>
        <v>wydatki</v>
      </c>
      <c r="I1321" s="1">
        <f>ABS(transakcje[[#This Row],[kwota]])</f>
        <v>55.8</v>
      </c>
    </row>
    <row r="1322" spans="1:9" x14ac:dyDescent="0.3">
      <c r="A1322">
        <v>1321</v>
      </c>
      <c r="B1322">
        <v>2015</v>
      </c>
      <c r="C1322">
        <v>1</v>
      </c>
      <c r="D1322">
        <v>30</v>
      </c>
      <c r="E1322" s="1">
        <v>-4.5600000000000005</v>
      </c>
      <c r="F1322" t="s">
        <v>26</v>
      </c>
      <c r="G1322" t="str">
        <f>_xlfn.XLOOKUP(transakcje[[#This Row],[podkategoria]],parametr[podkategoria],parametr[kategoria])</f>
        <v>życie</v>
      </c>
      <c r="H1322" t="str">
        <f>_xlfn.XLOOKUP(transakcje[[#This Row],[kategoria]],parametr[kategoria],parametr[typ])</f>
        <v>wydatki</v>
      </c>
      <c r="I1322" s="1">
        <f>ABS(transakcje[[#This Row],[kwota]])</f>
        <v>4.5600000000000005</v>
      </c>
    </row>
    <row r="1323" spans="1:9" x14ac:dyDescent="0.3">
      <c r="A1323">
        <v>1322</v>
      </c>
      <c r="B1323">
        <v>2015</v>
      </c>
      <c r="C1323">
        <v>1</v>
      </c>
      <c r="D1323">
        <v>30</v>
      </c>
      <c r="E1323" s="1">
        <v>-3.3220000000000001</v>
      </c>
      <c r="F1323" t="s">
        <v>26</v>
      </c>
      <c r="G1323" t="str">
        <f>_xlfn.XLOOKUP(transakcje[[#This Row],[podkategoria]],parametr[podkategoria],parametr[kategoria])</f>
        <v>życie</v>
      </c>
      <c r="H1323" t="str">
        <f>_xlfn.XLOOKUP(transakcje[[#This Row],[kategoria]],parametr[kategoria],parametr[typ])</f>
        <v>wydatki</v>
      </c>
      <c r="I1323" s="1">
        <f>ABS(transakcje[[#This Row],[kwota]])</f>
        <v>3.3220000000000001</v>
      </c>
    </row>
    <row r="1324" spans="1:9" x14ac:dyDescent="0.3">
      <c r="A1324">
        <v>1323</v>
      </c>
      <c r="B1324">
        <v>2015</v>
      </c>
      <c r="C1324">
        <v>1</v>
      </c>
      <c r="D1324">
        <v>31</v>
      </c>
      <c r="E1324" s="1">
        <v>1.4000000000000002E-2</v>
      </c>
      <c r="F1324" t="s">
        <v>17</v>
      </c>
      <c r="G1324" t="str">
        <f>_xlfn.XLOOKUP(transakcje[[#This Row],[podkategoria]],parametr[podkategoria],parametr[kategoria])</f>
        <v>dochody pozostałe</v>
      </c>
      <c r="H1324" t="str">
        <f>_xlfn.XLOOKUP(transakcje[[#This Row],[kategoria]],parametr[kategoria],parametr[typ])</f>
        <v>dochody</v>
      </c>
      <c r="I1324" s="1">
        <f>ABS(transakcje[[#This Row],[kwota]])</f>
        <v>1.4000000000000002E-2</v>
      </c>
    </row>
    <row r="1325" spans="1:9" x14ac:dyDescent="0.3">
      <c r="A1325">
        <v>1324</v>
      </c>
      <c r="B1325">
        <v>2015</v>
      </c>
      <c r="C1325">
        <v>1</v>
      </c>
      <c r="D1325">
        <v>31</v>
      </c>
      <c r="E1325" s="1">
        <v>-1.198</v>
      </c>
      <c r="F1325" t="s">
        <v>14</v>
      </c>
      <c r="G1325" t="str">
        <f>_xlfn.XLOOKUP(transakcje[[#This Row],[podkategoria]],parametr[podkategoria],parametr[kategoria])</f>
        <v>opłaty stałe</v>
      </c>
      <c r="H1325" t="str">
        <f>_xlfn.XLOOKUP(transakcje[[#This Row],[kategoria]],parametr[kategoria],parametr[typ])</f>
        <v>wydatki</v>
      </c>
      <c r="I1325" s="1">
        <f>ABS(transakcje[[#This Row],[kwota]])</f>
        <v>1.198</v>
      </c>
    </row>
    <row r="1326" spans="1:9" x14ac:dyDescent="0.3">
      <c r="A1326">
        <v>1325</v>
      </c>
      <c r="B1326">
        <v>2015</v>
      </c>
      <c r="C1326">
        <v>1</v>
      </c>
      <c r="D1326">
        <v>31</v>
      </c>
      <c r="E1326" s="1">
        <v>-1</v>
      </c>
      <c r="F1326" t="s">
        <v>14</v>
      </c>
      <c r="G1326" t="str">
        <f>_xlfn.XLOOKUP(transakcje[[#This Row],[podkategoria]],parametr[podkategoria],parametr[kategoria])</f>
        <v>opłaty stałe</v>
      </c>
      <c r="H1326" t="str">
        <f>_xlfn.XLOOKUP(transakcje[[#This Row],[kategoria]],parametr[kategoria],parametr[typ])</f>
        <v>wydatki</v>
      </c>
      <c r="I1326" s="1">
        <f>ABS(transakcje[[#This Row],[kwota]])</f>
        <v>1</v>
      </c>
    </row>
    <row r="1327" spans="1:9" x14ac:dyDescent="0.3">
      <c r="A1327">
        <v>1326</v>
      </c>
      <c r="B1327">
        <v>2015</v>
      </c>
      <c r="C1327">
        <v>1</v>
      </c>
      <c r="D1327">
        <v>31</v>
      </c>
      <c r="E1327" s="1">
        <v>-4.0000000000000001E-3</v>
      </c>
      <c r="F1327" t="s">
        <v>14</v>
      </c>
      <c r="G1327" t="str">
        <f>_xlfn.XLOOKUP(transakcje[[#This Row],[podkategoria]],parametr[podkategoria],parametr[kategoria])</f>
        <v>opłaty stałe</v>
      </c>
      <c r="H1327" t="str">
        <f>_xlfn.XLOOKUP(transakcje[[#This Row],[kategoria]],parametr[kategoria],parametr[typ])</f>
        <v>wydatki</v>
      </c>
      <c r="I1327" s="1">
        <f>ABS(transakcje[[#This Row],[kwota]])</f>
        <v>4.0000000000000001E-3</v>
      </c>
    </row>
    <row r="1328" spans="1:9" x14ac:dyDescent="0.3">
      <c r="A1328">
        <v>1327</v>
      </c>
      <c r="B1328">
        <v>2015</v>
      </c>
      <c r="C1328">
        <v>1</v>
      </c>
      <c r="D1328">
        <v>31</v>
      </c>
      <c r="E1328" s="1">
        <v>-8.1999999999999993</v>
      </c>
      <c r="F1328" t="s">
        <v>36</v>
      </c>
      <c r="G1328" t="str">
        <f>_xlfn.XLOOKUP(transakcje[[#This Row],[podkategoria]],parametr[podkategoria],parametr[kategoria])</f>
        <v>opłaty stałe</v>
      </c>
      <c r="H1328" t="str">
        <f>_xlfn.XLOOKUP(transakcje[[#This Row],[kategoria]],parametr[kategoria],parametr[typ])</f>
        <v>wydatki</v>
      </c>
      <c r="I1328" s="1">
        <f>ABS(transakcje[[#This Row],[kwota]])</f>
        <v>8.1999999999999993</v>
      </c>
    </row>
    <row r="1329" spans="1:9" x14ac:dyDescent="0.3">
      <c r="A1329">
        <v>1328</v>
      </c>
      <c r="B1329">
        <v>2015</v>
      </c>
      <c r="C1329">
        <v>1</v>
      </c>
      <c r="D1329">
        <v>31</v>
      </c>
      <c r="E1329" s="1">
        <v>-4.8</v>
      </c>
      <c r="F1329" t="s">
        <v>31</v>
      </c>
      <c r="G1329" t="str">
        <f>_xlfn.XLOOKUP(transakcje[[#This Row],[podkategoria]],parametr[podkategoria],parametr[kategoria])</f>
        <v>opłaty stałe</v>
      </c>
      <c r="H1329" t="str">
        <f>_xlfn.XLOOKUP(transakcje[[#This Row],[kategoria]],parametr[kategoria],parametr[typ])</f>
        <v>wydatki</v>
      </c>
      <c r="I1329" s="1">
        <f>ABS(transakcje[[#This Row],[kwota]])</f>
        <v>4.8</v>
      </c>
    </row>
    <row r="1330" spans="1:9" x14ac:dyDescent="0.3">
      <c r="A1330">
        <v>1329</v>
      </c>
      <c r="B1330">
        <v>2015</v>
      </c>
      <c r="C1330">
        <v>2</v>
      </c>
      <c r="D1330">
        <v>1</v>
      </c>
      <c r="E1330" s="1">
        <v>-4.3</v>
      </c>
      <c r="F1330" t="s">
        <v>37</v>
      </c>
      <c r="G1330" t="str">
        <f>_xlfn.XLOOKUP(transakcje[[#This Row],[podkategoria]],parametr[podkategoria],parametr[kategoria])</f>
        <v>opłaty stałe</v>
      </c>
      <c r="H1330" t="str">
        <f>_xlfn.XLOOKUP(transakcje[[#This Row],[kategoria]],parametr[kategoria],parametr[typ])</f>
        <v>wydatki</v>
      </c>
      <c r="I1330" s="1">
        <f>ABS(transakcje[[#This Row],[kwota]])</f>
        <v>4.3</v>
      </c>
    </row>
    <row r="1331" spans="1:9" x14ac:dyDescent="0.3">
      <c r="A1331">
        <v>1330</v>
      </c>
      <c r="B1331">
        <v>2015</v>
      </c>
      <c r="C1331">
        <v>2</v>
      </c>
      <c r="D1331">
        <v>1</v>
      </c>
      <c r="E1331" s="1">
        <v>-9.3919999999999995</v>
      </c>
      <c r="F1331" t="s">
        <v>25</v>
      </c>
      <c r="G1331" t="str">
        <f>_xlfn.XLOOKUP(transakcje[[#This Row],[podkategoria]],parametr[podkategoria],parametr[kategoria])</f>
        <v>opłaty stałe</v>
      </c>
      <c r="H1331" t="str">
        <f>_xlfn.XLOOKUP(transakcje[[#This Row],[kategoria]],parametr[kategoria],parametr[typ])</f>
        <v>wydatki</v>
      </c>
      <c r="I1331" s="1">
        <f>ABS(transakcje[[#This Row],[kwota]])</f>
        <v>9.3919999999999995</v>
      </c>
    </row>
    <row r="1332" spans="1:9" x14ac:dyDescent="0.3">
      <c r="A1332">
        <v>1331</v>
      </c>
      <c r="B1332">
        <v>2015</v>
      </c>
      <c r="C1332">
        <v>2</v>
      </c>
      <c r="D1332">
        <v>1</v>
      </c>
      <c r="E1332" s="1">
        <v>-53.272000000000006</v>
      </c>
      <c r="F1332" t="s">
        <v>31</v>
      </c>
      <c r="G1332" t="str">
        <f>_xlfn.XLOOKUP(transakcje[[#This Row],[podkategoria]],parametr[podkategoria],parametr[kategoria])</f>
        <v>opłaty stałe</v>
      </c>
      <c r="H1332" t="str">
        <f>_xlfn.XLOOKUP(transakcje[[#This Row],[kategoria]],parametr[kategoria],parametr[typ])</f>
        <v>wydatki</v>
      </c>
      <c r="I1332" s="1">
        <f>ABS(transakcje[[#This Row],[kwota]])</f>
        <v>53.272000000000006</v>
      </c>
    </row>
    <row r="1333" spans="1:9" x14ac:dyDescent="0.3">
      <c r="A1333">
        <v>1332</v>
      </c>
      <c r="B1333">
        <v>2015</v>
      </c>
      <c r="C1333">
        <v>2</v>
      </c>
      <c r="D1333">
        <v>1</v>
      </c>
      <c r="E1333" s="1">
        <v>-8.5</v>
      </c>
      <c r="F1333" t="s">
        <v>23</v>
      </c>
      <c r="G1333" t="str">
        <f>_xlfn.XLOOKUP(transakcje[[#This Row],[podkategoria]],parametr[podkategoria],parametr[kategoria])</f>
        <v>opłaty stałe</v>
      </c>
      <c r="H1333" t="str">
        <f>_xlfn.XLOOKUP(transakcje[[#This Row],[kategoria]],parametr[kategoria],parametr[typ])</f>
        <v>wydatki</v>
      </c>
      <c r="I1333" s="1">
        <f>ABS(transakcje[[#This Row],[kwota]])</f>
        <v>8.5</v>
      </c>
    </row>
    <row r="1334" spans="1:9" x14ac:dyDescent="0.3">
      <c r="A1334">
        <v>1333</v>
      </c>
      <c r="B1334">
        <v>2015</v>
      </c>
      <c r="C1334">
        <v>2</v>
      </c>
      <c r="D1334">
        <v>3</v>
      </c>
      <c r="E1334" s="1">
        <v>420.77</v>
      </c>
      <c r="F1334" t="s">
        <v>22</v>
      </c>
      <c r="G1334" t="str">
        <f>_xlfn.XLOOKUP(transakcje[[#This Row],[podkategoria]],parametr[podkategoria],parametr[kategoria])</f>
        <v>dochody z pracy</v>
      </c>
      <c r="H1334" t="str">
        <f>_xlfn.XLOOKUP(transakcje[[#This Row],[kategoria]],parametr[kategoria],parametr[typ])</f>
        <v>dochody</v>
      </c>
      <c r="I1334" s="1">
        <f>ABS(transakcje[[#This Row],[kwota]])</f>
        <v>420.77</v>
      </c>
    </row>
    <row r="1335" spans="1:9" x14ac:dyDescent="0.3">
      <c r="A1335">
        <v>1334</v>
      </c>
      <c r="B1335">
        <v>2015</v>
      </c>
      <c r="C1335">
        <v>2</v>
      </c>
      <c r="D1335">
        <v>3</v>
      </c>
      <c r="E1335" s="1">
        <v>-17.468</v>
      </c>
      <c r="F1335" t="s">
        <v>11</v>
      </c>
      <c r="G1335" t="str">
        <f>_xlfn.XLOOKUP(transakcje[[#This Row],[podkategoria]],parametr[podkategoria],parametr[kategoria])</f>
        <v>wydatki inne</v>
      </c>
      <c r="H1335" t="str">
        <f>_xlfn.XLOOKUP(transakcje[[#This Row],[kategoria]],parametr[kategoria],parametr[typ])</f>
        <v>wydatki</v>
      </c>
      <c r="I1335" s="1">
        <f>ABS(transakcje[[#This Row],[kwota]])</f>
        <v>17.468</v>
      </c>
    </row>
    <row r="1336" spans="1:9" x14ac:dyDescent="0.3">
      <c r="A1336">
        <v>1335</v>
      </c>
      <c r="B1336">
        <v>2015</v>
      </c>
      <c r="C1336">
        <v>2</v>
      </c>
      <c r="D1336">
        <v>5</v>
      </c>
      <c r="E1336" s="1">
        <v>-6.5060000000000002</v>
      </c>
      <c r="F1336" t="s">
        <v>26</v>
      </c>
      <c r="G1336" t="str">
        <f>_xlfn.XLOOKUP(transakcje[[#This Row],[podkategoria]],parametr[podkategoria],parametr[kategoria])</f>
        <v>życie</v>
      </c>
      <c r="H1336" t="str">
        <f>_xlfn.XLOOKUP(transakcje[[#This Row],[kategoria]],parametr[kategoria],parametr[typ])</f>
        <v>wydatki</v>
      </c>
      <c r="I1336" s="1">
        <f>ABS(transakcje[[#This Row],[kwota]])</f>
        <v>6.5060000000000002</v>
      </c>
    </row>
    <row r="1337" spans="1:9" x14ac:dyDescent="0.3">
      <c r="A1337">
        <v>1336</v>
      </c>
      <c r="B1337">
        <v>2015</v>
      </c>
      <c r="C1337">
        <v>2</v>
      </c>
      <c r="D1337">
        <v>7</v>
      </c>
      <c r="E1337" s="1">
        <v>-20</v>
      </c>
      <c r="F1337" t="s">
        <v>11</v>
      </c>
      <c r="G1337" t="str">
        <f>_xlfn.XLOOKUP(transakcje[[#This Row],[podkategoria]],parametr[podkategoria],parametr[kategoria])</f>
        <v>wydatki inne</v>
      </c>
      <c r="H1337" t="str">
        <f>_xlfn.XLOOKUP(transakcje[[#This Row],[kategoria]],parametr[kategoria],parametr[typ])</f>
        <v>wydatki</v>
      </c>
      <c r="I1337" s="1">
        <f>ABS(transakcje[[#This Row],[kwota]])</f>
        <v>20</v>
      </c>
    </row>
    <row r="1338" spans="1:9" x14ac:dyDescent="0.3">
      <c r="A1338">
        <v>1337</v>
      </c>
      <c r="B1338">
        <v>2015</v>
      </c>
      <c r="C1338">
        <v>2</v>
      </c>
      <c r="D1338">
        <v>7</v>
      </c>
      <c r="E1338" s="1">
        <v>-19.8</v>
      </c>
      <c r="F1338" t="s">
        <v>24</v>
      </c>
      <c r="G1338" t="str">
        <f>_xlfn.XLOOKUP(transakcje[[#This Row],[podkategoria]],parametr[podkategoria],parametr[kategoria])</f>
        <v>trwałe</v>
      </c>
      <c r="H1338" t="str">
        <f>_xlfn.XLOOKUP(transakcje[[#This Row],[kategoria]],parametr[kategoria],parametr[typ])</f>
        <v>wydatki</v>
      </c>
      <c r="I1338" s="1">
        <f>ABS(transakcje[[#This Row],[kwota]])</f>
        <v>19.8</v>
      </c>
    </row>
    <row r="1339" spans="1:9" x14ac:dyDescent="0.3">
      <c r="A1339">
        <v>1338</v>
      </c>
      <c r="B1339">
        <v>2015</v>
      </c>
      <c r="C1339">
        <v>2</v>
      </c>
      <c r="D1339">
        <v>7</v>
      </c>
      <c r="E1339" s="1">
        <v>-262.76400000000001</v>
      </c>
      <c r="F1339" t="s">
        <v>24</v>
      </c>
      <c r="G1339" t="str">
        <f>_xlfn.XLOOKUP(transakcje[[#This Row],[podkategoria]],parametr[podkategoria],parametr[kategoria])</f>
        <v>trwałe</v>
      </c>
      <c r="H1339" t="str">
        <f>_xlfn.XLOOKUP(transakcje[[#This Row],[kategoria]],parametr[kategoria],parametr[typ])</f>
        <v>wydatki</v>
      </c>
      <c r="I1339" s="1">
        <f>ABS(transakcje[[#This Row],[kwota]])</f>
        <v>262.76400000000001</v>
      </c>
    </row>
    <row r="1340" spans="1:9" x14ac:dyDescent="0.3">
      <c r="A1340">
        <v>1339</v>
      </c>
      <c r="B1340">
        <v>2015</v>
      </c>
      <c r="C1340">
        <v>2</v>
      </c>
      <c r="D1340">
        <v>9</v>
      </c>
      <c r="E1340" s="1">
        <v>-14.984</v>
      </c>
      <c r="F1340" t="s">
        <v>26</v>
      </c>
      <c r="G1340" t="str">
        <f>_xlfn.XLOOKUP(transakcje[[#This Row],[podkategoria]],parametr[podkategoria],parametr[kategoria])</f>
        <v>życie</v>
      </c>
      <c r="H1340" t="str">
        <f>_xlfn.XLOOKUP(transakcje[[#This Row],[kategoria]],parametr[kategoria],parametr[typ])</f>
        <v>wydatki</v>
      </c>
      <c r="I1340" s="1">
        <f>ABS(transakcje[[#This Row],[kwota]])</f>
        <v>14.984</v>
      </c>
    </row>
    <row r="1341" spans="1:9" x14ac:dyDescent="0.3">
      <c r="A1341">
        <v>1340</v>
      </c>
      <c r="B1341">
        <v>2015</v>
      </c>
      <c r="C1341">
        <v>2</v>
      </c>
      <c r="D1341">
        <v>12</v>
      </c>
      <c r="E1341" s="1">
        <v>-6.5359999999999996</v>
      </c>
      <c r="F1341" t="s">
        <v>26</v>
      </c>
      <c r="G1341" t="str">
        <f>_xlfn.XLOOKUP(transakcje[[#This Row],[podkategoria]],parametr[podkategoria],parametr[kategoria])</f>
        <v>życie</v>
      </c>
      <c r="H1341" t="str">
        <f>_xlfn.XLOOKUP(transakcje[[#This Row],[kategoria]],parametr[kategoria],parametr[typ])</f>
        <v>wydatki</v>
      </c>
      <c r="I1341" s="1">
        <f>ABS(transakcje[[#This Row],[kwota]])</f>
        <v>6.5359999999999996</v>
      </c>
    </row>
    <row r="1342" spans="1:9" x14ac:dyDescent="0.3">
      <c r="A1342">
        <v>1341</v>
      </c>
      <c r="B1342">
        <v>2015</v>
      </c>
      <c r="C1342">
        <v>2</v>
      </c>
      <c r="D1342">
        <v>13</v>
      </c>
      <c r="E1342" s="1">
        <v>-3.96</v>
      </c>
      <c r="F1342" t="s">
        <v>26</v>
      </c>
      <c r="G1342" t="str">
        <f>_xlfn.XLOOKUP(transakcje[[#This Row],[podkategoria]],parametr[podkategoria],parametr[kategoria])</f>
        <v>życie</v>
      </c>
      <c r="H1342" t="str">
        <f>_xlfn.XLOOKUP(transakcje[[#This Row],[kategoria]],parametr[kategoria],parametr[typ])</f>
        <v>wydatki</v>
      </c>
      <c r="I1342" s="1">
        <f>ABS(transakcje[[#This Row],[kwota]])</f>
        <v>3.96</v>
      </c>
    </row>
    <row r="1343" spans="1:9" x14ac:dyDescent="0.3">
      <c r="A1343">
        <v>1342</v>
      </c>
      <c r="B1343">
        <v>2015</v>
      </c>
      <c r="C1343">
        <v>2</v>
      </c>
      <c r="D1343">
        <v>16</v>
      </c>
      <c r="E1343" s="1">
        <v>-18</v>
      </c>
      <c r="F1343" t="s">
        <v>26</v>
      </c>
      <c r="G1343" t="str">
        <f>_xlfn.XLOOKUP(transakcje[[#This Row],[podkategoria]],parametr[podkategoria],parametr[kategoria])</f>
        <v>życie</v>
      </c>
      <c r="H1343" t="str">
        <f>_xlfn.XLOOKUP(transakcje[[#This Row],[kategoria]],parametr[kategoria],parametr[typ])</f>
        <v>wydatki</v>
      </c>
      <c r="I1343" s="1">
        <f>ABS(transakcje[[#This Row],[kwota]])</f>
        <v>18</v>
      </c>
    </row>
    <row r="1344" spans="1:9" x14ac:dyDescent="0.3">
      <c r="A1344">
        <v>1343</v>
      </c>
      <c r="B1344">
        <v>2015</v>
      </c>
      <c r="C1344">
        <v>2</v>
      </c>
      <c r="D1344">
        <v>16</v>
      </c>
      <c r="E1344" s="1">
        <v>-0.8</v>
      </c>
      <c r="F1344" t="s">
        <v>14</v>
      </c>
      <c r="G1344" t="str">
        <f>_xlfn.XLOOKUP(transakcje[[#This Row],[podkategoria]],parametr[podkategoria],parametr[kategoria])</f>
        <v>opłaty stałe</v>
      </c>
      <c r="H1344" t="str">
        <f>_xlfn.XLOOKUP(transakcje[[#This Row],[kategoria]],parametr[kategoria],parametr[typ])</f>
        <v>wydatki</v>
      </c>
      <c r="I1344" s="1">
        <f>ABS(transakcje[[#This Row],[kwota]])</f>
        <v>0.8</v>
      </c>
    </row>
    <row r="1345" spans="1:9" x14ac:dyDescent="0.3">
      <c r="A1345">
        <v>1344</v>
      </c>
      <c r="B1345">
        <v>2015</v>
      </c>
      <c r="C1345">
        <v>2</v>
      </c>
      <c r="D1345">
        <v>17</v>
      </c>
      <c r="E1345" s="1">
        <v>-0.39800000000000002</v>
      </c>
      <c r="F1345" t="s">
        <v>14</v>
      </c>
      <c r="G1345" t="str">
        <f>_xlfn.XLOOKUP(transakcje[[#This Row],[podkategoria]],parametr[podkategoria],parametr[kategoria])</f>
        <v>opłaty stałe</v>
      </c>
      <c r="H1345" t="str">
        <f>_xlfn.XLOOKUP(transakcje[[#This Row],[kategoria]],parametr[kategoria],parametr[typ])</f>
        <v>wydatki</v>
      </c>
      <c r="I1345" s="1">
        <f>ABS(transakcje[[#This Row],[kwota]])</f>
        <v>0.39800000000000002</v>
      </c>
    </row>
    <row r="1346" spans="1:9" x14ac:dyDescent="0.3">
      <c r="A1346">
        <v>1345</v>
      </c>
      <c r="B1346">
        <v>2015</v>
      </c>
      <c r="C1346">
        <v>2</v>
      </c>
      <c r="D1346">
        <v>20</v>
      </c>
      <c r="E1346" s="1">
        <v>18.82</v>
      </c>
      <c r="F1346" t="s">
        <v>17</v>
      </c>
      <c r="G1346" t="str">
        <f>_xlfn.XLOOKUP(transakcje[[#This Row],[podkategoria]],parametr[podkategoria],parametr[kategoria])</f>
        <v>dochody pozostałe</v>
      </c>
      <c r="H1346" t="str">
        <f>_xlfn.XLOOKUP(transakcje[[#This Row],[kategoria]],parametr[kategoria],parametr[typ])</f>
        <v>dochody</v>
      </c>
      <c r="I1346" s="1">
        <f>ABS(transakcje[[#This Row],[kwota]])</f>
        <v>18.82</v>
      </c>
    </row>
    <row r="1347" spans="1:9" x14ac:dyDescent="0.3">
      <c r="A1347">
        <v>1346</v>
      </c>
      <c r="B1347">
        <v>2015</v>
      </c>
      <c r="C1347">
        <v>2</v>
      </c>
      <c r="D1347">
        <v>23</v>
      </c>
      <c r="E1347" s="1">
        <v>-3.3039999999999998</v>
      </c>
      <c r="F1347" t="s">
        <v>26</v>
      </c>
      <c r="G1347" t="str">
        <f>_xlfn.XLOOKUP(transakcje[[#This Row],[podkategoria]],parametr[podkategoria],parametr[kategoria])</f>
        <v>życie</v>
      </c>
      <c r="H1347" t="str">
        <f>_xlfn.XLOOKUP(transakcje[[#This Row],[kategoria]],parametr[kategoria],parametr[typ])</f>
        <v>wydatki</v>
      </c>
      <c r="I1347" s="1">
        <f>ABS(transakcje[[#This Row],[kwota]])</f>
        <v>3.3039999999999998</v>
      </c>
    </row>
    <row r="1348" spans="1:9" x14ac:dyDescent="0.3">
      <c r="A1348">
        <v>1347</v>
      </c>
      <c r="B1348">
        <v>2015</v>
      </c>
      <c r="C1348">
        <v>2</v>
      </c>
      <c r="D1348">
        <v>25</v>
      </c>
      <c r="E1348" s="1">
        <v>-19.8</v>
      </c>
      <c r="F1348" t="s">
        <v>32</v>
      </c>
      <c r="G1348" t="str">
        <f>_xlfn.XLOOKUP(transakcje[[#This Row],[podkategoria]],parametr[podkategoria],parametr[kategoria])</f>
        <v>opłaty stałe</v>
      </c>
      <c r="H1348" t="str">
        <f>_xlfn.XLOOKUP(transakcje[[#This Row],[kategoria]],parametr[kategoria],parametr[typ])</f>
        <v>wydatki</v>
      </c>
      <c r="I1348" s="1">
        <f>ABS(transakcje[[#This Row],[kwota]])</f>
        <v>19.8</v>
      </c>
    </row>
    <row r="1349" spans="1:9" x14ac:dyDescent="0.3">
      <c r="A1349">
        <v>1348</v>
      </c>
      <c r="B1349">
        <v>2015</v>
      </c>
      <c r="C1349">
        <v>2</v>
      </c>
      <c r="D1349">
        <v>25</v>
      </c>
      <c r="E1349" s="1">
        <v>428.95600000000002</v>
      </c>
      <c r="F1349" t="s">
        <v>8</v>
      </c>
      <c r="G1349" t="str">
        <f>_xlfn.XLOOKUP(transakcje[[#This Row],[podkategoria]],parametr[podkategoria],parametr[kategoria])</f>
        <v>dochody z pracy</v>
      </c>
      <c r="H1349" t="str">
        <f>_xlfn.XLOOKUP(transakcje[[#This Row],[kategoria]],parametr[kategoria],parametr[typ])</f>
        <v>dochody</v>
      </c>
      <c r="I1349" s="1">
        <f>ABS(transakcje[[#This Row],[kwota]])</f>
        <v>428.95600000000002</v>
      </c>
    </row>
    <row r="1350" spans="1:9" x14ac:dyDescent="0.3">
      <c r="A1350">
        <v>1349</v>
      </c>
      <c r="B1350">
        <v>2015</v>
      </c>
      <c r="C1350">
        <v>2</v>
      </c>
      <c r="D1350">
        <v>25</v>
      </c>
      <c r="E1350" s="1">
        <v>-5.2919999999999998</v>
      </c>
      <c r="F1350" t="s">
        <v>26</v>
      </c>
      <c r="G1350" t="str">
        <f>_xlfn.XLOOKUP(transakcje[[#This Row],[podkategoria]],parametr[podkategoria],parametr[kategoria])</f>
        <v>życie</v>
      </c>
      <c r="H1350" t="str">
        <f>_xlfn.XLOOKUP(transakcje[[#This Row],[kategoria]],parametr[kategoria],parametr[typ])</f>
        <v>wydatki</v>
      </c>
      <c r="I1350" s="1">
        <f>ABS(transakcje[[#This Row],[kwota]])</f>
        <v>5.2919999999999998</v>
      </c>
    </row>
    <row r="1351" spans="1:9" x14ac:dyDescent="0.3">
      <c r="A1351">
        <v>1350</v>
      </c>
      <c r="B1351">
        <v>2015</v>
      </c>
      <c r="C1351">
        <v>2</v>
      </c>
      <c r="D1351">
        <v>27</v>
      </c>
      <c r="E1351" s="1">
        <v>-1.7239999999999998</v>
      </c>
      <c r="F1351" t="s">
        <v>26</v>
      </c>
      <c r="G1351" t="str">
        <f>_xlfn.XLOOKUP(transakcje[[#This Row],[podkategoria]],parametr[podkategoria],parametr[kategoria])</f>
        <v>życie</v>
      </c>
      <c r="H1351" t="str">
        <f>_xlfn.XLOOKUP(transakcje[[#This Row],[kategoria]],parametr[kategoria],parametr[typ])</f>
        <v>wydatki</v>
      </c>
      <c r="I1351" s="1">
        <f>ABS(transakcje[[#This Row],[kwota]])</f>
        <v>1.7239999999999998</v>
      </c>
    </row>
    <row r="1352" spans="1:9" x14ac:dyDescent="0.3">
      <c r="A1352">
        <v>1351</v>
      </c>
      <c r="B1352">
        <v>2015</v>
      </c>
      <c r="C1352">
        <v>2</v>
      </c>
      <c r="D1352">
        <v>28</v>
      </c>
      <c r="E1352" s="1">
        <v>6.0000000000000001E-3</v>
      </c>
      <c r="F1352" t="s">
        <v>17</v>
      </c>
      <c r="G1352" t="str">
        <f>_xlfn.XLOOKUP(transakcje[[#This Row],[podkategoria]],parametr[podkategoria],parametr[kategoria])</f>
        <v>dochody pozostałe</v>
      </c>
      <c r="H1352" t="str">
        <f>_xlfn.XLOOKUP(transakcje[[#This Row],[kategoria]],parametr[kategoria],parametr[typ])</f>
        <v>dochody</v>
      </c>
      <c r="I1352" s="1">
        <f>ABS(transakcje[[#This Row],[kwota]])</f>
        <v>6.0000000000000001E-3</v>
      </c>
    </row>
    <row r="1353" spans="1:9" x14ac:dyDescent="0.3">
      <c r="A1353">
        <v>1352</v>
      </c>
      <c r="B1353">
        <v>2015</v>
      </c>
      <c r="C1353">
        <v>2</v>
      </c>
      <c r="D1353">
        <v>28</v>
      </c>
      <c r="E1353" s="1">
        <v>-1.198</v>
      </c>
      <c r="F1353" t="s">
        <v>14</v>
      </c>
      <c r="G1353" t="str">
        <f>_xlfn.XLOOKUP(transakcje[[#This Row],[podkategoria]],parametr[podkategoria],parametr[kategoria])</f>
        <v>opłaty stałe</v>
      </c>
      <c r="H1353" t="str">
        <f>_xlfn.XLOOKUP(transakcje[[#This Row],[kategoria]],parametr[kategoria],parametr[typ])</f>
        <v>wydatki</v>
      </c>
      <c r="I1353" s="1">
        <f>ABS(transakcje[[#This Row],[kwota]])</f>
        <v>1.198</v>
      </c>
    </row>
    <row r="1354" spans="1:9" x14ac:dyDescent="0.3">
      <c r="A1354">
        <v>1353</v>
      </c>
      <c r="B1354">
        <v>2015</v>
      </c>
      <c r="C1354">
        <v>2</v>
      </c>
      <c r="D1354">
        <v>28</v>
      </c>
      <c r="E1354" s="1">
        <v>-0.4</v>
      </c>
      <c r="F1354" t="s">
        <v>14</v>
      </c>
      <c r="G1354" t="str">
        <f>_xlfn.XLOOKUP(transakcje[[#This Row],[podkategoria]],parametr[podkategoria],parametr[kategoria])</f>
        <v>opłaty stałe</v>
      </c>
      <c r="H1354" t="str">
        <f>_xlfn.XLOOKUP(transakcje[[#This Row],[kategoria]],parametr[kategoria],parametr[typ])</f>
        <v>wydatki</v>
      </c>
      <c r="I1354" s="1">
        <f>ABS(transakcje[[#This Row],[kwota]])</f>
        <v>0.4</v>
      </c>
    </row>
    <row r="1355" spans="1:9" x14ac:dyDescent="0.3">
      <c r="A1355">
        <v>1354</v>
      </c>
      <c r="B1355">
        <v>2015</v>
      </c>
      <c r="C1355">
        <v>2</v>
      </c>
      <c r="D1355">
        <v>28</v>
      </c>
      <c r="E1355" s="1">
        <v>-2E-3</v>
      </c>
      <c r="F1355" t="s">
        <v>14</v>
      </c>
      <c r="G1355" t="str">
        <f>_xlfn.XLOOKUP(transakcje[[#This Row],[podkategoria]],parametr[podkategoria],parametr[kategoria])</f>
        <v>opłaty stałe</v>
      </c>
      <c r="H1355" t="str">
        <f>_xlfn.XLOOKUP(transakcje[[#This Row],[kategoria]],parametr[kategoria],parametr[typ])</f>
        <v>wydatki</v>
      </c>
      <c r="I1355" s="1">
        <f>ABS(transakcje[[#This Row],[kwota]])</f>
        <v>2E-3</v>
      </c>
    </row>
    <row r="1356" spans="1:9" x14ac:dyDescent="0.3">
      <c r="A1356">
        <v>1355</v>
      </c>
      <c r="B1356">
        <v>2015</v>
      </c>
      <c r="C1356">
        <v>3</v>
      </c>
      <c r="D1356">
        <v>1</v>
      </c>
      <c r="E1356" s="1">
        <v>-4.3</v>
      </c>
      <c r="F1356" t="s">
        <v>37</v>
      </c>
      <c r="G1356" t="str">
        <f>_xlfn.XLOOKUP(transakcje[[#This Row],[podkategoria]],parametr[podkategoria],parametr[kategoria])</f>
        <v>opłaty stałe</v>
      </c>
      <c r="H1356" t="str">
        <f>_xlfn.XLOOKUP(transakcje[[#This Row],[kategoria]],parametr[kategoria],parametr[typ])</f>
        <v>wydatki</v>
      </c>
      <c r="I1356" s="1">
        <f>ABS(transakcje[[#This Row],[kwota]])</f>
        <v>4.3</v>
      </c>
    </row>
    <row r="1357" spans="1:9" x14ac:dyDescent="0.3">
      <c r="A1357">
        <v>1356</v>
      </c>
      <c r="B1357">
        <v>2015</v>
      </c>
      <c r="C1357">
        <v>3</v>
      </c>
      <c r="D1357">
        <v>1</v>
      </c>
      <c r="E1357" s="1">
        <v>-57.366</v>
      </c>
      <c r="F1357" t="s">
        <v>31</v>
      </c>
      <c r="G1357" t="str">
        <f>_xlfn.XLOOKUP(transakcje[[#This Row],[podkategoria]],parametr[podkategoria],parametr[kategoria])</f>
        <v>opłaty stałe</v>
      </c>
      <c r="H1357" t="str">
        <f>_xlfn.XLOOKUP(transakcje[[#This Row],[kategoria]],parametr[kategoria],parametr[typ])</f>
        <v>wydatki</v>
      </c>
      <c r="I1357" s="1">
        <f>ABS(transakcje[[#This Row],[kwota]])</f>
        <v>57.366</v>
      </c>
    </row>
    <row r="1358" spans="1:9" x14ac:dyDescent="0.3">
      <c r="A1358">
        <v>1357</v>
      </c>
      <c r="B1358">
        <v>2015</v>
      </c>
      <c r="C1358">
        <v>3</v>
      </c>
      <c r="D1358">
        <v>1</v>
      </c>
      <c r="E1358" s="1">
        <v>-8.5</v>
      </c>
      <c r="F1358" t="s">
        <v>23</v>
      </c>
      <c r="G1358" t="str">
        <f>_xlfn.XLOOKUP(transakcje[[#This Row],[podkategoria]],parametr[podkategoria],parametr[kategoria])</f>
        <v>opłaty stałe</v>
      </c>
      <c r="H1358" t="str">
        <f>_xlfn.XLOOKUP(transakcje[[#This Row],[kategoria]],parametr[kategoria],parametr[typ])</f>
        <v>wydatki</v>
      </c>
      <c r="I1358" s="1">
        <f>ABS(transakcje[[#This Row],[kwota]])</f>
        <v>8.5</v>
      </c>
    </row>
    <row r="1359" spans="1:9" x14ac:dyDescent="0.3">
      <c r="A1359">
        <v>1358</v>
      </c>
      <c r="B1359">
        <v>2015</v>
      </c>
      <c r="C1359">
        <v>3</v>
      </c>
      <c r="D1359">
        <v>5</v>
      </c>
      <c r="E1359" s="1">
        <v>-17.374000000000002</v>
      </c>
      <c r="F1359" t="s">
        <v>26</v>
      </c>
      <c r="G1359" t="str">
        <f>_xlfn.XLOOKUP(transakcje[[#This Row],[podkategoria]],parametr[podkategoria],parametr[kategoria])</f>
        <v>życie</v>
      </c>
      <c r="H1359" t="str">
        <f>_xlfn.XLOOKUP(transakcje[[#This Row],[kategoria]],parametr[kategoria],parametr[typ])</f>
        <v>wydatki</v>
      </c>
      <c r="I1359" s="1">
        <f>ABS(transakcje[[#This Row],[kwota]])</f>
        <v>17.374000000000002</v>
      </c>
    </row>
    <row r="1360" spans="1:9" x14ac:dyDescent="0.3">
      <c r="A1360">
        <v>1359</v>
      </c>
      <c r="B1360">
        <v>2015</v>
      </c>
      <c r="C1360">
        <v>3</v>
      </c>
      <c r="D1360">
        <v>5</v>
      </c>
      <c r="E1360" s="1">
        <v>-1.1220000000000001</v>
      </c>
      <c r="F1360" t="s">
        <v>26</v>
      </c>
      <c r="G1360" t="str">
        <f>_xlfn.XLOOKUP(transakcje[[#This Row],[podkategoria]],parametr[podkategoria],parametr[kategoria])</f>
        <v>życie</v>
      </c>
      <c r="H1360" t="str">
        <f>_xlfn.XLOOKUP(transakcje[[#This Row],[kategoria]],parametr[kategoria],parametr[typ])</f>
        <v>wydatki</v>
      </c>
      <c r="I1360" s="1">
        <f>ABS(transakcje[[#This Row],[kwota]])</f>
        <v>1.1220000000000001</v>
      </c>
    </row>
    <row r="1361" spans="1:9" x14ac:dyDescent="0.3">
      <c r="A1361">
        <v>1360</v>
      </c>
      <c r="B1361">
        <v>2015</v>
      </c>
      <c r="C1361">
        <v>3</v>
      </c>
      <c r="D1361">
        <v>7</v>
      </c>
      <c r="E1361" s="1">
        <v>-6.032</v>
      </c>
      <c r="F1361" t="s">
        <v>35</v>
      </c>
      <c r="G1361" t="str">
        <f>_xlfn.XLOOKUP(transakcje[[#This Row],[podkategoria]],parametr[podkategoria],parametr[kategoria])</f>
        <v>opłaty stałe</v>
      </c>
      <c r="H1361" t="str">
        <f>_xlfn.XLOOKUP(transakcje[[#This Row],[kategoria]],parametr[kategoria],parametr[typ])</f>
        <v>wydatki</v>
      </c>
      <c r="I1361" s="1">
        <f>ABS(transakcje[[#This Row],[kwota]])</f>
        <v>6.032</v>
      </c>
    </row>
    <row r="1362" spans="1:9" x14ac:dyDescent="0.3">
      <c r="A1362">
        <v>1361</v>
      </c>
      <c r="B1362">
        <v>2015</v>
      </c>
      <c r="C1362">
        <v>3</v>
      </c>
      <c r="D1362">
        <v>7</v>
      </c>
      <c r="E1362" s="1">
        <v>-17.100000000000001</v>
      </c>
      <c r="F1362" t="s">
        <v>34</v>
      </c>
      <c r="G1362" t="str">
        <f>_xlfn.XLOOKUP(transakcje[[#This Row],[podkategoria]],parametr[podkategoria],parametr[kategoria])</f>
        <v>opłaty stałe</v>
      </c>
      <c r="H1362" t="str">
        <f>_xlfn.XLOOKUP(transakcje[[#This Row],[kategoria]],parametr[kategoria],parametr[typ])</f>
        <v>wydatki</v>
      </c>
      <c r="I1362" s="1">
        <f>ABS(transakcje[[#This Row],[kwota]])</f>
        <v>17.100000000000001</v>
      </c>
    </row>
    <row r="1363" spans="1:9" x14ac:dyDescent="0.3">
      <c r="A1363">
        <v>1362</v>
      </c>
      <c r="B1363">
        <v>2015</v>
      </c>
      <c r="C1363">
        <v>3</v>
      </c>
      <c r="D1363">
        <v>7</v>
      </c>
      <c r="E1363" s="1">
        <v>-8.98</v>
      </c>
      <c r="F1363" t="s">
        <v>25</v>
      </c>
      <c r="G1363" t="str">
        <f>_xlfn.XLOOKUP(transakcje[[#This Row],[podkategoria]],parametr[podkategoria],parametr[kategoria])</f>
        <v>opłaty stałe</v>
      </c>
      <c r="H1363" t="str">
        <f>_xlfn.XLOOKUP(transakcje[[#This Row],[kategoria]],parametr[kategoria],parametr[typ])</f>
        <v>wydatki</v>
      </c>
      <c r="I1363" s="1">
        <f>ABS(transakcje[[#This Row],[kwota]])</f>
        <v>8.98</v>
      </c>
    </row>
    <row r="1364" spans="1:9" x14ac:dyDescent="0.3">
      <c r="A1364">
        <v>1363</v>
      </c>
      <c r="B1364">
        <v>2015</v>
      </c>
      <c r="C1364">
        <v>3</v>
      </c>
      <c r="D1364">
        <v>13</v>
      </c>
      <c r="E1364" s="1">
        <v>-2.8359999999999999</v>
      </c>
      <c r="F1364" t="s">
        <v>26</v>
      </c>
      <c r="G1364" t="str">
        <f>_xlfn.XLOOKUP(transakcje[[#This Row],[podkategoria]],parametr[podkategoria],parametr[kategoria])</f>
        <v>życie</v>
      </c>
      <c r="H1364" t="str">
        <f>_xlfn.XLOOKUP(transakcje[[#This Row],[kategoria]],parametr[kategoria],parametr[typ])</f>
        <v>wydatki</v>
      </c>
      <c r="I1364" s="1">
        <f>ABS(transakcje[[#This Row],[kwota]])</f>
        <v>2.8359999999999999</v>
      </c>
    </row>
    <row r="1365" spans="1:9" x14ac:dyDescent="0.3">
      <c r="A1365">
        <v>1364</v>
      </c>
      <c r="B1365">
        <v>2015</v>
      </c>
      <c r="C1365">
        <v>3</v>
      </c>
      <c r="D1365">
        <v>13</v>
      </c>
      <c r="E1365" s="1">
        <v>-4.5380000000000003</v>
      </c>
      <c r="F1365" t="s">
        <v>26</v>
      </c>
      <c r="G1365" t="str">
        <f>_xlfn.XLOOKUP(transakcje[[#This Row],[podkategoria]],parametr[podkategoria],parametr[kategoria])</f>
        <v>życie</v>
      </c>
      <c r="H1365" t="str">
        <f>_xlfn.XLOOKUP(transakcje[[#This Row],[kategoria]],parametr[kategoria],parametr[typ])</f>
        <v>wydatki</v>
      </c>
      <c r="I1365" s="1">
        <f>ABS(transakcje[[#This Row],[kwota]])</f>
        <v>4.5380000000000003</v>
      </c>
    </row>
    <row r="1366" spans="1:9" x14ac:dyDescent="0.3">
      <c r="A1366">
        <v>1365</v>
      </c>
      <c r="B1366">
        <v>2015</v>
      </c>
      <c r="C1366">
        <v>3</v>
      </c>
      <c r="D1366">
        <v>16</v>
      </c>
      <c r="E1366" s="1">
        <v>-0.8</v>
      </c>
      <c r="F1366" t="s">
        <v>14</v>
      </c>
      <c r="G1366" t="str">
        <f>_xlfn.XLOOKUP(transakcje[[#This Row],[podkategoria]],parametr[podkategoria],parametr[kategoria])</f>
        <v>opłaty stałe</v>
      </c>
      <c r="H1366" t="str">
        <f>_xlfn.XLOOKUP(transakcje[[#This Row],[kategoria]],parametr[kategoria],parametr[typ])</f>
        <v>wydatki</v>
      </c>
      <c r="I1366" s="1">
        <f>ABS(transakcje[[#This Row],[kwota]])</f>
        <v>0.8</v>
      </c>
    </row>
    <row r="1367" spans="1:9" x14ac:dyDescent="0.3">
      <c r="A1367">
        <v>1366</v>
      </c>
      <c r="B1367">
        <v>2015</v>
      </c>
      <c r="C1367">
        <v>3</v>
      </c>
      <c r="D1367">
        <v>17</v>
      </c>
      <c r="E1367" s="1">
        <v>-0.39800000000000002</v>
      </c>
      <c r="F1367" t="s">
        <v>14</v>
      </c>
      <c r="G1367" t="str">
        <f>_xlfn.XLOOKUP(transakcje[[#This Row],[podkategoria]],parametr[podkategoria],parametr[kategoria])</f>
        <v>opłaty stałe</v>
      </c>
      <c r="H1367" t="str">
        <f>_xlfn.XLOOKUP(transakcje[[#This Row],[kategoria]],parametr[kategoria],parametr[typ])</f>
        <v>wydatki</v>
      </c>
      <c r="I1367" s="1">
        <f>ABS(transakcje[[#This Row],[kwota]])</f>
        <v>0.39800000000000002</v>
      </c>
    </row>
    <row r="1368" spans="1:9" x14ac:dyDescent="0.3">
      <c r="A1368">
        <v>1367</v>
      </c>
      <c r="B1368">
        <v>2015</v>
      </c>
      <c r="C1368">
        <v>3</v>
      </c>
      <c r="D1368">
        <v>18</v>
      </c>
      <c r="E1368" s="1">
        <v>-13.3</v>
      </c>
      <c r="F1368" t="s">
        <v>26</v>
      </c>
      <c r="G1368" t="str">
        <f>_xlfn.XLOOKUP(transakcje[[#This Row],[podkategoria]],parametr[podkategoria],parametr[kategoria])</f>
        <v>życie</v>
      </c>
      <c r="H1368" t="str">
        <f>_xlfn.XLOOKUP(transakcje[[#This Row],[kategoria]],parametr[kategoria],parametr[typ])</f>
        <v>wydatki</v>
      </c>
      <c r="I1368" s="1">
        <f>ABS(transakcje[[#This Row],[kwota]])</f>
        <v>13.3</v>
      </c>
    </row>
    <row r="1369" spans="1:9" x14ac:dyDescent="0.3">
      <c r="A1369">
        <v>1368</v>
      </c>
      <c r="B1369">
        <v>2015</v>
      </c>
      <c r="C1369">
        <v>3</v>
      </c>
      <c r="D1369">
        <v>20</v>
      </c>
      <c r="E1369" s="1">
        <v>428.95600000000002</v>
      </c>
      <c r="F1369" t="s">
        <v>8</v>
      </c>
      <c r="G1369" t="str">
        <f>_xlfn.XLOOKUP(transakcje[[#This Row],[podkategoria]],parametr[podkategoria],parametr[kategoria])</f>
        <v>dochody z pracy</v>
      </c>
      <c r="H1369" t="str">
        <f>_xlfn.XLOOKUP(transakcje[[#This Row],[kategoria]],parametr[kategoria],parametr[typ])</f>
        <v>dochody</v>
      </c>
      <c r="I1369" s="1">
        <f>ABS(transakcje[[#This Row],[kwota]])</f>
        <v>428.95600000000002</v>
      </c>
    </row>
    <row r="1370" spans="1:9" x14ac:dyDescent="0.3">
      <c r="A1370">
        <v>1369</v>
      </c>
      <c r="B1370">
        <v>2015</v>
      </c>
      <c r="C1370">
        <v>3</v>
      </c>
      <c r="D1370">
        <v>22</v>
      </c>
      <c r="E1370" s="1">
        <v>-15.8</v>
      </c>
      <c r="F1370" t="s">
        <v>26</v>
      </c>
      <c r="G1370" t="str">
        <f>_xlfn.XLOOKUP(transakcje[[#This Row],[podkategoria]],parametr[podkategoria],parametr[kategoria])</f>
        <v>życie</v>
      </c>
      <c r="H1370" t="str">
        <f>_xlfn.XLOOKUP(transakcje[[#This Row],[kategoria]],parametr[kategoria],parametr[typ])</f>
        <v>wydatki</v>
      </c>
      <c r="I1370" s="1">
        <f>ABS(transakcje[[#This Row],[kwota]])</f>
        <v>15.8</v>
      </c>
    </row>
    <row r="1371" spans="1:9" x14ac:dyDescent="0.3">
      <c r="A1371">
        <v>1370</v>
      </c>
      <c r="B1371">
        <v>2015</v>
      </c>
      <c r="C1371">
        <v>3</v>
      </c>
      <c r="D1371">
        <v>23</v>
      </c>
      <c r="E1371" s="1">
        <v>-8.5739999999999998</v>
      </c>
      <c r="F1371" t="s">
        <v>26</v>
      </c>
      <c r="G1371" t="str">
        <f>_xlfn.XLOOKUP(transakcje[[#This Row],[podkategoria]],parametr[podkategoria],parametr[kategoria])</f>
        <v>życie</v>
      </c>
      <c r="H1371" t="str">
        <f>_xlfn.XLOOKUP(transakcje[[#This Row],[kategoria]],parametr[kategoria],parametr[typ])</f>
        <v>wydatki</v>
      </c>
      <c r="I1371" s="1">
        <f>ABS(transakcje[[#This Row],[kwota]])</f>
        <v>8.5739999999999998</v>
      </c>
    </row>
    <row r="1372" spans="1:9" x14ac:dyDescent="0.3">
      <c r="A1372">
        <v>1371</v>
      </c>
      <c r="B1372">
        <v>2015</v>
      </c>
      <c r="C1372">
        <v>3</v>
      </c>
      <c r="D1372">
        <v>23</v>
      </c>
      <c r="E1372" s="1">
        <v>-0.876</v>
      </c>
      <c r="F1372" t="s">
        <v>26</v>
      </c>
      <c r="G1372" t="str">
        <f>_xlfn.XLOOKUP(transakcje[[#This Row],[podkategoria]],parametr[podkategoria],parametr[kategoria])</f>
        <v>życie</v>
      </c>
      <c r="H1372" t="str">
        <f>_xlfn.XLOOKUP(transakcje[[#This Row],[kategoria]],parametr[kategoria],parametr[typ])</f>
        <v>wydatki</v>
      </c>
      <c r="I1372" s="1">
        <f>ABS(transakcje[[#This Row],[kwota]])</f>
        <v>0.876</v>
      </c>
    </row>
    <row r="1373" spans="1:9" x14ac:dyDescent="0.3">
      <c r="A1373">
        <v>1372</v>
      </c>
      <c r="B1373">
        <v>2015</v>
      </c>
      <c r="C1373">
        <v>3</v>
      </c>
      <c r="D1373">
        <v>24</v>
      </c>
      <c r="E1373" s="1">
        <v>-2.2719999999999998</v>
      </c>
      <c r="F1373" t="s">
        <v>26</v>
      </c>
      <c r="G1373" t="str">
        <f>_xlfn.XLOOKUP(transakcje[[#This Row],[podkategoria]],parametr[podkategoria],parametr[kategoria])</f>
        <v>życie</v>
      </c>
      <c r="H1373" t="str">
        <f>_xlfn.XLOOKUP(transakcje[[#This Row],[kategoria]],parametr[kategoria],parametr[typ])</f>
        <v>wydatki</v>
      </c>
      <c r="I1373" s="1">
        <f>ABS(transakcje[[#This Row],[kwota]])</f>
        <v>2.2719999999999998</v>
      </c>
    </row>
    <row r="1374" spans="1:9" x14ac:dyDescent="0.3">
      <c r="A1374">
        <v>1373</v>
      </c>
      <c r="B1374">
        <v>2015</v>
      </c>
      <c r="C1374">
        <v>3</v>
      </c>
      <c r="D1374">
        <v>25</v>
      </c>
      <c r="E1374" s="1">
        <v>-19.8</v>
      </c>
      <c r="F1374" t="s">
        <v>32</v>
      </c>
      <c r="G1374" t="str">
        <f>_xlfn.XLOOKUP(transakcje[[#This Row],[podkategoria]],parametr[podkategoria],parametr[kategoria])</f>
        <v>opłaty stałe</v>
      </c>
      <c r="H1374" t="str">
        <f>_xlfn.XLOOKUP(transakcje[[#This Row],[kategoria]],parametr[kategoria],parametr[typ])</f>
        <v>wydatki</v>
      </c>
      <c r="I1374" s="1">
        <f>ABS(transakcje[[#This Row],[kwota]])</f>
        <v>19.8</v>
      </c>
    </row>
    <row r="1375" spans="1:9" x14ac:dyDescent="0.3">
      <c r="A1375">
        <v>1374</v>
      </c>
      <c r="B1375">
        <v>2015</v>
      </c>
      <c r="C1375">
        <v>3</v>
      </c>
      <c r="D1375">
        <v>25</v>
      </c>
      <c r="E1375" s="1">
        <v>64</v>
      </c>
      <c r="F1375" t="s">
        <v>16</v>
      </c>
      <c r="G1375" t="str">
        <f>_xlfn.XLOOKUP(transakcje[[#This Row],[podkategoria]],parametr[podkategoria],parametr[kategoria])</f>
        <v>dochody z pracy</v>
      </c>
      <c r="H1375" t="str">
        <f>_xlfn.XLOOKUP(transakcje[[#This Row],[kategoria]],parametr[kategoria],parametr[typ])</f>
        <v>dochody</v>
      </c>
      <c r="I1375" s="1">
        <f>ABS(transakcje[[#This Row],[kwota]])</f>
        <v>64</v>
      </c>
    </row>
    <row r="1376" spans="1:9" x14ac:dyDescent="0.3">
      <c r="A1376">
        <v>1375</v>
      </c>
      <c r="B1376">
        <v>2015</v>
      </c>
      <c r="C1376">
        <v>3</v>
      </c>
      <c r="D1376">
        <v>25</v>
      </c>
      <c r="E1376" s="1">
        <v>-1.7760000000000002</v>
      </c>
      <c r="F1376" t="s">
        <v>26</v>
      </c>
      <c r="G1376" t="str">
        <f>_xlfn.XLOOKUP(transakcje[[#This Row],[podkategoria]],parametr[podkategoria],parametr[kategoria])</f>
        <v>życie</v>
      </c>
      <c r="H1376" t="str">
        <f>_xlfn.XLOOKUP(transakcje[[#This Row],[kategoria]],parametr[kategoria],parametr[typ])</f>
        <v>wydatki</v>
      </c>
      <c r="I1376" s="1">
        <f>ABS(transakcje[[#This Row],[kwota]])</f>
        <v>1.7760000000000002</v>
      </c>
    </row>
    <row r="1377" spans="1:9" x14ac:dyDescent="0.3">
      <c r="A1377">
        <v>1376</v>
      </c>
      <c r="B1377">
        <v>2015</v>
      </c>
      <c r="C1377">
        <v>3</v>
      </c>
      <c r="D1377">
        <v>27</v>
      </c>
      <c r="E1377" s="1">
        <v>38.39</v>
      </c>
      <c r="F1377" t="s">
        <v>19</v>
      </c>
      <c r="G1377" t="str">
        <f>_xlfn.XLOOKUP(transakcje[[#This Row],[podkategoria]],parametr[podkategoria],parametr[kategoria])</f>
        <v>dochody z pracy</v>
      </c>
      <c r="H1377" t="str">
        <f>_xlfn.XLOOKUP(transakcje[[#This Row],[kategoria]],parametr[kategoria],parametr[typ])</f>
        <v>dochody</v>
      </c>
      <c r="I1377" s="1">
        <f>ABS(transakcje[[#This Row],[kwota]])</f>
        <v>38.39</v>
      </c>
    </row>
    <row r="1378" spans="1:9" x14ac:dyDescent="0.3">
      <c r="A1378">
        <v>1377</v>
      </c>
      <c r="B1378">
        <v>2015</v>
      </c>
      <c r="C1378">
        <v>3</v>
      </c>
      <c r="D1378">
        <v>28</v>
      </c>
      <c r="E1378" s="1">
        <v>-4.8</v>
      </c>
      <c r="F1378" t="s">
        <v>31</v>
      </c>
      <c r="G1378" t="str">
        <f>_xlfn.XLOOKUP(transakcje[[#This Row],[podkategoria]],parametr[podkategoria],parametr[kategoria])</f>
        <v>opłaty stałe</v>
      </c>
      <c r="H1378" t="str">
        <f>_xlfn.XLOOKUP(transakcje[[#This Row],[kategoria]],parametr[kategoria],parametr[typ])</f>
        <v>wydatki</v>
      </c>
      <c r="I1378" s="1">
        <f>ABS(transakcje[[#This Row],[kwota]])</f>
        <v>4.8</v>
      </c>
    </row>
    <row r="1379" spans="1:9" x14ac:dyDescent="0.3">
      <c r="A1379">
        <v>1378</v>
      </c>
      <c r="B1379">
        <v>2015</v>
      </c>
      <c r="C1379">
        <v>3</v>
      </c>
      <c r="D1379">
        <v>30</v>
      </c>
      <c r="E1379" s="1">
        <v>-2.2000000000000002</v>
      </c>
      <c r="F1379" t="s">
        <v>11</v>
      </c>
      <c r="G1379" t="str">
        <f>_xlfn.XLOOKUP(transakcje[[#This Row],[podkategoria]],parametr[podkategoria],parametr[kategoria])</f>
        <v>wydatki inne</v>
      </c>
      <c r="H1379" t="str">
        <f>_xlfn.XLOOKUP(transakcje[[#This Row],[kategoria]],parametr[kategoria],parametr[typ])</f>
        <v>wydatki</v>
      </c>
      <c r="I1379" s="1">
        <f>ABS(transakcje[[#This Row],[kwota]])</f>
        <v>2.2000000000000002</v>
      </c>
    </row>
    <row r="1380" spans="1:9" x14ac:dyDescent="0.3">
      <c r="A1380">
        <v>1379</v>
      </c>
      <c r="B1380">
        <v>2015</v>
      </c>
      <c r="C1380">
        <v>3</v>
      </c>
      <c r="D1380">
        <v>30</v>
      </c>
      <c r="E1380" s="1">
        <v>-18</v>
      </c>
      <c r="F1380" t="s">
        <v>11</v>
      </c>
      <c r="G1380" t="str">
        <f>_xlfn.XLOOKUP(transakcje[[#This Row],[podkategoria]],parametr[podkategoria],parametr[kategoria])</f>
        <v>wydatki inne</v>
      </c>
      <c r="H1380" t="str">
        <f>_xlfn.XLOOKUP(transakcje[[#This Row],[kategoria]],parametr[kategoria],parametr[typ])</f>
        <v>wydatki</v>
      </c>
      <c r="I1380" s="1">
        <f>ABS(transakcje[[#This Row],[kwota]])</f>
        <v>18</v>
      </c>
    </row>
    <row r="1381" spans="1:9" x14ac:dyDescent="0.3">
      <c r="A1381">
        <v>1380</v>
      </c>
      <c r="B1381">
        <v>2015</v>
      </c>
      <c r="C1381">
        <v>3</v>
      </c>
      <c r="D1381">
        <v>31</v>
      </c>
      <c r="E1381" s="1">
        <v>6.0000000000000001E-3</v>
      </c>
      <c r="F1381" t="s">
        <v>17</v>
      </c>
      <c r="G1381" t="str">
        <f>_xlfn.XLOOKUP(transakcje[[#This Row],[podkategoria]],parametr[podkategoria],parametr[kategoria])</f>
        <v>dochody pozostałe</v>
      </c>
      <c r="H1381" t="str">
        <f>_xlfn.XLOOKUP(transakcje[[#This Row],[kategoria]],parametr[kategoria],parametr[typ])</f>
        <v>dochody</v>
      </c>
      <c r="I1381" s="1">
        <f>ABS(transakcje[[#This Row],[kwota]])</f>
        <v>6.0000000000000001E-3</v>
      </c>
    </row>
    <row r="1382" spans="1:9" x14ac:dyDescent="0.3">
      <c r="A1382">
        <v>1381</v>
      </c>
      <c r="B1382">
        <v>2015</v>
      </c>
      <c r="C1382">
        <v>3</v>
      </c>
      <c r="D1382">
        <v>31</v>
      </c>
      <c r="E1382" s="1">
        <v>-1.198</v>
      </c>
      <c r="F1382" t="s">
        <v>14</v>
      </c>
      <c r="G1382" t="str">
        <f>_xlfn.XLOOKUP(transakcje[[#This Row],[podkategoria]],parametr[podkategoria],parametr[kategoria])</f>
        <v>opłaty stałe</v>
      </c>
      <c r="H1382" t="str">
        <f>_xlfn.XLOOKUP(transakcje[[#This Row],[kategoria]],parametr[kategoria],parametr[typ])</f>
        <v>wydatki</v>
      </c>
      <c r="I1382" s="1">
        <f>ABS(transakcje[[#This Row],[kwota]])</f>
        <v>1.198</v>
      </c>
    </row>
    <row r="1383" spans="1:9" x14ac:dyDescent="0.3">
      <c r="A1383">
        <v>1382</v>
      </c>
      <c r="B1383">
        <v>2015</v>
      </c>
      <c r="C1383">
        <v>3</v>
      </c>
      <c r="D1383">
        <v>31</v>
      </c>
      <c r="E1383" s="1">
        <v>-0.7</v>
      </c>
      <c r="F1383" t="s">
        <v>14</v>
      </c>
      <c r="G1383" t="str">
        <f>_xlfn.XLOOKUP(transakcje[[#This Row],[podkategoria]],parametr[podkategoria],parametr[kategoria])</f>
        <v>opłaty stałe</v>
      </c>
      <c r="H1383" t="str">
        <f>_xlfn.XLOOKUP(transakcje[[#This Row],[kategoria]],parametr[kategoria],parametr[typ])</f>
        <v>wydatki</v>
      </c>
      <c r="I1383" s="1">
        <f>ABS(transakcje[[#This Row],[kwota]])</f>
        <v>0.7</v>
      </c>
    </row>
    <row r="1384" spans="1:9" x14ac:dyDescent="0.3">
      <c r="A1384">
        <v>1383</v>
      </c>
      <c r="B1384">
        <v>2015</v>
      </c>
      <c r="C1384">
        <v>3</v>
      </c>
      <c r="D1384">
        <v>31</v>
      </c>
      <c r="E1384" s="1">
        <v>-2E-3</v>
      </c>
      <c r="F1384" t="s">
        <v>14</v>
      </c>
      <c r="G1384" t="str">
        <f>_xlfn.XLOOKUP(transakcje[[#This Row],[podkategoria]],parametr[podkategoria],parametr[kategoria])</f>
        <v>opłaty stałe</v>
      </c>
      <c r="H1384" t="str">
        <f>_xlfn.XLOOKUP(transakcje[[#This Row],[kategoria]],parametr[kategoria],parametr[typ])</f>
        <v>wydatki</v>
      </c>
      <c r="I1384" s="1">
        <f>ABS(transakcje[[#This Row],[kwota]])</f>
        <v>2E-3</v>
      </c>
    </row>
    <row r="1385" spans="1:9" x14ac:dyDescent="0.3">
      <c r="A1385">
        <v>1384</v>
      </c>
      <c r="B1385">
        <v>2015</v>
      </c>
      <c r="C1385">
        <v>4</v>
      </c>
      <c r="D1385">
        <v>1</v>
      </c>
      <c r="E1385" s="1">
        <v>-4.3</v>
      </c>
      <c r="F1385" t="s">
        <v>37</v>
      </c>
      <c r="G1385" t="str">
        <f>_xlfn.XLOOKUP(transakcje[[#This Row],[podkategoria]],parametr[podkategoria],parametr[kategoria])</f>
        <v>opłaty stałe</v>
      </c>
      <c r="H1385" t="str">
        <f>_xlfn.XLOOKUP(transakcje[[#This Row],[kategoria]],parametr[kategoria],parametr[typ])</f>
        <v>wydatki</v>
      </c>
      <c r="I1385" s="1">
        <f>ABS(transakcje[[#This Row],[kwota]])</f>
        <v>4.3</v>
      </c>
    </row>
    <row r="1386" spans="1:9" x14ac:dyDescent="0.3">
      <c r="A1386">
        <v>1385</v>
      </c>
      <c r="B1386">
        <v>2015</v>
      </c>
      <c r="C1386">
        <v>4</v>
      </c>
      <c r="D1386">
        <v>1</v>
      </c>
      <c r="E1386" s="1">
        <v>-9.1239999999999988</v>
      </c>
      <c r="F1386" t="s">
        <v>25</v>
      </c>
      <c r="G1386" t="str">
        <f>_xlfn.XLOOKUP(transakcje[[#This Row],[podkategoria]],parametr[podkategoria],parametr[kategoria])</f>
        <v>opłaty stałe</v>
      </c>
      <c r="H1386" t="str">
        <f>_xlfn.XLOOKUP(transakcje[[#This Row],[kategoria]],parametr[kategoria],parametr[typ])</f>
        <v>wydatki</v>
      </c>
      <c r="I1386" s="1">
        <f>ABS(transakcje[[#This Row],[kwota]])</f>
        <v>9.1239999999999988</v>
      </c>
    </row>
    <row r="1387" spans="1:9" x14ac:dyDescent="0.3">
      <c r="A1387">
        <v>1386</v>
      </c>
      <c r="B1387">
        <v>2015</v>
      </c>
      <c r="C1387">
        <v>4</v>
      </c>
      <c r="D1387">
        <v>1</v>
      </c>
      <c r="E1387" s="1">
        <v>-57.366</v>
      </c>
      <c r="F1387" t="s">
        <v>31</v>
      </c>
      <c r="G1387" t="str">
        <f>_xlfn.XLOOKUP(transakcje[[#This Row],[podkategoria]],parametr[podkategoria],parametr[kategoria])</f>
        <v>opłaty stałe</v>
      </c>
      <c r="H1387" t="str">
        <f>_xlfn.XLOOKUP(transakcje[[#This Row],[kategoria]],parametr[kategoria],parametr[typ])</f>
        <v>wydatki</v>
      </c>
      <c r="I1387" s="1">
        <f>ABS(transakcje[[#This Row],[kwota]])</f>
        <v>57.366</v>
      </c>
    </row>
    <row r="1388" spans="1:9" x14ac:dyDescent="0.3">
      <c r="A1388">
        <v>1387</v>
      </c>
      <c r="B1388">
        <v>2015</v>
      </c>
      <c r="C1388">
        <v>4</v>
      </c>
      <c r="D1388">
        <v>1</v>
      </c>
      <c r="E1388" s="1">
        <v>-8.5</v>
      </c>
      <c r="F1388" t="s">
        <v>23</v>
      </c>
      <c r="G1388" t="str">
        <f>_xlfn.XLOOKUP(transakcje[[#This Row],[podkategoria]],parametr[podkategoria],parametr[kategoria])</f>
        <v>opłaty stałe</v>
      </c>
      <c r="H1388" t="str">
        <f>_xlfn.XLOOKUP(transakcje[[#This Row],[kategoria]],parametr[kategoria],parametr[typ])</f>
        <v>wydatki</v>
      </c>
      <c r="I1388" s="1">
        <f>ABS(transakcje[[#This Row],[kwota]])</f>
        <v>8.5</v>
      </c>
    </row>
    <row r="1389" spans="1:9" x14ac:dyDescent="0.3">
      <c r="A1389">
        <v>1388</v>
      </c>
      <c r="B1389">
        <v>2015</v>
      </c>
      <c r="C1389">
        <v>4</v>
      </c>
      <c r="D1389">
        <v>1</v>
      </c>
      <c r="E1389" s="1">
        <v>-2.984</v>
      </c>
      <c r="F1389" t="s">
        <v>26</v>
      </c>
      <c r="G1389" t="str">
        <f>_xlfn.XLOOKUP(transakcje[[#This Row],[podkategoria]],parametr[podkategoria],parametr[kategoria])</f>
        <v>życie</v>
      </c>
      <c r="H1389" t="str">
        <f>_xlfn.XLOOKUP(transakcje[[#This Row],[kategoria]],parametr[kategoria],parametr[typ])</f>
        <v>wydatki</v>
      </c>
      <c r="I1389" s="1">
        <f>ABS(transakcje[[#This Row],[kwota]])</f>
        <v>2.984</v>
      </c>
    </row>
    <row r="1390" spans="1:9" x14ac:dyDescent="0.3">
      <c r="A1390">
        <v>1389</v>
      </c>
      <c r="B1390">
        <v>2015</v>
      </c>
      <c r="C1390">
        <v>4</v>
      </c>
      <c r="D1390">
        <v>8</v>
      </c>
      <c r="E1390" s="1">
        <v>-2.44</v>
      </c>
      <c r="F1390" t="s">
        <v>32</v>
      </c>
      <c r="G1390" t="str">
        <f>_xlfn.XLOOKUP(transakcje[[#This Row],[podkategoria]],parametr[podkategoria],parametr[kategoria])</f>
        <v>opłaty stałe</v>
      </c>
      <c r="H1390" t="str">
        <f>_xlfn.XLOOKUP(transakcje[[#This Row],[kategoria]],parametr[kategoria],parametr[typ])</f>
        <v>wydatki</v>
      </c>
      <c r="I1390" s="1">
        <f>ABS(transakcje[[#This Row],[kwota]])</f>
        <v>2.44</v>
      </c>
    </row>
    <row r="1391" spans="1:9" x14ac:dyDescent="0.3">
      <c r="A1391">
        <v>1390</v>
      </c>
      <c r="B1391">
        <v>2015</v>
      </c>
      <c r="C1391">
        <v>4</v>
      </c>
      <c r="D1391">
        <v>8</v>
      </c>
      <c r="E1391" s="1">
        <v>-57.491999999999997</v>
      </c>
      <c r="F1391" t="s">
        <v>26</v>
      </c>
      <c r="G1391" t="str">
        <f>_xlfn.XLOOKUP(transakcje[[#This Row],[podkategoria]],parametr[podkategoria],parametr[kategoria])</f>
        <v>życie</v>
      </c>
      <c r="H1391" t="str">
        <f>_xlfn.XLOOKUP(transakcje[[#This Row],[kategoria]],parametr[kategoria],parametr[typ])</f>
        <v>wydatki</v>
      </c>
      <c r="I1391" s="1">
        <f>ABS(transakcje[[#This Row],[kwota]])</f>
        <v>57.491999999999997</v>
      </c>
    </row>
    <row r="1392" spans="1:9" x14ac:dyDescent="0.3">
      <c r="A1392">
        <v>1391</v>
      </c>
      <c r="B1392">
        <v>2015</v>
      </c>
      <c r="C1392">
        <v>4</v>
      </c>
      <c r="D1392">
        <v>10</v>
      </c>
      <c r="E1392" s="1">
        <v>-3.54</v>
      </c>
      <c r="F1392" t="s">
        <v>26</v>
      </c>
      <c r="G1392" t="str">
        <f>_xlfn.XLOOKUP(transakcje[[#This Row],[podkategoria]],parametr[podkategoria],parametr[kategoria])</f>
        <v>życie</v>
      </c>
      <c r="H1392" t="str">
        <f>_xlfn.XLOOKUP(transakcje[[#This Row],[kategoria]],parametr[kategoria],parametr[typ])</f>
        <v>wydatki</v>
      </c>
      <c r="I1392" s="1">
        <f>ABS(transakcje[[#This Row],[kwota]])</f>
        <v>3.54</v>
      </c>
    </row>
    <row r="1393" spans="1:9" x14ac:dyDescent="0.3">
      <c r="A1393">
        <v>1392</v>
      </c>
      <c r="B1393">
        <v>2015</v>
      </c>
      <c r="C1393">
        <v>4</v>
      </c>
      <c r="D1393">
        <v>13</v>
      </c>
      <c r="E1393" s="1">
        <v>-24.64</v>
      </c>
      <c r="F1393" t="s">
        <v>20</v>
      </c>
      <c r="G1393" t="str">
        <f>_xlfn.XLOOKUP(transakcje[[#This Row],[podkategoria]],parametr[podkategoria],parametr[kategoria])</f>
        <v>trwałe</v>
      </c>
      <c r="H1393" t="str">
        <f>_xlfn.XLOOKUP(transakcje[[#This Row],[kategoria]],parametr[kategoria],parametr[typ])</f>
        <v>wydatki</v>
      </c>
      <c r="I1393" s="1">
        <f>ABS(transakcje[[#This Row],[kwota]])</f>
        <v>24.64</v>
      </c>
    </row>
    <row r="1394" spans="1:9" x14ac:dyDescent="0.3">
      <c r="A1394">
        <v>1393</v>
      </c>
      <c r="B1394">
        <v>2015</v>
      </c>
      <c r="C1394">
        <v>4</v>
      </c>
      <c r="D1394">
        <v>14</v>
      </c>
      <c r="E1394" s="1">
        <v>-118</v>
      </c>
      <c r="F1394" t="s">
        <v>11</v>
      </c>
      <c r="G1394" t="str">
        <f>_xlfn.XLOOKUP(transakcje[[#This Row],[podkategoria]],parametr[podkategoria],parametr[kategoria])</f>
        <v>wydatki inne</v>
      </c>
      <c r="H1394" t="str">
        <f>_xlfn.XLOOKUP(transakcje[[#This Row],[kategoria]],parametr[kategoria],parametr[typ])</f>
        <v>wydatki</v>
      </c>
      <c r="I1394" s="1">
        <f>ABS(transakcje[[#This Row],[kwota]])</f>
        <v>118</v>
      </c>
    </row>
    <row r="1395" spans="1:9" x14ac:dyDescent="0.3">
      <c r="A1395">
        <v>1394</v>
      </c>
      <c r="B1395">
        <v>2015</v>
      </c>
      <c r="C1395">
        <v>4</v>
      </c>
      <c r="D1395">
        <v>14</v>
      </c>
      <c r="E1395" s="1">
        <v>-47.78</v>
      </c>
      <c r="F1395" t="s">
        <v>11</v>
      </c>
      <c r="G1395" t="str">
        <f>_xlfn.XLOOKUP(transakcje[[#This Row],[podkategoria]],parametr[podkategoria],parametr[kategoria])</f>
        <v>wydatki inne</v>
      </c>
      <c r="H1395" t="str">
        <f>_xlfn.XLOOKUP(transakcje[[#This Row],[kategoria]],parametr[kategoria],parametr[typ])</f>
        <v>wydatki</v>
      </c>
      <c r="I1395" s="1">
        <f>ABS(transakcje[[#This Row],[kwota]])</f>
        <v>47.78</v>
      </c>
    </row>
    <row r="1396" spans="1:9" x14ac:dyDescent="0.3">
      <c r="A1396">
        <v>1395</v>
      </c>
      <c r="B1396">
        <v>2015</v>
      </c>
      <c r="C1396">
        <v>4</v>
      </c>
      <c r="D1396">
        <v>14</v>
      </c>
      <c r="E1396" s="1">
        <v>-3.9979999999999998</v>
      </c>
      <c r="F1396" t="s">
        <v>26</v>
      </c>
      <c r="G1396" t="str">
        <f>_xlfn.XLOOKUP(transakcje[[#This Row],[podkategoria]],parametr[podkategoria],parametr[kategoria])</f>
        <v>życie</v>
      </c>
      <c r="H1396" t="str">
        <f>_xlfn.XLOOKUP(transakcje[[#This Row],[kategoria]],parametr[kategoria],parametr[typ])</f>
        <v>wydatki</v>
      </c>
      <c r="I1396" s="1">
        <f>ABS(transakcje[[#This Row],[kwota]])</f>
        <v>3.9979999999999998</v>
      </c>
    </row>
    <row r="1397" spans="1:9" x14ac:dyDescent="0.3">
      <c r="A1397">
        <v>1396</v>
      </c>
      <c r="B1397">
        <v>2015</v>
      </c>
      <c r="C1397">
        <v>4</v>
      </c>
      <c r="D1397">
        <v>15</v>
      </c>
      <c r="E1397" s="1">
        <v>-0.39800000000000002</v>
      </c>
      <c r="F1397" t="s">
        <v>14</v>
      </c>
      <c r="G1397" t="str">
        <f>_xlfn.XLOOKUP(transakcje[[#This Row],[podkategoria]],parametr[podkategoria],parametr[kategoria])</f>
        <v>opłaty stałe</v>
      </c>
      <c r="H1397" t="str">
        <f>_xlfn.XLOOKUP(transakcje[[#This Row],[kategoria]],parametr[kategoria],parametr[typ])</f>
        <v>wydatki</v>
      </c>
      <c r="I1397" s="1">
        <f>ABS(transakcje[[#This Row],[kwota]])</f>
        <v>0.39800000000000002</v>
      </c>
    </row>
    <row r="1398" spans="1:9" x14ac:dyDescent="0.3">
      <c r="A1398">
        <v>1397</v>
      </c>
      <c r="B1398">
        <v>2015</v>
      </c>
      <c r="C1398">
        <v>4</v>
      </c>
      <c r="D1398">
        <v>16</v>
      </c>
      <c r="E1398" s="1">
        <v>-60</v>
      </c>
      <c r="F1398" t="s">
        <v>11</v>
      </c>
      <c r="G1398" t="str">
        <f>_xlfn.XLOOKUP(transakcje[[#This Row],[podkategoria]],parametr[podkategoria],parametr[kategoria])</f>
        <v>wydatki inne</v>
      </c>
      <c r="H1398" t="str">
        <f>_xlfn.XLOOKUP(transakcje[[#This Row],[kategoria]],parametr[kategoria],parametr[typ])</f>
        <v>wydatki</v>
      </c>
      <c r="I1398" s="1">
        <f>ABS(transakcje[[#This Row],[kwota]])</f>
        <v>60</v>
      </c>
    </row>
    <row r="1399" spans="1:9" x14ac:dyDescent="0.3">
      <c r="A1399">
        <v>1398</v>
      </c>
      <c r="B1399">
        <v>2015</v>
      </c>
      <c r="C1399">
        <v>4</v>
      </c>
      <c r="D1399">
        <v>16</v>
      </c>
      <c r="E1399" s="1">
        <v>-0.98000000000000009</v>
      </c>
      <c r="F1399" t="s">
        <v>11</v>
      </c>
      <c r="G1399" t="str">
        <f>_xlfn.XLOOKUP(transakcje[[#This Row],[podkategoria]],parametr[podkategoria],parametr[kategoria])</f>
        <v>wydatki inne</v>
      </c>
      <c r="H1399" t="str">
        <f>_xlfn.XLOOKUP(transakcje[[#This Row],[kategoria]],parametr[kategoria],parametr[typ])</f>
        <v>wydatki</v>
      </c>
      <c r="I1399" s="1">
        <f>ABS(transakcje[[#This Row],[kwota]])</f>
        <v>0.98000000000000009</v>
      </c>
    </row>
    <row r="1400" spans="1:9" x14ac:dyDescent="0.3">
      <c r="A1400">
        <v>1399</v>
      </c>
      <c r="B1400">
        <v>2015</v>
      </c>
      <c r="C1400">
        <v>4</v>
      </c>
      <c r="D1400">
        <v>16</v>
      </c>
      <c r="E1400" s="1">
        <v>-3</v>
      </c>
      <c r="F1400" t="s">
        <v>11</v>
      </c>
      <c r="G1400" t="str">
        <f>_xlfn.XLOOKUP(transakcje[[#This Row],[podkategoria]],parametr[podkategoria],parametr[kategoria])</f>
        <v>wydatki inne</v>
      </c>
      <c r="H1400" t="str">
        <f>_xlfn.XLOOKUP(transakcje[[#This Row],[kategoria]],parametr[kategoria],parametr[typ])</f>
        <v>wydatki</v>
      </c>
      <c r="I1400" s="1">
        <f>ABS(transakcje[[#This Row],[kwota]])</f>
        <v>3</v>
      </c>
    </row>
    <row r="1401" spans="1:9" x14ac:dyDescent="0.3">
      <c r="A1401">
        <v>1400</v>
      </c>
      <c r="B1401">
        <v>2015</v>
      </c>
      <c r="C1401">
        <v>4</v>
      </c>
      <c r="D1401">
        <v>16</v>
      </c>
      <c r="E1401" s="1">
        <v>-2</v>
      </c>
      <c r="F1401" t="s">
        <v>11</v>
      </c>
      <c r="G1401" t="str">
        <f>_xlfn.XLOOKUP(transakcje[[#This Row],[podkategoria]],parametr[podkategoria],parametr[kategoria])</f>
        <v>wydatki inne</v>
      </c>
      <c r="H1401" t="str">
        <f>_xlfn.XLOOKUP(transakcje[[#This Row],[kategoria]],parametr[kategoria],parametr[typ])</f>
        <v>wydatki</v>
      </c>
      <c r="I1401" s="1">
        <f>ABS(transakcje[[#This Row],[kwota]])</f>
        <v>2</v>
      </c>
    </row>
    <row r="1402" spans="1:9" x14ac:dyDescent="0.3">
      <c r="A1402">
        <v>1401</v>
      </c>
      <c r="B1402">
        <v>2015</v>
      </c>
      <c r="C1402">
        <v>4</v>
      </c>
      <c r="D1402">
        <v>16</v>
      </c>
      <c r="E1402" s="1">
        <v>-0.8</v>
      </c>
      <c r="F1402" t="s">
        <v>14</v>
      </c>
      <c r="G1402" t="str">
        <f>_xlfn.XLOOKUP(transakcje[[#This Row],[podkategoria]],parametr[podkategoria],parametr[kategoria])</f>
        <v>opłaty stałe</v>
      </c>
      <c r="H1402" t="str">
        <f>_xlfn.XLOOKUP(transakcje[[#This Row],[kategoria]],parametr[kategoria],parametr[typ])</f>
        <v>wydatki</v>
      </c>
      <c r="I1402" s="1">
        <f>ABS(transakcje[[#This Row],[kwota]])</f>
        <v>0.8</v>
      </c>
    </row>
    <row r="1403" spans="1:9" x14ac:dyDescent="0.3">
      <c r="A1403">
        <v>1402</v>
      </c>
      <c r="B1403">
        <v>2015</v>
      </c>
      <c r="C1403">
        <v>4</v>
      </c>
      <c r="D1403">
        <v>16</v>
      </c>
      <c r="E1403" s="1">
        <v>-10.208</v>
      </c>
      <c r="F1403" t="s">
        <v>26</v>
      </c>
      <c r="G1403" t="str">
        <f>_xlfn.XLOOKUP(transakcje[[#This Row],[podkategoria]],parametr[podkategoria],parametr[kategoria])</f>
        <v>życie</v>
      </c>
      <c r="H1403" t="str">
        <f>_xlfn.XLOOKUP(transakcje[[#This Row],[kategoria]],parametr[kategoria],parametr[typ])</f>
        <v>wydatki</v>
      </c>
      <c r="I1403" s="1">
        <f>ABS(transakcje[[#This Row],[kwota]])</f>
        <v>10.208</v>
      </c>
    </row>
    <row r="1404" spans="1:9" x14ac:dyDescent="0.3">
      <c r="A1404">
        <v>1403</v>
      </c>
      <c r="B1404">
        <v>2015</v>
      </c>
      <c r="C1404">
        <v>4</v>
      </c>
      <c r="D1404">
        <v>16</v>
      </c>
      <c r="E1404" s="1">
        <v>-2.42</v>
      </c>
      <c r="F1404" t="s">
        <v>26</v>
      </c>
      <c r="G1404" t="str">
        <f>_xlfn.XLOOKUP(transakcje[[#This Row],[podkategoria]],parametr[podkategoria],parametr[kategoria])</f>
        <v>życie</v>
      </c>
      <c r="H1404" t="str">
        <f>_xlfn.XLOOKUP(transakcje[[#This Row],[kategoria]],parametr[kategoria],parametr[typ])</f>
        <v>wydatki</v>
      </c>
      <c r="I1404" s="1">
        <f>ABS(transakcje[[#This Row],[kwota]])</f>
        <v>2.42</v>
      </c>
    </row>
    <row r="1405" spans="1:9" x14ac:dyDescent="0.3">
      <c r="A1405">
        <v>1404</v>
      </c>
      <c r="B1405">
        <v>2015</v>
      </c>
      <c r="C1405">
        <v>4</v>
      </c>
      <c r="D1405">
        <v>17</v>
      </c>
      <c r="E1405" s="1">
        <v>-8.3819999999999997</v>
      </c>
      <c r="F1405" t="s">
        <v>26</v>
      </c>
      <c r="G1405" t="str">
        <f>_xlfn.XLOOKUP(transakcje[[#This Row],[podkategoria]],parametr[podkategoria],parametr[kategoria])</f>
        <v>życie</v>
      </c>
      <c r="H1405" t="str">
        <f>_xlfn.XLOOKUP(transakcje[[#This Row],[kategoria]],parametr[kategoria],parametr[typ])</f>
        <v>wydatki</v>
      </c>
      <c r="I1405" s="1">
        <f>ABS(transakcje[[#This Row],[kwota]])</f>
        <v>8.3819999999999997</v>
      </c>
    </row>
    <row r="1406" spans="1:9" x14ac:dyDescent="0.3">
      <c r="A1406">
        <v>1405</v>
      </c>
      <c r="B1406">
        <v>2015</v>
      </c>
      <c r="C1406">
        <v>4</v>
      </c>
      <c r="D1406">
        <v>17</v>
      </c>
      <c r="E1406" s="1">
        <v>-3.6219999999999999</v>
      </c>
      <c r="F1406" t="s">
        <v>26</v>
      </c>
      <c r="G1406" t="str">
        <f>_xlfn.XLOOKUP(transakcje[[#This Row],[podkategoria]],parametr[podkategoria],parametr[kategoria])</f>
        <v>życie</v>
      </c>
      <c r="H1406" t="str">
        <f>_xlfn.XLOOKUP(transakcje[[#This Row],[kategoria]],parametr[kategoria],parametr[typ])</f>
        <v>wydatki</v>
      </c>
      <c r="I1406" s="1">
        <f>ABS(transakcje[[#This Row],[kwota]])</f>
        <v>3.6219999999999999</v>
      </c>
    </row>
    <row r="1407" spans="1:9" x14ac:dyDescent="0.3">
      <c r="A1407">
        <v>1406</v>
      </c>
      <c r="B1407">
        <v>2015</v>
      </c>
      <c r="C1407">
        <v>4</v>
      </c>
      <c r="D1407">
        <v>18</v>
      </c>
      <c r="E1407" s="1">
        <v>-19.508000000000003</v>
      </c>
      <c r="F1407" t="s">
        <v>11</v>
      </c>
      <c r="G1407" t="str">
        <f>_xlfn.XLOOKUP(transakcje[[#This Row],[podkategoria]],parametr[podkategoria],parametr[kategoria])</f>
        <v>wydatki inne</v>
      </c>
      <c r="H1407" t="str">
        <f>_xlfn.XLOOKUP(transakcje[[#This Row],[kategoria]],parametr[kategoria],parametr[typ])</f>
        <v>wydatki</v>
      </c>
      <c r="I1407" s="1">
        <f>ABS(transakcje[[#This Row],[kwota]])</f>
        <v>19.508000000000003</v>
      </c>
    </row>
    <row r="1408" spans="1:9" x14ac:dyDescent="0.3">
      <c r="A1408">
        <v>1407</v>
      </c>
      <c r="B1408">
        <v>2015</v>
      </c>
      <c r="C1408">
        <v>4</v>
      </c>
      <c r="D1408">
        <v>18</v>
      </c>
      <c r="E1408" s="1">
        <v>-3.9820000000000002</v>
      </c>
      <c r="F1408" t="s">
        <v>26</v>
      </c>
      <c r="G1408" t="str">
        <f>_xlfn.XLOOKUP(transakcje[[#This Row],[podkategoria]],parametr[podkategoria],parametr[kategoria])</f>
        <v>życie</v>
      </c>
      <c r="H1408" t="str">
        <f>_xlfn.XLOOKUP(transakcje[[#This Row],[kategoria]],parametr[kategoria],parametr[typ])</f>
        <v>wydatki</v>
      </c>
      <c r="I1408" s="1">
        <f>ABS(transakcje[[#This Row],[kwota]])</f>
        <v>3.9820000000000002</v>
      </c>
    </row>
    <row r="1409" spans="1:9" x14ac:dyDescent="0.3">
      <c r="A1409">
        <v>1408</v>
      </c>
      <c r="B1409">
        <v>2015</v>
      </c>
      <c r="C1409">
        <v>4</v>
      </c>
      <c r="D1409">
        <v>22</v>
      </c>
      <c r="E1409" s="1">
        <v>-7.9980000000000002</v>
      </c>
      <c r="F1409" t="s">
        <v>24</v>
      </c>
      <c r="G1409" t="str">
        <f>_xlfn.XLOOKUP(transakcje[[#This Row],[podkategoria]],parametr[podkategoria],parametr[kategoria])</f>
        <v>trwałe</v>
      </c>
      <c r="H1409" t="str">
        <f>_xlfn.XLOOKUP(transakcje[[#This Row],[kategoria]],parametr[kategoria],parametr[typ])</f>
        <v>wydatki</v>
      </c>
      <c r="I1409" s="1">
        <f>ABS(transakcje[[#This Row],[kwota]])</f>
        <v>7.9980000000000002</v>
      </c>
    </row>
    <row r="1410" spans="1:9" x14ac:dyDescent="0.3">
      <c r="A1410">
        <v>1409</v>
      </c>
      <c r="B1410">
        <v>2015</v>
      </c>
      <c r="C1410">
        <v>4</v>
      </c>
      <c r="D1410">
        <v>27</v>
      </c>
      <c r="E1410" s="1">
        <v>-19.8</v>
      </c>
      <c r="F1410" t="s">
        <v>32</v>
      </c>
      <c r="G1410" t="str">
        <f>_xlfn.XLOOKUP(transakcje[[#This Row],[podkategoria]],parametr[podkategoria],parametr[kategoria])</f>
        <v>opłaty stałe</v>
      </c>
      <c r="H1410" t="str">
        <f>_xlfn.XLOOKUP(transakcje[[#This Row],[kategoria]],parametr[kategoria],parametr[typ])</f>
        <v>wydatki</v>
      </c>
      <c r="I1410" s="1">
        <f>ABS(transakcje[[#This Row],[kwota]])</f>
        <v>19.8</v>
      </c>
    </row>
    <row r="1411" spans="1:9" x14ac:dyDescent="0.3">
      <c r="A1411">
        <v>1410</v>
      </c>
      <c r="B1411">
        <v>2015</v>
      </c>
      <c r="C1411">
        <v>4</v>
      </c>
      <c r="D1411">
        <v>28</v>
      </c>
      <c r="E1411" s="1">
        <v>428.95600000000002</v>
      </c>
      <c r="F1411" t="s">
        <v>8</v>
      </c>
      <c r="G1411" t="str">
        <f>_xlfn.XLOOKUP(transakcje[[#This Row],[podkategoria]],parametr[podkategoria],parametr[kategoria])</f>
        <v>dochody z pracy</v>
      </c>
      <c r="H1411" t="str">
        <f>_xlfn.XLOOKUP(transakcje[[#This Row],[kategoria]],parametr[kategoria],parametr[typ])</f>
        <v>dochody</v>
      </c>
      <c r="I1411" s="1">
        <f>ABS(transakcje[[#This Row],[kwota]])</f>
        <v>428.95600000000002</v>
      </c>
    </row>
    <row r="1412" spans="1:9" x14ac:dyDescent="0.3">
      <c r="A1412">
        <v>1411</v>
      </c>
      <c r="B1412">
        <v>2015</v>
      </c>
      <c r="C1412">
        <v>4</v>
      </c>
      <c r="D1412">
        <v>29</v>
      </c>
      <c r="E1412" s="1">
        <v>-3.242</v>
      </c>
      <c r="F1412" t="s">
        <v>26</v>
      </c>
      <c r="G1412" t="str">
        <f>_xlfn.XLOOKUP(transakcje[[#This Row],[podkategoria]],parametr[podkategoria],parametr[kategoria])</f>
        <v>życie</v>
      </c>
      <c r="H1412" t="str">
        <f>_xlfn.XLOOKUP(transakcje[[#This Row],[kategoria]],parametr[kategoria],parametr[typ])</f>
        <v>wydatki</v>
      </c>
      <c r="I1412" s="1">
        <f>ABS(transakcje[[#This Row],[kwota]])</f>
        <v>3.242</v>
      </c>
    </row>
    <row r="1413" spans="1:9" x14ac:dyDescent="0.3">
      <c r="A1413">
        <v>1412</v>
      </c>
      <c r="B1413">
        <v>2015</v>
      </c>
      <c r="C1413">
        <v>4</v>
      </c>
      <c r="D1413">
        <v>30</v>
      </c>
      <c r="E1413" s="1">
        <v>4.0000000000000001E-3</v>
      </c>
      <c r="F1413" t="s">
        <v>17</v>
      </c>
      <c r="G1413" t="str">
        <f>_xlfn.XLOOKUP(transakcje[[#This Row],[podkategoria]],parametr[podkategoria],parametr[kategoria])</f>
        <v>dochody pozostałe</v>
      </c>
      <c r="H1413" t="str">
        <f>_xlfn.XLOOKUP(transakcje[[#This Row],[kategoria]],parametr[kategoria],parametr[typ])</f>
        <v>dochody</v>
      </c>
      <c r="I1413" s="1">
        <f>ABS(transakcje[[#This Row],[kwota]])</f>
        <v>4.0000000000000001E-3</v>
      </c>
    </row>
    <row r="1414" spans="1:9" x14ac:dyDescent="0.3">
      <c r="A1414">
        <v>1413</v>
      </c>
      <c r="B1414">
        <v>2015</v>
      </c>
      <c r="C1414">
        <v>4</v>
      </c>
      <c r="D1414">
        <v>30</v>
      </c>
      <c r="E1414" s="1">
        <v>-1.198</v>
      </c>
      <c r="F1414" t="s">
        <v>14</v>
      </c>
      <c r="G1414" t="str">
        <f>_xlfn.XLOOKUP(transakcje[[#This Row],[podkategoria]],parametr[podkategoria],parametr[kategoria])</f>
        <v>opłaty stałe</v>
      </c>
      <c r="H1414" t="str">
        <f>_xlfn.XLOOKUP(transakcje[[#This Row],[kategoria]],parametr[kategoria],parametr[typ])</f>
        <v>wydatki</v>
      </c>
      <c r="I1414" s="1">
        <f>ABS(transakcje[[#This Row],[kwota]])</f>
        <v>1.198</v>
      </c>
    </row>
    <row r="1415" spans="1:9" x14ac:dyDescent="0.3">
      <c r="A1415">
        <v>1414</v>
      </c>
      <c r="B1415">
        <v>2015</v>
      </c>
      <c r="C1415">
        <v>4</v>
      </c>
      <c r="D1415">
        <v>30</v>
      </c>
      <c r="E1415" s="1">
        <v>-2E-3</v>
      </c>
      <c r="F1415" t="s">
        <v>14</v>
      </c>
      <c r="G1415" t="str">
        <f>_xlfn.XLOOKUP(transakcje[[#This Row],[podkategoria]],parametr[podkategoria],parametr[kategoria])</f>
        <v>opłaty stałe</v>
      </c>
      <c r="H1415" t="str">
        <f>_xlfn.XLOOKUP(transakcje[[#This Row],[kategoria]],parametr[kategoria],parametr[typ])</f>
        <v>wydatki</v>
      </c>
      <c r="I1415" s="1">
        <f>ABS(transakcje[[#This Row],[kwota]])</f>
        <v>2E-3</v>
      </c>
    </row>
    <row r="1416" spans="1:9" x14ac:dyDescent="0.3">
      <c r="A1416">
        <v>1415</v>
      </c>
      <c r="B1416">
        <v>2015</v>
      </c>
      <c r="C1416">
        <v>5</v>
      </c>
      <c r="D1416">
        <v>2</v>
      </c>
      <c r="E1416" s="1">
        <v>-4.3</v>
      </c>
      <c r="F1416" t="s">
        <v>37</v>
      </c>
      <c r="G1416" t="str">
        <f>_xlfn.XLOOKUP(transakcje[[#This Row],[podkategoria]],parametr[podkategoria],parametr[kategoria])</f>
        <v>opłaty stałe</v>
      </c>
      <c r="H1416" t="str">
        <f>_xlfn.XLOOKUP(transakcje[[#This Row],[kategoria]],parametr[kategoria],parametr[typ])</f>
        <v>wydatki</v>
      </c>
      <c r="I1416" s="1">
        <f>ABS(transakcje[[#This Row],[kwota]])</f>
        <v>4.3</v>
      </c>
    </row>
    <row r="1417" spans="1:9" x14ac:dyDescent="0.3">
      <c r="A1417">
        <v>1416</v>
      </c>
      <c r="B1417">
        <v>2015</v>
      </c>
      <c r="C1417">
        <v>5</v>
      </c>
      <c r="D1417">
        <v>2</v>
      </c>
      <c r="E1417" s="1">
        <v>-57.366</v>
      </c>
      <c r="F1417" t="s">
        <v>31</v>
      </c>
      <c r="G1417" t="str">
        <f>_xlfn.XLOOKUP(transakcje[[#This Row],[podkategoria]],parametr[podkategoria],parametr[kategoria])</f>
        <v>opłaty stałe</v>
      </c>
      <c r="H1417" t="str">
        <f>_xlfn.XLOOKUP(transakcje[[#This Row],[kategoria]],parametr[kategoria],parametr[typ])</f>
        <v>wydatki</v>
      </c>
      <c r="I1417" s="1">
        <f>ABS(transakcje[[#This Row],[kwota]])</f>
        <v>57.366</v>
      </c>
    </row>
    <row r="1418" spans="1:9" x14ac:dyDescent="0.3">
      <c r="A1418">
        <v>1417</v>
      </c>
      <c r="B1418">
        <v>2015</v>
      </c>
      <c r="C1418">
        <v>5</v>
      </c>
      <c r="D1418">
        <v>2</v>
      </c>
      <c r="E1418" s="1">
        <v>-6.032</v>
      </c>
      <c r="F1418" t="s">
        <v>35</v>
      </c>
      <c r="G1418" t="str">
        <f>_xlfn.XLOOKUP(transakcje[[#This Row],[podkategoria]],parametr[podkategoria],parametr[kategoria])</f>
        <v>opłaty stałe</v>
      </c>
      <c r="H1418" t="str">
        <f>_xlfn.XLOOKUP(transakcje[[#This Row],[kategoria]],parametr[kategoria],parametr[typ])</f>
        <v>wydatki</v>
      </c>
      <c r="I1418" s="1">
        <f>ABS(transakcje[[#This Row],[kwota]])</f>
        <v>6.032</v>
      </c>
    </row>
    <row r="1419" spans="1:9" x14ac:dyDescent="0.3">
      <c r="A1419">
        <v>1418</v>
      </c>
      <c r="B1419">
        <v>2015</v>
      </c>
      <c r="C1419">
        <v>5</v>
      </c>
      <c r="D1419">
        <v>2</v>
      </c>
      <c r="E1419" s="1">
        <v>-8.5</v>
      </c>
      <c r="F1419" t="s">
        <v>23</v>
      </c>
      <c r="G1419" t="str">
        <f>_xlfn.XLOOKUP(transakcje[[#This Row],[podkategoria]],parametr[podkategoria],parametr[kategoria])</f>
        <v>opłaty stałe</v>
      </c>
      <c r="H1419" t="str">
        <f>_xlfn.XLOOKUP(transakcje[[#This Row],[kategoria]],parametr[kategoria],parametr[typ])</f>
        <v>wydatki</v>
      </c>
      <c r="I1419" s="1">
        <f>ABS(transakcje[[#This Row],[kwota]])</f>
        <v>8.5</v>
      </c>
    </row>
    <row r="1420" spans="1:9" x14ac:dyDescent="0.3">
      <c r="A1420">
        <v>1419</v>
      </c>
      <c r="B1420">
        <v>2015</v>
      </c>
      <c r="C1420">
        <v>5</v>
      </c>
      <c r="D1420">
        <v>2</v>
      </c>
      <c r="E1420" s="1">
        <v>-6.0460000000000003</v>
      </c>
      <c r="F1420" t="s">
        <v>25</v>
      </c>
      <c r="G1420" t="str">
        <f>_xlfn.XLOOKUP(transakcje[[#This Row],[podkategoria]],parametr[podkategoria],parametr[kategoria])</f>
        <v>opłaty stałe</v>
      </c>
      <c r="H1420" t="str">
        <f>_xlfn.XLOOKUP(transakcje[[#This Row],[kategoria]],parametr[kategoria],parametr[typ])</f>
        <v>wydatki</v>
      </c>
      <c r="I1420" s="1">
        <f>ABS(transakcje[[#This Row],[kwota]])</f>
        <v>6.0460000000000003</v>
      </c>
    </row>
    <row r="1421" spans="1:9" x14ac:dyDescent="0.3">
      <c r="A1421">
        <v>1420</v>
      </c>
      <c r="B1421">
        <v>2015</v>
      </c>
      <c r="C1421">
        <v>5</v>
      </c>
      <c r="D1421">
        <v>4</v>
      </c>
      <c r="E1421" s="1">
        <v>-2.4</v>
      </c>
      <c r="F1421" t="s">
        <v>31</v>
      </c>
      <c r="G1421" t="str">
        <f>_xlfn.XLOOKUP(transakcje[[#This Row],[podkategoria]],parametr[podkategoria],parametr[kategoria])</f>
        <v>opłaty stałe</v>
      </c>
      <c r="H1421" t="str">
        <f>_xlfn.XLOOKUP(transakcje[[#This Row],[kategoria]],parametr[kategoria],parametr[typ])</f>
        <v>wydatki</v>
      </c>
      <c r="I1421" s="1">
        <f>ABS(transakcje[[#This Row],[kwota]])</f>
        <v>2.4</v>
      </c>
    </row>
    <row r="1422" spans="1:9" x14ac:dyDescent="0.3">
      <c r="A1422">
        <v>1421</v>
      </c>
      <c r="B1422">
        <v>2015</v>
      </c>
      <c r="C1422">
        <v>5</v>
      </c>
      <c r="D1422">
        <v>4</v>
      </c>
      <c r="E1422" s="1">
        <v>-16.484000000000002</v>
      </c>
      <c r="F1422" t="s">
        <v>34</v>
      </c>
      <c r="G1422" t="str">
        <f>_xlfn.XLOOKUP(transakcje[[#This Row],[podkategoria]],parametr[podkategoria],parametr[kategoria])</f>
        <v>opłaty stałe</v>
      </c>
      <c r="H1422" t="str">
        <f>_xlfn.XLOOKUP(transakcje[[#This Row],[kategoria]],parametr[kategoria],parametr[typ])</f>
        <v>wydatki</v>
      </c>
      <c r="I1422" s="1">
        <f>ABS(transakcje[[#This Row],[kwota]])</f>
        <v>16.484000000000002</v>
      </c>
    </row>
    <row r="1423" spans="1:9" x14ac:dyDescent="0.3">
      <c r="A1423">
        <v>1422</v>
      </c>
      <c r="B1423">
        <v>2015</v>
      </c>
      <c r="C1423">
        <v>5</v>
      </c>
      <c r="D1423">
        <v>5</v>
      </c>
      <c r="E1423" s="1">
        <v>-33.4</v>
      </c>
      <c r="F1423" t="s">
        <v>29</v>
      </c>
      <c r="G1423" t="str">
        <f>_xlfn.XLOOKUP(transakcje[[#This Row],[podkategoria]],parametr[podkategoria],parametr[kategoria])</f>
        <v>opłaty stałe</v>
      </c>
      <c r="H1423" t="str">
        <f>_xlfn.XLOOKUP(transakcje[[#This Row],[kategoria]],parametr[kategoria],parametr[typ])</f>
        <v>wydatki</v>
      </c>
      <c r="I1423" s="1">
        <f>ABS(transakcje[[#This Row],[kwota]])</f>
        <v>33.4</v>
      </c>
    </row>
    <row r="1424" spans="1:9" x14ac:dyDescent="0.3">
      <c r="A1424">
        <v>1423</v>
      </c>
      <c r="B1424">
        <v>2015</v>
      </c>
      <c r="C1424">
        <v>5</v>
      </c>
      <c r="D1424">
        <v>5</v>
      </c>
      <c r="E1424" s="1">
        <v>-46.4</v>
      </c>
      <c r="F1424" t="s">
        <v>30</v>
      </c>
      <c r="G1424" t="str">
        <f>_xlfn.XLOOKUP(transakcje[[#This Row],[podkategoria]],parametr[podkategoria],parametr[kategoria])</f>
        <v>opłaty stałe</v>
      </c>
      <c r="H1424" t="str">
        <f>_xlfn.XLOOKUP(transakcje[[#This Row],[kategoria]],parametr[kategoria],parametr[typ])</f>
        <v>wydatki</v>
      </c>
      <c r="I1424" s="1">
        <f>ABS(transakcje[[#This Row],[kwota]])</f>
        <v>46.4</v>
      </c>
    </row>
    <row r="1425" spans="1:9" x14ac:dyDescent="0.3">
      <c r="A1425">
        <v>1424</v>
      </c>
      <c r="B1425">
        <v>2015</v>
      </c>
      <c r="C1425">
        <v>5</v>
      </c>
      <c r="D1425">
        <v>7</v>
      </c>
      <c r="E1425" s="1">
        <v>-3.6079999999999997</v>
      </c>
      <c r="F1425" t="s">
        <v>26</v>
      </c>
      <c r="G1425" t="str">
        <f>_xlfn.XLOOKUP(transakcje[[#This Row],[podkategoria]],parametr[podkategoria],parametr[kategoria])</f>
        <v>życie</v>
      </c>
      <c r="H1425" t="str">
        <f>_xlfn.XLOOKUP(transakcje[[#This Row],[kategoria]],parametr[kategoria],parametr[typ])</f>
        <v>wydatki</v>
      </c>
      <c r="I1425" s="1">
        <f>ABS(transakcje[[#This Row],[kwota]])</f>
        <v>3.6079999999999997</v>
      </c>
    </row>
    <row r="1426" spans="1:9" x14ac:dyDescent="0.3">
      <c r="A1426">
        <v>1425</v>
      </c>
      <c r="B1426">
        <v>2015</v>
      </c>
      <c r="C1426">
        <v>5</v>
      </c>
      <c r="D1426">
        <v>12</v>
      </c>
      <c r="E1426" s="1">
        <v>-11.268000000000001</v>
      </c>
      <c r="F1426" t="s">
        <v>26</v>
      </c>
      <c r="G1426" t="str">
        <f>_xlfn.XLOOKUP(transakcje[[#This Row],[podkategoria]],parametr[podkategoria],parametr[kategoria])</f>
        <v>życie</v>
      </c>
      <c r="H1426" t="str">
        <f>_xlfn.XLOOKUP(transakcje[[#This Row],[kategoria]],parametr[kategoria],parametr[typ])</f>
        <v>wydatki</v>
      </c>
      <c r="I1426" s="1">
        <f>ABS(transakcje[[#This Row],[kwota]])</f>
        <v>11.268000000000001</v>
      </c>
    </row>
    <row r="1427" spans="1:9" x14ac:dyDescent="0.3">
      <c r="A1427">
        <v>1426</v>
      </c>
      <c r="B1427">
        <v>2015</v>
      </c>
      <c r="C1427">
        <v>5</v>
      </c>
      <c r="D1427">
        <v>14</v>
      </c>
      <c r="E1427" s="1">
        <v>-19.893999999999998</v>
      </c>
      <c r="F1427" t="s">
        <v>26</v>
      </c>
      <c r="G1427" t="str">
        <f>_xlfn.XLOOKUP(transakcje[[#This Row],[podkategoria]],parametr[podkategoria],parametr[kategoria])</f>
        <v>życie</v>
      </c>
      <c r="H1427" t="str">
        <f>_xlfn.XLOOKUP(transakcje[[#This Row],[kategoria]],parametr[kategoria],parametr[typ])</f>
        <v>wydatki</v>
      </c>
      <c r="I1427" s="1">
        <f>ABS(transakcje[[#This Row],[kwota]])</f>
        <v>19.893999999999998</v>
      </c>
    </row>
    <row r="1428" spans="1:9" x14ac:dyDescent="0.3">
      <c r="A1428">
        <v>1427</v>
      </c>
      <c r="B1428">
        <v>2015</v>
      </c>
      <c r="C1428">
        <v>5</v>
      </c>
      <c r="D1428">
        <v>15</v>
      </c>
      <c r="E1428" s="1">
        <v>-0.39800000000000002</v>
      </c>
      <c r="F1428" t="s">
        <v>14</v>
      </c>
      <c r="G1428" t="str">
        <f>_xlfn.XLOOKUP(transakcje[[#This Row],[podkategoria]],parametr[podkategoria],parametr[kategoria])</f>
        <v>opłaty stałe</v>
      </c>
      <c r="H1428" t="str">
        <f>_xlfn.XLOOKUP(transakcje[[#This Row],[kategoria]],parametr[kategoria],parametr[typ])</f>
        <v>wydatki</v>
      </c>
      <c r="I1428" s="1">
        <f>ABS(transakcje[[#This Row],[kwota]])</f>
        <v>0.39800000000000002</v>
      </c>
    </row>
    <row r="1429" spans="1:9" x14ac:dyDescent="0.3">
      <c r="A1429">
        <v>1428</v>
      </c>
      <c r="B1429">
        <v>2015</v>
      </c>
      <c r="C1429">
        <v>5</v>
      </c>
      <c r="D1429">
        <v>15</v>
      </c>
      <c r="E1429" s="1">
        <v>-7.742</v>
      </c>
      <c r="F1429" t="s">
        <v>26</v>
      </c>
      <c r="G1429" t="str">
        <f>_xlfn.XLOOKUP(transakcje[[#This Row],[podkategoria]],parametr[podkategoria],parametr[kategoria])</f>
        <v>życie</v>
      </c>
      <c r="H1429" t="str">
        <f>_xlfn.XLOOKUP(transakcje[[#This Row],[kategoria]],parametr[kategoria],parametr[typ])</f>
        <v>wydatki</v>
      </c>
      <c r="I1429" s="1">
        <f>ABS(transakcje[[#This Row],[kwota]])</f>
        <v>7.742</v>
      </c>
    </row>
    <row r="1430" spans="1:9" x14ac:dyDescent="0.3">
      <c r="A1430">
        <v>1429</v>
      </c>
      <c r="B1430">
        <v>2015</v>
      </c>
      <c r="C1430">
        <v>5</v>
      </c>
      <c r="D1430">
        <v>15</v>
      </c>
      <c r="E1430" s="1">
        <v>-1.7420000000000002</v>
      </c>
      <c r="F1430" t="s">
        <v>26</v>
      </c>
      <c r="G1430" t="str">
        <f>_xlfn.XLOOKUP(transakcje[[#This Row],[podkategoria]],parametr[podkategoria],parametr[kategoria])</f>
        <v>życie</v>
      </c>
      <c r="H1430" t="str">
        <f>_xlfn.XLOOKUP(transakcje[[#This Row],[kategoria]],parametr[kategoria],parametr[typ])</f>
        <v>wydatki</v>
      </c>
      <c r="I1430" s="1">
        <f>ABS(transakcje[[#This Row],[kwota]])</f>
        <v>1.7420000000000002</v>
      </c>
    </row>
    <row r="1431" spans="1:9" x14ac:dyDescent="0.3">
      <c r="A1431">
        <v>1430</v>
      </c>
      <c r="B1431">
        <v>2015</v>
      </c>
      <c r="C1431">
        <v>5</v>
      </c>
      <c r="D1431">
        <v>16</v>
      </c>
      <c r="E1431" s="1">
        <v>-0.8</v>
      </c>
      <c r="F1431" t="s">
        <v>14</v>
      </c>
      <c r="G1431" t="str">
        <f>_xlfn.XLOOKUP(transakcje[[#This Row],[podkategoria]],parametr[podkategoria],parametr[kategoria])</f>
        <v>opłaty stałe</v>
      </c>
      <c r="H1431" t="str">
        <f>_xlfn.XLOOKUP(transakcje[[#This Row],[kategoria]],parametr[kategoria],parametr[typ])</f>
        <v>wydatki</v>
      </c>
      <c r="I1431" s="1">
        <f>ABS(transakcje[[#This Row],[kwota]])</f>
        <v>0.8</v>
      </c>
    </row>
    <row r="1432" spans="1:9" x14ac:dyDescent="0.3">
      <c r="A1432">
        <v>1431</v>
      </c>
      <c r="B1432">
        <v>2015</v>
      </c>
      <c r="C1432">
        <v>5</v>
      </c>
      <c r="D1432">
        <v>19</v>
      </c>
      <c r="E1432" s="1">
        <v>-8.3120000000000012</v>
      </c>
      <c r="F1432" t="s">
        <v>26</v>
      </c>
      <c r="G1432" t="str">
        <f>_xlfn.XLOOKUP(transakcje[[#This Row],[podkategoria]],parametr[podkategoria],parametr[kategoria])</f>
        <v>życie</v>
      </c>
      <c r="H1432" t="str">
        <f>_xlfn.XLOOKUP(transakcje[[#This Row],[kategoria]],parametr[kategoria],parametr[typ])</f>
        <v>wydatki</v>
      </c>
      <c r="I1432" s="1">
        <f>ABS(transakcje[[#This Row],[kwota]])</f>
        <v>8.3120000000000012</v>
      </c>
    </row>
    <row r="1433" spans="1:9" x14ac:dyDescent="0.3">
      <c r="A1433">
        <v>1432</v>
      </c>
      <c r="B1433">
        <v>2015</v>
      </c>
      <c r="C1433">
        <v>5</v>
      </c>
      <c r="D1433">
        <v>20</v>
      </c>
      <c r="E1433" s="1">
        <v>-5.7960000000000003</v>
      </c>
      <c r="F1433" t="s">
        <v>26</v>
      </c>
      <c r="G1433" t="str">
        <f>_xlfn.XLOOKUP(transakcje[[#This Row],[podkategoria]],parametr[podkategoria],parametr[kategoria])</f>
        <v>życie</v>
      </c>
      <c r="H1433" t="str">
        <f>_xlfn.XLOOKUP(transakcje[[#This Row],[kategoria]],parametr[kategoria],parametr[typ])</f>
        <v>wydatki</v>
      </c>
      <c r="I1433" s="1">
        <f>ABS(transakcje[[#This Row],[kwota]])</f>
        <v>5.7960000000000003</v>
      </c>
    </row>
    <row r="1434" spans="1:9" x14ac:dyDescent="0.3">
      <c r="A1434">
        <v>1433</v>
      </c>
      <c r="B1434">
        <v>2015</v>
      </c>
      <c r="C1434">
        <v>5</v>
      </c>
      <c r="D1434">
        <v>21</v>
      </c>
      <c r="E1434" s="1">
        <v>18.236000000000001</v>
      </c>
      <c r="F1434" t="s">
        <v>17</v>
      </c>
      <c r="G1434" t="str">
        <f>_xlfn.XLOOKUP(transakcje[[#This Row],[podkategoria]],parametr[podkategoria],parametr[kategoria])</f>
        <v>dochody pozostałe</v>
      </c>
      <c r="H1434" t="str">
        <f>_xlfn.XLOOKUP(transakcje[[#This Row],[kategoria]],parametr[kategoria],parametr[typ])</f>
        <v>dochody</v>
      </c>
      <c r="I1434" s="1">
        <f>ABS(transakcje[[#This Row],[kwota]])</f>
        <v>18.236000000000001</v>
      </c>
    </row>
    <row r="1435" spans="1:9" x14ac:dyDescent="0.3">
      <c r="A1435">
        <v>1434</v>
      </c>
      <c r="B1435">
        <v>2015</v>
      </c>
      <c r="C1435">
        <v>5</v>
      </c>
      <c r="D1435">
        <v>22</v>
      </c>
      <c r="E1435" s="1">
        <v>-2.68</v>
      </c>
      <c r="F1435" t="s">
        <v>26</v>
      </c>
      <c r="G1435" t="str">
        <f>_xlfn.XLOOKUP(transakcje[[#This Row],[podkategoria]],parametr[podkategoria],parametr[kategoria])</f>
        <v>życie</v>
      </c>
      <c r="H1435" t="str">
        <f>_xlfn.XLOOKUP(transakcje[[#This Row],[kategoria]],parametr[kategoria],parametr[typ])</f>
        <v>wydatki</v>
      </c>
      <c r="I1435" s="1">
        <f>ABS(transakcje[[#This Row],[kwota]])</f>
        <v>2.68</v>
      </c>
    </row>
    <row r="1436" spans="1:9" x14ac:dyDescent="0.3">
      <c r="A1436">
        <v>1435</v>
      </c>
      <c r="B1436">
        <v>2015</v>
      </c>
      <c r="C1436">
        <v>5</v>
      </c>
      <c r="D1436">
        <v>22</v>
      </c>
      <c r="E1436" s="1">
        <v>-1.7120000000000002</v>
      </c>
      <c r="F1436" t="s">
        <v>26</v>
      </c>
      <c r="G1436" t="str">
        <f>_xlfn.XLOOKUP(transakcje[[#This Row],[podkategoria]],parametr[podkategoria],parametr[kategoria])</f>
        <v>życie</v>
      </c>
      <c r="H1436" t="str">
        <f>_xlfn.XLOOKUP(transakcje[[#This Row],[kategoria]],parametr[kategoria],parametr[typ])</f>
        <v>wydatki</v>
      </c>
      <c r="I1436" s="1">
        <f>ABS(transakcje[[#This Row],[kwota]])</f>
        <v>1.7120000000000002</v>
      </c>
    </row>
    <row r="1437" spans="1:9" x14ac:dyDescent="0.3">
      <c r="A1437">
        <v>1436</v>
      </c>
      <c r="B1437">
        <v>2015</v>
      </c>
      <c r="C1437">
        <v>5</v>
      </c>
      <c r="D1437">
        <v>25</v>
      </c>
      <c r="E1437" s="1">
        <v>428.95600000000002</v>
      </c>
      <c r="F1437" t="s">
        <v>8</v>
      </c>
      <c r="G1437" t="str">
        <f>_xlfn.XLOOKUP(transakcje[[#This Row],[podkategoria]],parametr[podkategoria],parametr[kategoria])</f>
        <v>dochody z pracy</v>
      </c>
      <c r="H1437" t="str">
        <f>_xlfn.XLOOKUP(transakcje[[#This Row],[kategoria]],parametr[kategoria],parametr[typ])</f>
        <v>dochody</v>
      </c>
      <c r="I1437" s="1">
        <f>ABS(transakcje[[#This Row],[kwota]])</f>
        <v>428.95600000000002</v>
      </c>
    </row>
    <row r="1438" spans="1:9" x14ac:dyDescent="0.3">
      <c r="A1438">
        <v>1437</v>
      </c>
      <c r="B1438">
        <v>2015</v>
      </c>
      <c r="C1438">
        <v>5</v>
      </c>
      <c r="D1438">
        <v>26</v>
      </c>
      <c r="E1438" s="1">
        <v>-19.8</v>
      </c>
      <c r="F1438" t="s">
        <v>32</v>
      </c>
      <c r="G1438" t="str">
        <f>_xlfn.XLOOKUP(transakcje[[#This Row],[podkategoria]],parametr[podkategoria],parametr[kategoria])</f>
        <v>opłaty stałe</v>
      </c>
      <c r="H1438" t="str">
        <f>_xlfn.XLOOKUP(transakcje[[#This Row],[kategoria]],parametr[kategoria],parametr[typ])</f>
        <v>wydatki</v>
      </c>
      <c r="I1438" s="1">
        <f>ABS(transakcje[[#This Row],[kwota]])</f>
        <v>19.8</v>
      </c>
    </row>
    <row r="1439" spans="1:9" x14ac:dyDescent="0.3">
      <c r="A1439">
        <v>1438</v>
      </c>
      <c r="B1439">
        <v>2015</v>
      </c>
      <c r="C1439">
        <v>5</v>
      </c>
      <c r="D1439">
        <v>26</v>
      </c>
      <c r="E1439" s="1">
        <v>-2.7039999999999997</v>
      </c>
      <c r="F1439" t="s">
        <v>26</v>
      </c>
      <c r="G1439" t="str">
        <f>_xlfn.XLOOKUP(transakcje[[#This Row],[podkategoria]],parametr[podkategoria],parametr[kategoria])</f>
        <v>życie</v>
      </c>
      <c r="H1439" t="str">
        <f>_xlfn.XLOOKUP(transakcje[[#This Row],[kategoria]],parametr[kategoria],parametr[typ])</f>
        <v>wydatki</v>
      </c>
      <c r="I1439" s="1">
        <f>ABS(transakcje[[#This Row],[kwota]])</f>
        <v>2.7039999999999997</v>
      </c>
    </row>
    <row r="1440" spans="1:9" x14ac:dyDescent="0.3">
      <c r="A1440">
        <v>1439</v>
      </c>
      <c r="B1440">
        <v>2015</v>
      </c>
      <c r="C1440">
        <v>5</v>
      </c>
      <c r="D1440">
        <v>26</v>
      </c>
      <c r="E1440" s="1">
        <v>-2.13</v>
      </c>
      <c r="F1440" t="s">
        <v>26</v>
      </c>
      <c r="G1440" t="str">
        <f>_xlfn.XLOOKUP(transakcje[[#This Row],[podkategoria]],parametr[podkategoria],parametr[kategoria])</f>
        <v>życie</v>
      </c>
      <c r="H1440" t="str">
        <f>_xlfn.XLOOKUP(transakcje[[#This Row],[kategoria]],parametr[kategoria],parametr[typ])</f>
        <v>wydatki</v>
      </c>
      <c r="I1440" s="1">
        <f>ABS(transakcje[[#This Row],[kwota]])</f>
        <v>2.13</v>
      </c>
    </row>
    <row r="1441" spans="1:9" x14ac:dyDescent="0.3">
      <c r="A1441">
        <v>1440</v>
      </c>
      <c r="B1441">
        <v>2015</v>
      </c>
      <c r="C1441">
        <v>5</v>
      </c>
      <c r="D1441">
        <v>28</v>
      </c>
      <c r="E1441" s="1">
        <v>-6.5680000000000005</v>
      </c>
      <c r="F1441" t="s">
        <v>26</v>
      </c>
      <c r="G1441" t="str">
        <f>_xlfn.XLOOKUP(transakcje[[#This Row],[podkategoria]],parametr[podkategoria],parametr[kategoria])</f>
        <v>życie</v>
      </c>
      <c r="H1441" t="str">
        <f>_xlfn.XLOOKUP(transakcje[[#This Row],[kategoria]],parametr[kategoria],parametr[typ])</f>
        <v>wydatki</v>
      </c>
      <c r="I1441" s="1">
        <f>ABS(transakcje[[#This Row],[kwota]])</f>
        <v>6.5680000000000005</v>
      </c>
    </row>
    <row r="1442" spans="1:9" x14ac:dyDescent="0.3">
      <c r="A1442">
        <v>1441</v>
      </c>
      <c r="B1442">
        <v>2015</v>
      </c>
      <c r="C1442">
        <v>5</v>
      </c>
      <c r="D1442">
        <v>29</v>
      </c>
      <c r="E1442" s="1">
        <v>-2.3920000000000003</v>
      </c>
      <c r="F1442" t="s">
        <v>26</v>
      </c>
      <c r="G1442" t="str">
        <f>_xlfn.XLOOKUP(transakcje[[#This Row],[podkategoria]],parametr[podkategoria],parametr[kategoria])</f>
        <v>życie</v>
      </c>
      <c r="H1442" t="str">
        <f>_xlfn.XLOOKUP(transakcje[[#This Row],[kategoria]],parametr[kategoria],parametr[typ])</f>
        <v>wydatki</v>
      </c>
      <c r="I1442" s="1">
        <f>ABS(transakcje[[#This Row],[kwota]])</f>
        <v>2.3920000000000003</v>
      </c>
    </row>
    <row r="1443" spans="1:9" x14ac:dyDescent="0.3">
      <c r="A1443">
        <v>1442</v>
      </c>
      <c r="B1443">
        <v>2015</v>
      </c>
      <c r="C1443">
        <v>5</v>
      </c>
      <c r="D1443">
        <v>31</v>
      </c>
      <c r="E1443" s="1">
        <v>4.0000000000000001E-3</v>
      </c>
      <c r="F1443" t="s">
        <v>17</v>
      </c>
      <c r="G1443" t="str">
        <f>_xlfn.XLOOKUP(transakcje[[#This Row],[podkategoria]],parametr[podkategoria],parametr[kategoria])</f>
        <v>dochody pozostałe</v>
      </c>
      <c r="H1443" t="str">
        <f>_xlfn.XLOOKUP(transakcje[[#This Row],[kategoria]],parametr[kategoria],parametr[typ])</f>
        <v>dochody</v>
      </c>
      <c r="I1443" s="1">
        <f>ABS(transakcje[[#This Row],[kwota]])</f>
        <v>4.0000000000000001E-3</v>
      </c>
    </row>
    <row r="1444" spans="1:9" x14ac:dyDescent="0.3">
      <c r="A1444">
        <v>1443</v>
      </c>
      <c r="B1444">
        <v>2015</v>
      </c>
      <c r="C1444">
        <v>5</v>
      </c>
      <c r="D1444">
        <v>31</v>
      </c>
      <c r="E1444" s="1">
        <v>-1.198</v>
      </c>
      <c r="F1444" t="s">
        <v>14</v>
      </c>
      <c r="G1444" t="str">
        <f>_xlfn.XLOOKUP(transakcje[[#This Row],[podkategoria]],parametr[podkategoria],parametr[kategoria])</f>
        <v>opłaty stałe</v>
      </c>
      <c r="H1444" t="str">
        <f>_xlfn.XLOOKUP(transakcje[[#This Row],[kategoria]],parametr[kategoria],parametr[typ])</f>
        <v>wydatki</v>
      </c>
      <c r="I1444" s="1">
        <f>ABS(transakcje[[#This Row],[kwota]])</f>
        <v>1.198</v>
      </c>
    </row>
    <row r="1445" spans="1:9" x14ac:dyDescent="0.3">
      <c r="A1445">
        <v>1444</v>
      </c>
      <c r="B1445">
        <v>2015</v>
      </c>
      <c r="C1445">
        <v>5</v>
      </c>
      <c r="D1445">
        <v>31</v>
      </c>
      <c r="E1445" s="1">
        <v>-1.2</v>
      </c>
      <c r="F1445" t="s">
        <v>14</v>
      </c>
      <c r="G1445" t="str">
        <f>_xlfn.XLOOKUP(transakcje[[#This Row],[podkategoria]],parametr[podkategoria],parametr[kategoria])</f>
        <v>opłaty stałe</v>
      </c>
      <c r="H1445" t="str">
        <f>_xlfn.XLOOKUP(transakcje[[#This Row],[kategoria]],parametr[kategoria],parametr[typ])</f>
        <v>wydatki</v>
      </c>
      <c r="I1445" s="1">
        <f>ABS(transakcje[[#This Row],[kwota]])</f>
        <v>1.2</v>
      </c>
    </row>
    <row r="1446" spans="1:9" x14ac:dyDescent="0.3">
      <c r="A1446">
        <v>1445</v>
      </c>
      <c r="B1446">
        <v>2015</v>
      </c>
      <c r="C1446">
        <v>5</v>
      </c>
      <c r="D1446">
        <v>31</v>
      </c>
      <c r="E1446" s="1">
        <v>-2E-3</v>
      </c>
      <c r="F1446" t="s">
        <v>14</v>
      </c>
      <c r="G1446" t="str">
        <f>_xlfn.XLOOKUP(transakcje[[#This Row],[podkategoria]],parametr[podkategoria],parametr[kategoria])</f>
        <v>opłaty stałe</v>
      </c>
      <c r="H1446" t="str">
        <f>_xlfn.XLOOKUP(transakcje[[#This Row],[kategoria]],parametr[kategoria],parametr[typ])</f>
        <v>wydatki</v>
      </c>
      <c r="I1446" s="1">
        <f>ABS(transakcje[[#This Row],[kwota]])</f>
        <v>2E-3</v>
      </c>
    </row>
    <row r="1447" spans="1:9" x14ac:dyDescent="0.3">
      <c r="A1447">
        <v>1446</v>
      </c>
      <c r="B1447">
        <v>2015</v>
      </c>
      <c r="C1447">
        <v>6</v>
      </c>
      <c r="D1447">
        <v>1</v>
      </c>
      <c r="E1447" s="1">
        <v>-4.3</v>
      </c>
      <c r="F1447" t="s">
        <v>37</v>
      </c>
      <c r="G1447" t="str">
        <f>_xlfn.XLOOKUP(transakcje[[#This Row],[podkategoria]],parametr[podkategoria],parametr[kategoria])</f>
        <v>opłaty stałe</v>
      </c>
      <c r="H1447" t="str">
        <f>_xlfn.XLOOKUP(transakcje[[#This Row],[kategoria]],parametr[kategoria],parametr[typ])</f>
        <v>wydatki</v>
      </c>
      <c r="I1447" s="1">
        <f>ABS(transakcje[[#This Row],[kwota]])</f>
        <v>4.3</v>
      </c>
    </row>
    <row r="1448" spans="1:9" x14ac:dyDescent="0.3">
      <c r="A1448">
        <v>1447</v>
      </c>
      <c r="B1448">
        <v>2015</v>
      </c>
      <c r="C1448">
        <v>6</v>
      </c>
      <c r="D1448">
        <v>1</v>
      </c>
      <c r="E1448" s="1">
        <v>-8.129999999999999</v>
      </c>
      <c r="F1448" t="s">
        <v>25</v>
      </c>
      <c r="G1448" t="str">
        <f>_xlfn.XLOOKUP(transakcje[[#This Row],[podkategoria]],parametr[podkategoria],parametr[kategoria])</f>
        <v>opłaty stałe</v>
      </c>
      <c r="H1448" t="str">
        <f>_xlfn.XLOOKUP(transakcje[[#This Row],[kategoria]],parametr[kategoria],parametr[typ])</f>
        <v>wydatki</v>
      </c>
      <c r="I1448" s="1">
        <f>ABS(transakcje[[#This Row],[kwota]])</f>
        <v>8.129999999999999</v>
      </c>
    </row>
    <row r="1449" spans="1:9" x14ac:dyDescent="0.3">
      <c r="A1449">
        <v>1448</v>
      </c>
      <c r="B1449">
        <v>2015</v>
      </c>
      <c r="C1449">
        <v>6</v>
      </c>
      <c r="D1449">
        <v>1</v>
      </c>
      <c r="E1449" s="1">
        <v>-59.765999999999998</v>
      </c>
      <c r="F1449" t="s">
        <v>31</v>
      </c>
      <c r="G1449" t="str">
        <f>_xlfn.XLOOKUP(transakcje[[#This Row],[podkategoria]],parametr[podkategoria],parametr[kategoria])</f>
        <v>opłaty stałe</v>
      </c>
      <c r="H1449" t="str">
        <f>_xlfn.XLOOKUP(transakcje[[#This Row],[kategoria]],parametr[kategoria],parametr[typ])</f>
        <v>wydatki</v>
      </c>
      <c r="I1449" s="1">
        <f>ABS(transakcje[[#This Row],[kwota]])</f>
        <v>59.765999999999998</v>
      </c>
    </row>
    <row r="1450" spans="1:9" x14ac:dyDescent="0.3">
      <c r="A1450">
        <v>1449</v>
      </c>
      <c r="B1450">
        <v>2015</v>
      </c>
      <c r="C1450">
        <v>6</v>
      </c>
      <c r="D1450">
        <v>1</v>
      </c>
      <c r="E1450" s="1">
        <v>-8.5</v>
      </c>
      <c r="F1450" t="s">
        <v>23</v>
      </c>
      <c r="G1450" t="str">
        <f>_xlfn.XLOOKUP(transakcje[[#This Row],[podkategoria]],parametr[podkategoria],parametr[kategoria])</f>
        <v>opłaty stałe</v>
      </c>
      <c r="H1450" t="str">
        <f>_xlfn.XLOOKUP(transakcje[[#This Row],[kategoria]],parametr[kategoria],parametr[typ])</f>
        <v>wydatki</v>
      </c>
      <c r="I1450" s="1">
        <f>ABS(transakcje[[#This Row],[kwota]])</f>
        <v>8.5</v>
      </c>
    </row>
    <row r="1451" spans="1:9" x14ac:dyDescent="0.3">
      <c r="A1451">
        <v>1450</v>
      </c>
      <c r="B1451">
        <v>2015</v>
      </c>
      <c r="C1451">
        <v>6</v>
      </c>
      <c r="D1451">
        <v>2</v>
      </c>
      <c r="E1451" s="1">
        <v>-6.008</v>
      </c>
      <c r="F1451" t="s">
        <v>26</v>
      </c>
      <c r="G1451" t="str">
        <f>_xlfn.XLOOKUP(transakcje[[#This Row],[podkategoria]],parametr[podkategoria],parametr[kategoria])</f>
        <v>życie</v>
      </c>
      <c r="H1451" t="str">
        <f>_xlfn.XLOOKUP(transakcje[[#This Row],[kategoria]],parametr[kategoria],parametr[typ])</f>
        <v>wydatki</v>
      </c>
      <c r="I1451" s="1">
        <f>ABS(transakcje[[#This Row],[kwota]])</f>
        <v>6.008</v>
      </c>
    </row>
    <row r="1452" spans="1:9" x14ac:dyDescent="0.3">
      <c r="A1452">
        <v>1451</v>
      </c>
      <c r="B1452">
        <v>2015</v>
      </c>
      <c r="C1452">
        <v>6</v>
      </c>
      <c r="D1452">
        <v>2</v>
      </c>
      <c r="E1452" s="1">
        <v>-2.6339999999999999</v>
      </c>
      <c r="F1452" t="s">
        <v>26</v>
      </c>
      <c r="G1452" t="str">
        <f>_xlfn.XLOOKUP(transakcje[[#This Row],[podkategoria]],parametr[podkategoria],parametr[kategoria])</f>
        <v>życie</v>
      </c>
      <c r="H1452" t="str">
        <f>_xlfn.XLOOKUP(transakcje[[#This Row],[kategoria]],parametr[kategoria],parametr[typ])</f>
        <v>wydatki</v>
      </c>
      <c r="I1452" s="1">
        <f>ABS(transakcje[[#This Row],[kwota]])</f>
        <v>2.6339999999999999</v>
      </c>
    </row>
    <row r="1453" spans="1:9" x14ac:dyDescent="0.3">
      <c r="A1453">
        <v>1452</v>
      </c>
      <c r="B1453">
        <v>2015</v>
      </c>
      <c r="C1453">
        <v>6</v>
      </c>
      <c r="D1453">
        <v>3</v>
      </c>
      <c r="E1453" s="1">
        <v>-3.4</v>
      </c>
      <c r="F1453" t="s">
        <v>26</v>
      </c>
      <c r="G1453" t="str">
        <f>_xlfn.XLOOKUP(transakcje[[#This Row],[podkategoria]],parametr[podkategoria],parametr[kategoria])</f>
        <v>życie</v>
      </c>
      <c r="H1453" t="str">
        <f>_xlfn.XLOOKUP(transakcje[[#This Row],[kategoria]],parametr[kategoria],parametr[typ])</f>
        <v>wydatki</v>
      </c>
      <c r="I1453" s="1">
        <f>ABS(transakcje[[#This Row],[kwota]])</f>
        <v>3.4</v>
      </c>
    </row>
    <row r="1454" spans="1:9" x14ac:dyDescent="0.3">
      <c r="A1454">
        <v>1453</v>
      </c>
      <c r="B1454">
        <v>2015</v>
      </c>
      <c r="C1454">
        <v>6</v>
      </c>
      <c r="D1454">
        <v>6</v>
      </c>
      <c r="E1454" s="1">
        <v>-23.256</v>
      </c>
      <c r="F1454" t="s">
        <v>26</v>
      </c>
      <c r="G1454" t="str">
        <f>_xlfn.XLOOKUP(transakcje[[#This Row],[podkategoria]],parametr[podkategoria],parametr[kategoria])</f>
        <v>życie</v>
      </c>
      <c r="H1454" t="str">
        <f>_xlfn.XLOOKUP(transakcje[[#This Row],[kategoria]],parametr[kategoria],parametr[typ])</f>
        <v>wydatki</v>
      </c>
      <c r="I1454" s="1">
        <f>ABS(transakcje[[#This Row],[kwota]])</f>
        <v>23.256</v>
      </c>
    </row>
    <row r="1455" spans="1:9" x14ac:dyDescent="0.3">
      <c r="A1455">
        <v>1454</v>
      </c>
      <c r="B1455">
        <v>2015</v>
      </c>
      <c r="C1455">
        <v>6</v>
      </c>
      <c r="D1455">
        <v>7</v>
      </c>
      <c r="E1455" s="1">
        <v>-49.998000000000005</v>
      </c>
      <c r="F1455" t="s">
        <v>11</v>
      </c>
      <c r="G1455" t="str">
        <f>_xlfn.XLOOKUP(transakcje[[#This Row],[podkategoria]],parametr[podkategoria],parametr[kategoria])</f>
        <v>wydatki inne</v>
      </c>
      <c r="H1455" t="str">
        <f>_xlfn.XLOOKUP(transakcje[[#This Row],[kategoria]],parametr[kategoria],parametr[typ])</f>
        <v>wydatki</v>
      </c>
      <c r="I1455" s="1">
        <f>ABS(transakcje[[#This Row],[kwota]])</f>
        <v>49.998000000000005</v>
      </c>
    </row>
    <row r="1456" spans="1:9" x14ac:dyDescent="0.3">
      <c r="A1456">
        <v>1455</v>
      </c>
      <c r="B1456">
        <v>2015</v>
      </c>
      <c r="C1456">
        <v>6</v>
      </c>
      <c r="D1456">
        <v>7</v>
      </c>
      <c r="E1456" s="1">
        <v>-15.827999999999999</v>
      </c>
      <c r="F1456" t="s">
        <v>11</v>
      </c>
      <c r="G1456" t="str">
        <f>_xlfn.XLOOKUP(transakcje[[#This Row],[podkategoria]],parametr[podkategoria],parametr[kategoria])</f>
        <v>wydatki inne</v>
      </c>
      <c r="H1456" t="str">
        <f>_xlfn.XLOOKUP(transakcje[[#This Row],[kategoria]],parametr[kategoria],parametr[typ])</f>
        <v>wydatki</v>
      </c>
      <c r="I1456" s="1">
        <f>ABS(transakcje[[#This Row],[kwota]])</f>
        <v>15.827999999999999</v>
      </c>
    </row>
    <row r="1457" spans="1:9" x14ac:dyDescent="0.3">
      <c r="A1457">
        <v>1456</v>
      </c>
      <c r="B1457">
        <v>2015</v>
      </c>
      <c r="C1457">
        <v>6</v>
      </c>
      <c r="D1457">
        <v>8</v>
      </c>
      <c r="E1457" s="1">
        <v>-3.9119999999999999</v>
      </c>
      <c r="F1457" t="s">
        <v>26</v>
      </c>
      <c r="G1457" t="str">
        <f>_xlfn.XLOOKUP(transakcje[[#This Row],[podkategoria]],parametr[podkategoria],parametr[kategoria])</f>
        <v>życie</v>
      </c>
      <c r="H1457" t="str">
        <f>_xlfn.XLOOKUP(transakcje[[#This Row],[kategoria]],parametr[kategoria],parametr[typ])</f>
        <v>wydatki</v>
      </c>
      <c r="I1457" s="1">
        <f>ABS(transakcje[[#This Row],[kwota]])</f>
        <v>3.9119999999999999</v>
      </c>
    </row>
    <row r="1458" spans="1:9" x14ac:dyDescent="0.3">
      <c r="A1458">
        <v>1457</v>
      </c>
      <c r="B1458">
        <v>2015</v>
      </c>
      <c r="C1458">
        <v>6</v>
      </c>
      <c r="D1458">
        <v>12</v>
      </c>
      <c r="E1458" s="1">
        <v>-0.39800000000000002</v>
      </c>
      <c r="F1458" t="s">
        <v>14</v>
      </c>
      <c r="G1458" t="str">
        <f>_xlfn.XLOOKUP(transakcje[[#This Row],[podkategoria]],parametr[podkategoria],parametr[kategoria])</f>
        <v>opłaty stałe</v>
      </c>
      <c r="H1458" t="str">
        <f>_xlfn.XLOOKUP(transakcje[[#This Row],[kategoria]],parametr[kategoria],parametr[typ])</f>
        <v>wydatki</v>
      </c>
      <c r="I1458" s="1">
        <f>ABS(transakcje[[#This Row],[kwota]])</f>
        <v>0.39800000000000002</v>
      </c>
    </row>
    <row r="1459" spans="1:9" x14ac:dyDescent="0.3">
      <c r="A1459">
        <v>1458</v>
      </c>
      <c r="B1459">
        <v>2015</v>
      </c>
      <c r="C1459">
        <v>6</v>
      </c>
      <c r="D1459">
        <v>13</v>
      </c>
      <c r="E1459" s="1">
        <v>-20</v>
      </c>
      <c r="F1459" t="s">
        <v>11</v>
      </c>
      <c r="G1459" t="str">
        <f>_xlfn.XLOOKUP(transakcje[[#This Row],[podkategoria]],parametr[podkategoria],parametr[kategoria])</f>
        <v>wydatki inne</v>
      </c>
      <c r="H1459" t="str">
        <f>_xlfn.XLOOKUP(transakcje[[#This Row],[kategoria]],parametr[kategoria],parametr[typ])</f>
        <v>wydatki</v>
      </c>
      <c r="I1459" s="1">
        <f>ABS(transakcje[[#This Row],[kwota]])</f>
        <v>20</v>
      </c>
    </row>
    <row r="1460" spans="1:9" x14ac:dyDescent="0.3">
      <c r="A1460">
        <v>1459</v>
      </c>
      <c r="B1460">
        <v>2015</v>
      </c>
      <c r="C1460">
        <v>6</v>
      </c>
      <c r="D1460">
        <v>13</v>
      </c>
      <c r="E1460" s="1">
        <v>-9.66</v>
      </c>
      <c r="F1460" t="s">
        <v>26</v>
      </c>
      <c r="G1460" t="str">
        <f>_xlfn.XLOOKUP(transakcje[[#This Row],[podkategoria]],parametr[podkategoria],parametr[kategoria])</f>
        <v>życie</v>
      </c>
      <c r="H1460" t="str">
        <f>_xlfn.XLOOKUP(transakcje[[#This Row],[kategoria]],parametr[kategoria],parametr[typ])</f>
        <v>wydatki</v>
      </c>
      <c r="I1460" s="1">
        <f>ABS(transakcje[[#This Row],[kwota]])</f>
        <v>9.66</v>
      </c>
    </row>
    <row r="1461" spans="1:9" x14ac:dyDescent="0.3">
      <c r="A1461">
        <v>1460</v>
      </c>
      <c r="B1461">
        <v>2015</v>
      </c>
      <c r="C1461">
        <v>6</v>
      </c>
      <c r="D1461">
        <v>16</v>
      </c>
      <c r="E1461" s="1">
        <v>-0.8</v>
      </c>
      <c r="F1461" t="s">
        <v>14</v>
      </c>
      <c r="G1461" t="str">
        <f>_xlfn.XLOOKUP(transakcje[[#This Row],[podkategoria]],parametr[podkategoria],parametr[kategoria])</f>
        <v>opłaty stałe</v>
      </c>
      <c r="H1461" t="str">
        <f>_xlfn.XLOOKUP(transakcje[[#This Row],[kategoria]],parametr[kategoria],parametr[typ])</f>
        <v>wydatki</v>
      </c>
      <c r="I1461" s="1">
        <f>ABS(transakcje[[#This Row],[kwota]])</f>
        <v>0.8</v>
      </c>
    </row>
    <row r="1462" spans="1:9" x14ac:dyDescent="0.3">
      <c r="A1462">
        <v>1461</v>
      </c>
      <c r="B1462">
        <v>2015</v>
      </c>
      <c r="C1462">
        <v>6</v>
      </c>
      <c r="D1462">
        <v>23</v>
      </c>
      <c r="E1462" s="1">
        <v>-19.8</v>
      </c>
      <c r="F1462" t="s">
        <v>32</v>
      </c>
      <c r="G1462" t="str">
        <f>_xlfn.XLOOKUP(transakcje[[#This Row],[podkategoria]],parametr[podkategoria],parametr[kategoria])</f>
        <v>opłaty stałe</v>
      </c>
      <c r="H1462" t="str">
        <f>_xlfn.XLOOKUP(transakcje[[#This Row],[kategoria]],parametr[kategoria],parametr[typ])</f>
        <v>wydatki</v>
      </c>
      <c r="I1462" s="1">
        <f>ABS(transakcje[[#This Row],[kwota]])</f>
        <v>19.8</v>
      </c>
    </row>
    <row r="1463" spans="1:9" x14ac:dyDescent="0.3">
      <c r="A1463">
        <v>1462</v>
      </c>
      <c r="B1463">
        <v>2015</v>
      </c>
      <c r="C1463">
        <v>6</v>
      </c>
      <c r="D1463">
        <v>25</v>
      </c>
      <c r="E1463" s="1">
        <v>428.95600000000002</v>
      </c>
      <c r="F1463" t="s">
        <v>8</v>
      </c>
      <c r="G1463" t="str">
        <f>_xlfn.XLOOKUP(transakcje[[#This Row],[podkategoria]],parametr[podkategoria],parametr[kategoria])</f>
        <v>dochody z pracy</v>
      </c>
      <c r="H1463" t="str">
        <f>_xlfn.XLOOKUP(transakcje[[#This Row],[kategoria]],parametr[kategoria],parametr[typ])</f>
        <v>dochody</v>
      </c>
      <c r="I1463" s="1">
        <f>ABS(transakcje[[#This Row],[kwota]])</f>
        <v>428.95600000000002</v>
      </c>
    </row>
    <row r="1464" spans="1:9" x14ac:dyDescent="0.3">
      <c r="A1464">
        <v>1463</v>
      </c>
      <c r="B1464">
        <v>2015</v>
      </c>
      <c r="C1464">
        <v>6</v>
      </c>
      <c r="D1464">
        <v>25</v>
      </c>
      <c r="E1464" s="1">
        <v>-1.5760000000000001</v>
      </c>
      <c r="F1464" t="s">
        <v>26</v>
      </c>
      <c r="G1464" t="str">
        <f>_xlfn.XLOOKUP(transakcje[[#This Row],[podkategoria]],parametr[podkategoria],parametr[kategoria])</f>
        <v>życie</v>
      </c>
      <c r="H1464" t="str">
        <f>_xlfn.XLOOKUP(transakcje[[#This Row],[kategoria]],parametr[kategoria],parametr[typ])</f>
        <v>wydatki</v>
      </c>
      <c r="I1464" s="1">
        <f>ABS(transakcje[[#This Row],[kwota]])</f>
        <v>1.5760000000000001</v>
      </c>
    </row>
    <row r="1465" spans="1:9" x14ac:dyDescent="0.3">
      <c r="A1465">
        <v>1464</v>
      </c>
      <c r="B1465">
        <v>2015</v>
      </c>
      <c r="C1465">
        <v>6</v>
      </c>
      <c r="D1465">
        <v>30</v>
      </c>
      <c r="E1465" s="1">
        <v>4.0000000000000001E-3</v>
      </c>
      <c r="F1465" t="s">
        <v>17</v>
      </c>
      <c r="G1465" t="str">
        <f>_xlfn.XLOOKUP(transakcje[[#This Row],[podkategoria]],parametr[podkategoria],parametr[kategoria])</f>
        <v>dochody pozostałe</v>
      </c>
      <c r="H1465" t="str">
        <f>_xlfn.XLOOKUP(transakcje[[#This Row],[kategoria]],parametr[kategoria],parametr[typ])</f>
        <v>dochody</v>
      </c>
      <c r="I1465" s="1">
        <f>ABS(transakcje[[#This Row],[kwota]])</f>
        <v>4.0000000000000001E-3</v>
      </c>
    </row>
    <row r="1466" spans="1:9" x14ac:dyDescent="0.3">
      <c r="A1466">
        <v>1465</v>
      </c>
      <c r="B1466">
        <v>2015</v>
      </c>
      <c r="C1466">
        <v>6</v>
      </c>
      <c r="D1466">
        <v>30</v>
      </c>
      <c r="E1466" s="1">
        <v>-1.198</v>
      </c>
      <c r="F1466" t="s">
        <v>14</v>
      </c>
      <c r="G1466" t="str">
        <f>_xlfn.XLOOKUP(transakcje[[#This Row],[podkategoria]],parametr[podkategoria],parametr[kategoria])</f>
        <v>opłaty stałe</v>
      </c>
      <c r="H1466" t="str">
        <f>_xlfn.XLOOKUP(transakcje[[#This Row],[kategoria]],parametr[kategoria],parametr[typ])</f>
        <v>wydatki</v>
      </c>
      <c r="I1466" s="1">
        <f>ABS(transakcje[[#This Row],[kwota]])</f>
        <v>1.198</v>
      </c>
    </row>
    <row r="1467" spans="1:9" x14ac:dyDescent="0.3">
      <c r="A1467">
        <v>1466</v>
      </c>
      <c r="B1467">
        <v>2015</v>
      </c>
      <c r="C1467">
        <v>6</v>
      </c>
      <c r="D1467">
        <v>30</v>
      </c>
      <c r="E1467" s="1">
        <v>-2E-3</v>
      </c>
      <c r="F1467" t="s">
        <v>14</v>
      </c>
      <c r="G1467" t="str">
        <f>_xlfn.XLOOKUP(transakcje[[#This Row],[podkategoria]],parametr[podkategoria],parametr[kategoria])</f>
        <v>opłaty stałe</v>
      </c>
      <c r="H1467" t="str">
        <f>_xlfn.XLOOKUP(transakcje[[#This Row],[kategoria]],parametr[kategoria],parametr[typ])</f>
        <v>wydatki</v>
      </c>
      <c r="I1467" s="1">
        <f>ABS(transakcje[[#This Row],[kwota]])</f>
        <v>2E-3</v>
      </c>
    </row>
    <row r="1468" spans="1:9" x14ac:dyDescent="0.3">
      <c r="A1468">
        <v>1467</v>
      </c>
      <c r="B1468">
        <v>2015</v>
      </c>
      <c r="C1468">
        <v>7</v>
      </c>
      <c r="D1468">
        <v>4</v>
      </c>
      <c r="E1468" s="1">
        <v>-4.3</v>
      </c>
      <c r="F1468" t="s">
        <v>37</v>
      </c>
      <c r="G1468" t="str">
        <f>_xlfn.XLOOKUP(transakcje[[#This Row],[podkategoria]],parametr[podkategoria],parametr[kategoria])</f>
        <v>opłaty stałe</v>
      </c>
      <c r="H1468" t="str">
        <f>_xlfn.XLOOKUP(transakcje[[#This Row],[kategoria]],parametr[kategoria],parametr[typ])</f>
        <v>wydatki</v>
      </c>
      <c r="I1468" s="1">
        <f>ABS(transakcje[[#This Row],[kwota]])</f>
        <v>4.3</v>
      </c>
    </row>
    <row r="1469" spans="1:9" x14ac:dyDescent="0.3">
      <c r="A1469">
        <v>1468</v>
      </c>
      <c r="B1469">
        <v>2015</v>
      </c>
      <c r="C1469">
        <v>7</v>
      </c>
      <c r="D1469">
        <v>4</v>
      </c>
      <c r="E1469" s="1">
        <v>-59.765999999999998</v>
      </c>
      <c r="F1469" t="s">
        <v>31</v>
      </c>
      <c r="G1469" t="str">
        <f>_xlfn.XLOOKUP(transakcje[[#This Row],[podkategoria]],parametr[podkategoria],parametr[kategoria])</f>
        <v>opłaty stałe</v>
      </c>
      <c r="H1469" t="str">
        <f>_xlfn.XLOOKUP(transakcje[[#This Row],[kategoria]],parametr[kategoria],parametr[typ])</f>
        <v>wydatki</v>
      </c>
      <c r="I1469" s="1">
        <f>ABS(transakcje[[#This Row],[kwota]])</f>
        <v>59.765999999999998</v>
      </c>
    </row>
    <row r="1470" spans="1:9" x14ac:dyDescent="0.3">
      <c r="A1470">
        <v>1469</v>
      </c>
      <c r="B1470">
        <v>2015</v>
      </c>
      <c r="C1470">
        <v>7</v>
      </c>
      <c r="D1470">
        <v>4</v>
      </c>
      <c r="E1470" s="1">
        <v>-7.1779999999999999</v>
      </c>
      <c r="F1470" t="s">
        <v>35</v>
      </c>
      <c r="G1470" t="str">
        <f>_xlfn.XLOOKUP(transakcje[[#This Row],[podkategoria]],parametr[podkategoria],parametr[kategoria])</f>
        <v>opłaty stałe</v>
      </c>
      <c r="H1470" t="str">
        <f>_xlfn.XLOOKUP(transakcje[[#This Row],[kategoria]],parametr[kategoria],parametr[typ])</f>
        <v>wydatki</v>
      </c>
      <c r="I1470" s="1">
        <f>ABS(transakcje[[#This Row],[kwota]])</f>
        <v>7.1779999999999999</v>
      </c>
    </row>
    <row r="1471" spans="1:9" x14ac:dyDescent="0.3">
      <c r="A1471">
        <v>1470</v>
      </c>
      <c r="B1471">
        <v>2015</v>
      </c>
      <c r="C1471">
        <v>7</v>
      </c>
      <c r="D1471">
        <v>4</v>
      </c>
      <c r="E1471" s="1">
        <v>-8.5</v>
      </c>
      <c r="F1471" t="s">
        <v>23</v>
      </c>
      <c r="G1471" t="str">
        <f>_xlfn.XLOOKUP(transakcje[[#This Row],[podkategoria]],parametr[podkategoria],parametr[kategoria])</f>
        <v>opłaty stałe</v>
      </c>
      <c r="H1471" t="str">
        <f>_xlfn.XLOOKUP(transakcje[[#This Row],[kategoria]],parametr[kategoria],parametr[typ])</f>
        <v>wydatki</v>
      </c>
      <c r="I1471" s="1">
        <f>ABS(transakcje[[#This Row],[kwota]])</f>
        <v>8.5</v>
      </c>
    </row>
    <row r="1472" spans="1:9" x14ac:dyDescent="0.3">
      <c r="A1472">
        <v>1471</v>
      </c>
      <c r="B1472">
        <v>2015</v>
      </c>
      <c r="C1472">
        <v>7</v>
      </c>
      <c r="D1472">
        <v>4</v>
      </c>
      <c r="E1472" s="1">
        <v>-5.9979999999999993</v>
      </c>
      <c r="F1472" t="s">
        <v>25</v>
      </c>
      <c r="G1472" t="str">
        <f>_xlfn.XLOOKUP(transakcje[[#This Row],[podkategoria]],parametr[podkategoria],parametr[kategoria])</f>
        <v>opłaty stałe</v>
      </c>
      <c r="H1472" t="str">
        <f>_xlfn.XLOOKUP(transakcje[[#This Row],[kategoria]],parametr[kategoria],parametr[typ])</f>
        <v>wydatki</v>
      </c>
      <c r="I1472" s="1">
        <f>ABS(transakcje[[#This Row],[kwota]])</f>
        <v>5.9979999999999993</v>
      </c>
    </row>
    <row r="1473" spans="1:9" x14ac:dyDescent="0.3">
      <c r="A1473">
        <v>1472</v>
      </c>
      <c r="B1473">
        <v>2015</v>
      </c>
      <c r="C1473">
        <v>7</v>
      </c>
      <c r="D1473">
        <v>6</v>
      </c>
      <c r="E1473" s="1">
        <v>-155.59800000000001</v>
      </c>
      <c r="F1473" t="s">
        <v>24</v>
      </c>
      <c r="G1473" t="str">
        <f>_xlfn.XLOOKUP(transakcje[[#This Row],[podkategoria]],parametr[podkategoria],parametr[kategoria])</f>
        <v>trwałe</v>
      </c>
      <c r="H1473" t="str">
        <f>_xlfn.XLOOKUP(transakcje[[#This Row],[kategoria]],parametr[kategoria],parametr[typ])</f>
        <v>wydatki</v>
      </c>
      <c r="I1473" s="1">
        <f>ABS(transakcje[[#This Row],[kwota]])</f>
        <v>155.59800000000001</v>
      </c>
    </row>
    <row r="1474" spans="1:9" x14ac:dyDescent="0.3">
      <c r="A1474">
        <v>1473</v>
      </c>
      <c r="B1474">
        <v>2015</v>
      </c>
      <c r="C1474">
        <v>7</v>
      </c>
      <c r="D1474">
        <v>6</v>
      </c>
      <c r="E1474" s="1">
        <v>-14.553999999999998</v>
      </c>
      <c r="F1474" t="s">
        <v>34</v>
      </c>
      <c r="G1474" t="str">
        <f>_xlfn.XLOOKUP(transakcje[[#This Row],[podkategoria]],parametr[podkategoria],parametr[kategoria])</f>
        <v>opłaty stałe</v>
      </c>
      <c r="H1474" t="str">
        <f>_xlfn.XLOOKUP(transakcje[[#This Row],[kategoria]],parametr[kategoria],parametr[typ])</f>
        <v>wydatki</v>
      </c>
      <c r="I1474" s="1">
        <f>ABS(transakcje[[#This Row],[kwota]])</f>
        <v>14.553999999999998</v>
      </c>
    </row>
    <row r="1475" spans="1:9" x14ac:dyDescent="0.3">
      <c r="A1475">
        <v>1474</v>
      </c>
      <c r="B1475">
        <v>2015</v>
      </c>
      <c r="C1475">
        <v>7</v>
      </c>
      <c r="D1475">
        <v>13</v>
      </c>
      <c r="E1475" s="1">
        <v>-13.263999999999999</v>
      </c>
      <c r="F1475" t="s">
        <v>11</v>
      </c>
      <c r="G1475" t="str">
        <f>_xlfn.XLOOKUP(transakcje[[#This Row],[podkategoria]],parametr[podkategoria],parametr[kategoria])</f>
        <v>wydatki inne</v>
      </c>
      <c r="H1475" t="str">
        <f>_xlfn.XLOOKUP(transakcje[[#This Row],[kategoria]],parametr[kategoria],parametr[typ])</f>
        <v>wydatki</v>
      </c>
      <c r="I1475" s="1">
        <f>ABS(transakcje[[#This Row],[kwota]])</f>
        <v>13.263999999999999</v>
      </c>
    </row>
    <row r="1476" spans="1:9" x14ac:dyDescent="0.3">
      <c r="A1476">
        <v>1475</v>
      </c>
      <c r="B1476">
        <v>2015</v>
      </c>
      <c r="C1476">
        <v>7</v>
      </c>
      <c r="D1476">
        <v>14</v>
      </c>
      <c r="E1476" s="1">
        <v>-6.8079999999999998</v>
      </c>
      <c r="F1476" t="s">
        <v>26</v>
      </c>
      <c r="G1476" t="str">
        <f>_xlfn.XLOOKUP(transakcje[[#This Row],[podkategoria]],parametr[podkategoria],parametr[kategoria])</f>
        <v>życie</v>
      </c>
      <c r="H1476" t="str">
        <f>_xlfn.XLOOKUP(transakcje[[#This Row],[kategoria]],parametr[kategoria],parametr[typ])</f>
        <v>wydatki</v>
      </c>
      <c r="I1476" s="1">
        <f>ABS(transakcje[[#This Row],[kwota]])</f>
        <v>6.8079999999999998</v>
      </c>
    </row>
    <row r="1477" spans="1:9" x14ac:dyDescent="0.3">
      <c r="A1477">
        <v>1476</v>
      </c>
      <c r="B1477">
        <v>2015</v>
      </c>
      <c r="C1477">
        <v>7</v>
      </c>
      <c r="D1477">
        <v>15</v>
      </c>
      <c r="E1477" s="1">
        <v>-0.39800000000000002</v>
      </c>
      <c r="F1477" t="s">
        <v>14</v>
      </c>
      <c r="G1477" t="str">
        <f>_xlfn.XLOOKUP(transakcje[[#This Row],[podkategoria]],parametr[podkategoria],parametr[kategoria])</f>
        <v>opłaty stałe</v>
      </c>
      <c r="H1477" t="str">
        <f>_xlfn.XLOOKUP(transakcje[[#This Row],[kategoria]],parametr[kategoria],parametr[typ])</f>
        <v>wydatki</v>
      </c>
      <c r="I1477" s="1">
        <f>ABS(transakcje[[#This Row],[kwota]])</f>
        <v>0.39800000000000002</v>
      </c>
    </row>
    <row r="1478" spans="1:9" x14ac:dyDescent="0.3">
      <c r="A1478">
        <v>1477</v>
      </c>
      <c r="B1478">
        <v>2015</v>
      </c>
      <c r="C1478">
        <v>7</v>
      </c>
      <c r="D1478">
        <v>16</v>
      </c>
      <c r="E1478" s="1">
        <v>-0.8</v>
      </c>
      <c r="F1478" t="s">
        <v>14</v>
      </c>
      <c r="G1478" t="str">
        <f>_xlfn.XLOOKUP(transakcje[[#This Row],[podkategoria]],parametr[podkategoria],parametr[kategoria])</f>
        <v>opłaty stałe</v>
      </c>
      <c r="H1478" t="str">
        <f>_xlfn.XLOOKUP(transakcje[[#This Row],[kategoria]],parametr[kategoria],parametr[typ])</f>
        <v>wydatki</v>
      </c>
      <c r="I1478" s="1">
        <f>ABS(transakcje[[#This Row],[kwota]])</f>
        <v>0.8</v>
      </c>
    </row>
    <row r="1479" spans="1:9" x14ac:dyDescent="0.3">
      <c r="A1479">
        <v>1478</v>
      </c>
      <c r="B1479">
        <v>2015</v>
      </c>
      <c r="C1479">
        <v>7</v>
      </c>
      <c r="D1479">
        <v>16</v>
      </c>
      <c r="E1479" s="1">
        <v>-4.774</v>
      </c>
      <c r="F1479" t="s">
        <v>26</v>
      </c>
      <c r="G1479" t="str">
        <f>_xlfn.XLOOKUP(transakcje[[#This Row],[podkategoria]],parametr[podkategoria],parametr[kategoria])</f>
        <v>życie</v>
      </c>
      <c r="H1479" t="str">
        <f>_xlfn.XLOOKUP(transakcje[[#This Row],[kategoria]],parametr[kategoria],parametr[typ])</f>
        <v>wydatki</v>
      </c>
      <c r="I1479" s="1">
        <f>ABS(transakcje[[#This Row],[kwota]])</f>
        <v>4.774</v>
      </c>
    </row>
    <row r="1480" spans="1:9" x14ac:dyDescent="0.3">
      <c r="A1480">
        <v>1479</v>
      </c>
      <c r="B1480">
        <v>2015</v>
      </c>
      <c r="C1480">
        <v>7</v>
      </c>
      <c r="D1480">
        <v>17</v>
      </c>
      <c r="E1480" s="1">
        <v>-4.7439999999999998</v>
      </c>
      <c r="F1480" t="s">
        <v>26</v>
      </c>
      <c r="G1480" t="str">
        <f>_xlfn.XLOOKUP(transakcje[[#This Row],[podkategoria]],parametr[podkategoria],parametr[kategoria])</f>
        <v>życie</v>
      </c>
      <c r="H1480" t="str">
        <f>_xlfn.XLOOKUP(transakcje[[#This Row],[kategoria]],parametr[kategoria],parametr[typ])</f>
        <v>wydatki</v>
      </c>
      <c r="I1480" s="1">
        <f>ABS(transakcje[[#This Row],[kwota]])</f>
        <v>4.7439999999999998</v>
      </c>
    </row>
    <row r="1481" spans="1:9" x14ac:dyDescent="0.3">
      <c r="A1481">
        <v>1480</v>
      </c>
      <c r="B1481">
        <v>2015</v>
      </c>
      <c r="C1481">
        <v>7</v>
      </c>
      <c r="D1481">
        <v>21</v>
      </c>
      <c r="E1481" s="1">
        <v>-103.798</v>
      </c>
      <c r="F1481" t="s">
        <v>24</v>
      </c>
      <c r="G1481" t="str">
        <f>_xlfn.XLOOKUP(transakcje[[#This Row],[podkategoria]],parametr[podkategoria],parametr[kategoria])</f>
        <v>trwałe</v>
      </c>
      <c r="H1481" t="str">
        <f>_xlfn.XLOOKUP(transakcje[[#This Row],[kategoria]],parametr[kategoria],parametr[typ])</f>
        <v>wydatki</v>
      </c>
      <c r="I1481" s="1">
        <f>ABS(transakcje[[#This Row],[kwota]])</f>
        <v>103.798</v>
      </c>
    </row>
    <row r="1482" spans="1:9" x14ac:dyDescent="0.3">
      <c r="A1482">
        <v>1481</v>
      </c>
      <c r="B1482">
        <v>2015</v>
      </c>
      <c r="C1482">
        <v>7</v>
      </c>
      <c r="D1482">
        <v>22</v>
      </c>
      <c r="E1482" s="1">
        <v>-1.9780000000000002</v>
      </c>
      <c r="F1482" t="s">
        <v>26</v>
      </c>
      <c r="G1482" t="str">
        <f>_xlfn.XLOOKUP(transakcje[[#This Row],[podkategoria]],parametr[podkategoria],parametr[kategoria])</f>
        <v>życie</v>
      </c>
      <c r="H1482" t="str">
        <f>_xlfn.XLOOKUP(transakcje[[#This Row],[kategoria]],parametr[kategoria],parametr[typ])</f>
        <v>wydatki</v>
      </c>
      <c r="I1482" s="1">
        <f>ABS(transakcje[[#This Row],[kwota]])</f>
        <v>1.9780000000000002</v>
      </c>
    </row>
    <row r="1483" spans="1:9" x14ac:dyDescent="0.3">
      <c r="A1483">
        <v>1482</v>
      </c>
      <c r="B1483">
        <v>2015</v>
      </c>
      <c r="C1483">
        <v>7</v>
      </c>
      <c r="D1483">
        <v>23</v>
      </c>
      <c r="E1483" s="1">
        <v>-5.0720000000000001</v>
      </c>
      <c r="F1483" t="s">
        <v>26</v>
      </c>
      <c r="G1483" t="str">
        <f>_xlfn.XLOOKUP(transakcje[[#This Row],[podkategoria]],parametr[podkategoria],parametr[kategoria])</f>
        <v>życie</v>
      </c>
      <c r="H1483" t="str">
        <f>_xlfn.XLOOKUP(transakcje[[#This Row],[kategoria]],parametr[kategoria],parametr[typ])</f>
        <v>wydatki</v>
      </c>
      <c r="I1483" s="1">
        <f>ABS(transakcje[[#This Row],[kwota]])</f>
        <v>5.0720000000000001</v>
      </c>
    </row>
    <row r="1484" spans="1:9" x14ac:dyDescent="0.3">
      <c r="A1484">
        <v>1483</v>
      </c>
      <c r="B1484">
        <v>2015</v>
      </c>
      <c r="C1484">
        <v>7</v>
      </c>
      <c r="D1484">
        <v>24</v>
      </c>
      <c r="E1484" s="1">
        <v>-19.8</v>
      </c>
      <c r="F1484" t="s">
        <v>32</v>
      </c>
      <c r="G1484" t="str">
        <f>_xlfn.XLOOKUP(transakcje[[#This Row],[podkategoria]],parametr[podkategoria],parametr[kategoria])</f>
        <v>opłaty stałe</v>
      </c>
      <c r="H1484" t="str">
        <f>_xlfn.XLOOKUP(transakcje[[#This Row],[kategoria]],parametr[kategoria],parametr[typ])</f>
        <v>wydatki</v>
      </c>
      <c r="I1484" s="1">
        <f>ABS(transakcje[[#This Row],[kwota]])</f>
        <v>19.8</v>
      </c>
    </row>
    <row r="1485" spans="1:9" x14ac:dyDescent="0.3">
      <c r="A1485">
        <v>1484</v>
      </c>
      <c r="B1485">
        <v>2015</v>
      </c>
      <c r="C1485">
        <v>7</v>
      </c>
      <c r="D1485">
        <v>24</v>
      </c>
      <c r="E1485" s="1">
        <v>428.95600000000002</v>
      </c>
      <c r="F1485" t="s">
        <v>8</v>
      </c>
      <c r="G1485" t="str">
        <f>_xlfn.XLOOKUP(transakcje[[#This Row],[podkategoria]],parametr[podkategoria],parametr[kategoria])</f>
        <v>dochody z pracy</v>
      </c>
      <c r="H1485" t="str">
        <f>_xlfn.XLOOKUP(transakcje[[#This Row],[kategoria]],parametr[kategoria],parametr[typ])</f>
        <v>dochody</v>
      </c>
      <c r="I1485" s="1">
        <f>ABS(transakcje[[#This Row],[kwota]])</f>
        <v>428.95600000000002</v>
      </c>
    </row>
    <row r="1486" spans="1:9" x14ac:dyDescent="0.3">
      <c r="A1486">
        <v>1485</v>
      </c>
      <c r="B1486">
        <v>2015</v>
      </c>
      <c r="C1486">
        <v>7</v>
      </c>
      <c r="D1486">
        <v>24</v>
      </c>
      <c r="E1486" s="1">
        <v>-5.6459999999999999</v>
      </c>
      <c r="F1486" t="s">
        <v>26</v>
      </c>
      <c r="G1486" t="str">
        <f>_xlfn.XLOOKUP(transakcje[[#This Row],[podkategoria]],parametr[podkategoria],parametr[kategoria])</f>
        <v>życie</v>
      </c>
      <c r="H1486" t="str">
        <f>_xlfn.XLOOKUP(transakcje[[#This Row],[kategoria]],parametr[kategoria],parametr[typ])</f>
        <v>wydatki</v>
      </c>
      <c r="I1486" s="1">
        <f>ABS(transakcje[[#This Row],[kwota]])</f>
        <v>5.6459999999999999</v>
      </c>
    </row>
    <row r="1487" spans="1:9" x14ac:dyDescent="0.3">
      <c r="A1487">
        <v>1486</v>
      </c>
      <c r="B1487">
        <v>2015</v>
      </c>
      <c r="C1487">
        <v>7</v>
      </c>
      <c r="D1487">
        <v>30</v>
      </c>
      <c r="E1487" s="1">
        <v>-40</v>
      </c>
      <c r="F1487" t="s">
        <v>11</v>
      </c>
      <c r="G1487" t="str">
        <f>_xlfn.XLOOKUP(transakcje[[#This Row],[podkategoria]],parametr[podkategoria],parametr[kategoria])</f>
        <v>wydatki inne</v>
      </c>
      <c r="H1487" t="str">
        <f>_xlfn.XLOOKUP(transakcje[[#This Row],[kategoria]],parametr[kategoria],parametr[typ])</f>
        <v>wydatki</v>
      </c>
      <c r="I1487" s="1">
        <f>ABS(transakcje[[#This Row],[kwota]])</f>
        <v>40</v>
      </c>
    </row>
    <row r="1488" spans="1:9" x14ac:dyDescent="0.3">
      <c r="A1488">
        <v>1487</v>
      </c>
      <c r="B1488">
        <v>2015</v>
      </c>
      <c r="C1488">
        <v>7</v>
      </c>
      <c r="D1488">
        <v>30</v>
      </c>
      <c r="E1488" s="1">
        <v>-3.8560000000000003</v>
      </c>
      <c r="F1488" t="s">
        <v>26</v>
      </c>
      <c r="G1488" t="str">
        <f>_xlfn.XLOOKUP(transakcje[[#This Row],[podkategoria]],parametr[podkategoria],parametr[kategoria])</f>
        <v>życie</v>
      </c>
      <c r="H1488" t="str">
        <f>_xlfn.XLOOKUP(transakcje[[#This Row],[kategoria]],parametr[kategoria],parametr[typ])</f>
        <v>wydatki</v>
      </c>
      <c r="I1488" s="1">
        <f>ABS(transakcje[[#This Row],[kwota]])</f>
        <v>3.8560000000000003</v>
      </c>
    </row>
    <row r="1489" spans="1:9" x14ac:dyDescent="0.3">
      <c r="A1489">
        <v>1488</v>
      </c>
      <c r="B1489">
        <v>2015</v>
      </c>
      <c r="C1489">
        <v>7</v>
      </c>
      <c r="D1489">
        <v>31</v>
      </c>
      <c r="E1489" s="1">
        <v>4.0000000000000001E-3</v>
      </c>
      <c r="F1489" t="s">
        <v>17</v>
      </c>
      <c r="G1489" t="str">
        <f>_xlfn.XLOOKUP(transakcje[[#This Row],[podkategoria]],parametr[podkategoria],parametr[kategoria])</f>
        <v>dochody pozostałe</v>
      </c>
      <c r="H1489" t="str">
        <f>_xlfn.XLOOKUP(transakcje[[#This Row],[kategoria]],parametr[kategoria],parametr[typ])</f>
        <v>dochody</v>
      </c>
      <c r="I1489" s="1">
        <f>ABS(transakcje[[#This Row],[kwota]])</f>
        <v>4.0000000000000001E-3</v>
      </c>
    </row>
    <row r="1490" spans="1:9" x14ac:dyDescent="0.3">
      <c r="A1490">
        <v>1489</v>
      </c>
      <c r="B1490">
        <v>2015</v>
      </c>
      <c r="C1490">
        <v>7</v>
      </c>
      <c r="D1490">
        <v>31</v>
      </c>
      <c r="E1490" s="1">
        <v>-1.198</v>
      </c>
      <c r="F1490" t="s">
        <v>14</v>
      </c>
      <c r="G1490" t="str">
        <f>_xlfn.XLOOKUP(transakcje[[#This Row],[podkategoria]],parametr[podkategoria],parametr[kategoria])</f>
        <v>opłaty stałe</v>
      </c>
      <c r="H1490" t="str">
        <f>_xlfn.XLOOKUP(transakcje[[#This Row],[kategoria]],parametr[kategoria],parametr[typ])</f>
        <v>wydatki</v>
      </c>
      <c r="I1490" s="1">
        <f>ABS(transakcje[[#This Row],[kwota]])</f>
        <v>1.198</v>
      </c>
    </row>
    <row r="1491" spans="1:9" x14ac:dyDescent="0.3">
      <c r="A1491">
        <v>1490</v>
      </c>
      <c r="B1491">
        <v>2015</v>
      </c>
      <c r="C1491">
        <v>7</v>
      </c>
      <c r="D1491">
        <v>31</v>
      </c>
      <c r="E1491" s="1">
        <v>-0.7</v>
      </c>
      <c r="F1491" t="s">
        <v>14</v>
      </c>
      <c r="G1491" t="str">
        <f>_xlfn.XLOOKUP(transakcje[[#This Row],[podkategoria]],parametr[podkategoria],parametr[kategoria])</f>
        <v>opłaty stałe</v>
      </c>
      <c r="H1491" t="str">
        <f>_xlfn.XLOOKUP(transakcje[[#This Row],[kategoria]],parametr[kategoria],parametr[typ])</f>
        <v>wydatki</v>
      </c>
      <c r="I1491" s="1">
        <f>ABS(transakcje[[#This Row],[kwota]])</f>
        <v>0.7</v>
      </c>
    </row>
    <row r="1492" spans="1:9" x14ac:dyDescent="0.3">
      <c r="A1492">
        <v>1491</v>
      </c>
      <c r="B1492">
        <v>2015</v>
      </c>
      <c r="C1492">
        <v>7</v>
      </c>
      <c r="D1492">
        <v>31</v>
      </c>
      <c r="E1492" s="1">
        <v>-2E-3</v>
      </c>
      <c r="F1492" t="s">
        <v>14</v>
      </c>
      <c r="G1492" t="str">
        <f>_xlfn.XLOOKUP(transakcje[[#This Row],[podkategoria]],parametr[podkategoria],parametr[kategoria])</f>
        <v>opłaty stałe</v>
      </c>
      <c r="H1492" t="str">
        <f>_xlfn.XLOOKUP(transakcje[[#This Row],[kategoria]],parametr[kategoria],parametr[typ])</f>
        <v>wydatki</v>
      </c>
      <c r="I1492" s="1">
        <f>ABS(transakcje[[#This Row],[kwota]])</f>
        <v>2E-3</v>
      </c>
    </row>
    <row r="1493" spans="1:9" x14ac:dyDescent="0.3">
      <c r="A1493">
        <v>1492</v>
      </c>
      <c r="B1493">
        <v>2015</v>
      </c>
      <c r="C1493">
        <v>7</v>
      </c>
      <c r="D1493">
        <v>31</v>
      </c>
      <c r="E1493" s="1">
        <v>-0.77200000000000002</v>
      </c>
      <c r="F1493" t="s">
        <v>26</v>
      </c>
      <c r="G1493" t="str">
        <f>_xlfn.XLOOKUP(transakcje[[#This Row],[podkategoria]],parametr[podkategoria],parametr[kategoria])</f>
        <v>życie</v>
      </c>
      <c r="H1493" t="str">
        <f>_xlfn.XLOOKUP(transakcje[[#This Row],[kategoria]],parametr[kategoria],parametr[typ])</f>
        <v>wydatki</v>
      </c>
      <c r="I1493" s="1">
        <f>ABS(transakcje[[#This Row],[kwota]])</f>
        <v>0.77200000000000002</v>
      </c>
    </row>
    <row r="1494" spans="1:9" x14ac:dyDescent="0.3">
      <c r="A1494">
        <v>1493</v>
      </c>
      <c r="B1494">
        <v>2015</v>
      </c>
      <c r="C1494">
        <v>7</v>
      </c>
      <c r="D1494">
        <v>31</v>
      </c>
      <c r="E1494" s="1">
        <v>-10.11</v>
      </c>
      <c r="F1494" t="s">
        <v>26</v>
      </c>
      <c r="G1494" t="str">
        <f>_xlfn.XLOOKUP(transakcje[[#This Row],[podkategoria]],parametr[podkategoria],parametr[kategoria])</f>
        <v>życie</v>
      </c>
      <c r="H1494" t="str">
        <f>_xlfn.XLOOKUP(transakcje[[#This Row],[kategoria]],parametr[kategoria],parametr[typ])</f>
        <v>wydatki</v>
      </c>
      <c r="I1494" s="1">
        <f>ABS(transakcje[[#This Row],[kwota]])</f>
        <v>10.11</v>
      </c>
    </row>
    <row r="1495" spans="1:9" x14ac:dyDescent="0.3">
      <c r="A1495">
        <v>1494</v>
      </c>
      <c r="B1495">
        <v>2015</v>
      </c>
      <c r="C1495">
        <v>8</v>
      </c>
      <c r="D1495">
        <v>1</v>
      </c>
      <c r="E1495" s="1">
        <v>-4.3</v>
      </c>
      <c r="F1495" t="s">
        <v>37</v>
      </c>
      <c r="G1495" t="str">
        <f>_xlfn.XLOOKUP(transakcje[[#This Row],[podkategoria]],parametr[podkategoria],parametr[kategoria])</f>
        <v>opłaty stałe</v>
      </c>
      <c r="H1495" t="str">
        <f>_xlfn.XLOOKUP(transakcje[[#This Row],[kategoria]],parametr[kategoria],parametr[typ])</f>
        <v>wydatki</v>
      </c>
      <c r="I1495" s="1">
        <f>ABS(transakcje[[#This Row],[kwota]])</f>
        <v>4.3</v>
      </c>
    </row>
    <row r="1496" spans="1:9" x14ac:dyDescent="0.3">
      <c r="A1496">
        <v>1495</v>
      </c>
      <c r="B1496">
        <v>2015</v>
      </c>
      <c r="C1496">
        <v>8</v>
      </c>
      <c r="D1496">
        <v>1</v>
      </c>
      <c r="E1496" s="1">
        <v>-27.99</v>
      </c>
      <c r="F1496" t="s">
        <v>11</v>
      </c>
      <c r="G1496" t="str">
        <f>_xlfn.XLOOKUP(transakcje[[#This Row],[podkategoria]],parametr[podkategoria],parametr[kategoria])</f>
        <v>wydatki inne</v>
      </c>
      <c r="H1496" t="str">
        <f>_xlfn.XLOOKUP(transakcje[[#This Row],[kategoria]],parametr[kategoria],parametr[typ])</f>
        <v>wydatki</v>
      </c>
      <c r="I1496" s="1">
        <f>ABS(transakcje[[#This Row],[kwota]])</f>
        <v>27.99</v>
      </c>
    </row>
    <row r="1497" spans="1:9" x14ac:dyDescent="0.3">
      <c r="A1497">
        <v>1496</v>
      </c>
      <c r="B1497">
        <v>2015</v>
      </c>
      <c r="C1497">
        <v>8</v>
      </c>
      <c r="D1497">
        <v>1</v>
      </c>
      <c r="E1497" s="1">
        <v>-59.765999999999998</v>
      </c>
      <c r="F1497" t="s">
        <v>31</v>
      </c>
      <c r="G1497" t="str">
        <f>_xlfn.XLOOKUP(transakcje[[#This Row],[podkategoria]],parametr[podkategoria],parametr[kategoria])</f>
        <v>opłaty stałe</v>
      </c>
      <c r="H1497" t="str">
        <f>_xlfn.XLOOKUP(transakcje[[#This Row],[kategoria]],parametr[kategoria],parametr[typ])</f>
        <v>wydatki</v>
      </c>
      <c r="I1497" s="1">
        <f>ABS(transakcje[[#This Row],[kwota]])</f>
        <v>59.765999999999998</v>
      </c>
    </row>
    <row r="1498" spans="1:9" x14ac:dyDescent="0.3">
      <c r="A1498">
        <v>1497</v>
      </c>
      <c r="B1498">
        <v>2015</v>
      </c>
      <c r="C1498">
        <v>8</v>
      </c>
      <c r="D1498">
        <v>1</v>
      </c>
      <c r="E1498" s="1">
        <v>-8.5</v>
      </c>
      <c r="F1498" t="s">
        <v>23</v>
      </c>
      <c r="G1498" t="str">
        <f>_xlfn.XLOOKUP(transakcje[[#This Row],[podkategoria]],parametr[podkategoria],parametr[kategoria])</f>
        <v>opłaty stałe</v>
      </c>
      <c r="H1498" t="str">
        <f>_xlfn.XLOOKUP(transakcje[[#This Row],[kategoria]],parametr[kategoria],parametr[typ])</f>
        <v>wydatki</v>
      </c>
      <c r="I1498" s="1">
        <f>ABS(transakcje[[#This Row],[kwota]])</f>
        <v>8.5</v>
      </c>
    </row>
    <row r="1499" spans="1:9" x14ac:dyDescent="0.3">
      <c r="A1499">
        <v>1498</v>
      </c>
      <c r="B1499">
        <v>2015</v>
      </c>
      <c r="C1499">
        <v>8</v>
      </c>
      <c r="D1499">
        <v>1</v>
      </c>
      <c r="E1499" s="1">
        <v>-5.9979999999999993</v>
      </c>
      <c r="F1499" t="s">
        <v>25</v>
      </c>
      <c r="G1499" t="str">
        <f>_xlfn.XLOOKUP(transakcje[[#This Row],[podkategoria]],parametr[podkategoria],parametr[kategoria])</f>
        <v>opłaty stałe</v>
      </c>
      <c r="H1499" t="str">
        <f>_xlfn.XLOOKUP(transakcje[[#This Row],[kategoria]],parametr[kategoria],parametr[typ])</f>
        <v>wydatki</v>
      </c>
      <c r="I1499" s="1">
        <f>ABS(transakcje[[#This Row],[kwota]])</f>
        <v>5.9979999999999993</v>
      </c>
    </row>
    <row r="1500" spans="1:9" x14ac:dyDescent="0.3">
      <c r="A1500">
        <v>1499</v>
      </c>
      <c r="B1500">
        <v>2015</v>
      </c>
      <c r="C1500">
        <v>8</v>
      </c>
      <c r="D1500">
        <v>3</v>
      </c>
      <c r="E1500" s="1">
        <v>-5.76</v>
      </c>
      <c r="F1500" t="s">
        <v>26</v>
      </c>
      <c r="G1500" t="str">
        <f>_xlfn.XLOOKUP(transakcje[[#This Row],[podkategoria]],parametr[podkategoria],parametr[kategoria])</f>
        <v>życie</v>
      </c>
      <c r="H1500" t="str">
        <f>_xlfn.XLOOKUP(transakcje[[#This Row],[kategoria]],parametr[kategoria],parametr[typ])</f>
        <v>wydatki</v>
      </c>
      <c r="I1500" s="1">
        <f>ABS(transakcje[[#This Row],[kwota]])</f>
        <v>5.76</v>
      </c>
    </row>
    <row r="1501" spans="1:9" x14ac:dyDescent="0.3">
      <c r="A1501">
        <v>1500</v>
      </c>
      <c r="B1501">
        <v>2015</v>
      </c>
      <c r="C1501">
        <v>8</v>
      </c>
      <c r="D1501">
        <v>4</v>
      </c>
      <c r="E1501" s="1">
        <v>-2.1760000000000002</v>
      </c>
      <c r="F1501" t="s">
        <v>26</v>
      </c>
      <c r="G1501" t="str">
        <f>_xlfn.XLOOKUP(transakcje[[#This Row],[podkategoria]],parametr[podkategoria],parametr[kategoria])</f>
        <v>życie</v>
      </c>
      <c r="H1501" t="str">
        <f>_xlfn.XLOOKUP(transakcje[[#This Row],[kategoria]],parametr[kategoria],parametr[typ])</f>
        <v>wydatki</v>
      </c>
      <c r="I1501" s="1">
        <f>ABS(transakcje[[#This Row],[kwota]])</f>
        <v>2.1760000000000002</v>
      </c>
    </row>
    <row r="1502" spans="1:9" x14ac:dyDescent="0.3">
      <c r="A1502">
        <v>1501</v>
      </c>
      <c r="B1502">
        <v>2015</v>
      </c>
      <c r="C1502">
        <v>8</v>
      </c>
      <c r="D1502">
        <v>7</v>
      </c>
      <c r="E1502" s="1">
        <v>-0.76800000000000002</v>
      </c>
      <c r="F1502" t="s">
        <v>26</v>
      </c>
      <c r="G1502" t="str">
        <f>_xlfn.XLOOKUP(transakcje[[#This Row],[podkategoria]],parametr[podkategoria],parametr[kategoria])</f>
        <v>życie</v>
      </c>
      <c r="H1502" t="str">
        <f>_xlfn.XLOOKUP(transakcje[[#This Row],[kategoria]],parametr[kategoria],parametr[typ])</f>
        <v>wydatki</v>
      </c>
      <c r="I1502" s="1">
        <f>ABS(transakcje[[#This Row],[kwota]])</f>
        <v>0.76800000000000002</v>
      </c>
    </row>
    <row r="1503" spans="1:9" x14ac:dyDescent="0.3">
      <c r="A1503">
        <v>1502</v>
      </c>
      <c r="B1503">
        <v>2015</v>
      </c>
      <c r="C1503">
        <v>8</v>
      </c>
      <c r="D1503">
        <v>7</v>
      </c>
      <c r="E1503" s="1">
        <v>-4.4359999999999999</v>
      </c>
      <c r="F1503" t="s">
        <v>26</v>
      </c>
      <c r="G1503" t="str">
        <f>_xlfn.XLOOKUP(transakcje[[#This Row],[podkategoria]],parametr[podkategoria],parametr[kategoria])</f>
        <v>życie</v>
      </c>
      <c r="H1503" t="str">
        <f>_xlfn.XLOOKUP(transakcje[[#This Row],[kategoria]],parametr[kategoria],parametr[typ])</f>
        <v>wydatki</v>
      </c>
      <c r="I1503" s="1">
        <f>ABS(transakcje[[#This Row],[kwota]])</f>
        <v>4.4359999999999999</v>
      </c>
    </row>
    <row r="1504" spans="1:9" x14ac:dyDescent="0.3">
      <c r="A1504">
        <v>1503</v>
      </c>
      <c r="B1504">
        <v>2015</v>
      </c>
      <c r="C1504">
        <v>8</v>
      </c>
      <c r="D1504">
        <v>14</v>
      </c>
      <c r="E1504" s="1">
        <v>212.49799999999999</v>
      </c>
      <c r="F1504" t="s">
        <v>19</v>
      </c>
      <c r="G1504" t="str">
        <f>_xlfn.XLOOKUP(transakcje[[#This Row],[podkategoria]],parametr[podkategoria],parametr[kategoria])</f>
        <v>dochody z pracy</v>
      </c>
      <c r="H1504" t="str">
        <f>_xlfn.XLOOKUP(transakcje[[#This Row],[kategoria]],parametr[kategoria],parametr[typ])</f>
        <v>dochody</v>
      </c>
      <c r="I1504" s="1">
        <f>ABS(transakcje[[#This Row],[kwota]])</f>
        <v>212.49799999999999</v>
      </c>
    </row>
    <row r="1505" spans="1:9" x14ac:dyDescent="0.3">
      <c r="A1505">
        <v>1504</v>
      </c>
      <c r="B1505">
        <v>2015</v>
      </c>
      <c r="C1505">
        <v>8</v>
      </c>
      <c r="D1505">
        <v>16</v>
      </c>
      <c r="E1505" s="1">
        <v>-0.8</v>
      </c>
      <c r="F1505" t="s">
        <v>14</v>
      </c>
      <c r="G1505" t="str">
        <f>_xlfn.XLOOKUP(transakcje[[#This Row],[podkategoria]],parametr[podkategoria],parametr[kategoria])</f>
        <v>opłaty stałe</v>
      </c>
      <c r="H1505" t="str">
        <f>_xlfn.XLOOKUP(transakcje[[#This Row],[kategoria]],parametr[kategoria],parametr[typ])</f>
        <v>wydatki</v>
      </c>
      <c r="I1505" s="1">
        <f>ABS(transakcje[[#This Row],[kwota]])</f>
        <v>0.8</v>
      </c>
    </row>
    <row r="1506" spans="1:9" x14ac:dyDescent="0.3">
      <c r="A1506">
        <v>1505</v>
      </c>
      <c r="B1506">
        <v>2015</v>
      </c>
      <c r="C1506">
        <v>8</v>
      </c>
      <c r="D1506">
        <v>17</v>
      </c>
      <c r="E1506" s="1">
        <v>-0.70799999999999996</v>
      </c>
      <c r="F1506" t="s">
        <v>26</v>
      </c>
      <c r="G1506" t="str">
        <f>_xlfn.XLOOKUP(transakcje[[#This Row],[podkategoria]],parametr[podkategoria],parametr[kategoria])</f>
        <v>życie</v>
      </c>
      <c r="H1506" t="str">
        <f>_xlfn.XLOOKUP(transakcje[[#This Row],[kategoria]],parametr[kategoria],parametr[typ])</f>
        <v>wydatki</v>
      </c>
      <c r="I1506" s="1">
        <f>ABS(transakcje[[#This Row],[kwota]])</f>
        <v>0.70799999999999996</v>
      </c>
    </row>
    <row r="1507" spans="1:9" x14ac:dyDescent="0.3">
      <c r="A1507">
        <v>1506</v>
      </c>
      <c r="B1507">
        <v>2015</v>
      </c>
      <c r="C1507">
        <v>8</v>
      </c>
      <c r="D1507">
        <v>17</v>
      </c>
      <c r="E1507" s="1">
        <v>-6.3140000000000001</v>
      </c>
      <c r="F1507" t="s">
        <v>26</v>
      </c>
      <c r="G1507" t="str">
        <f>_xlfn.XLOOKUP(transakcje[[#This Row],[podkategoria]],parametr[podkategoria],parametr[kategoria])</f>
        <v>życie</v>
      </c>
      <c r="H1507" t="str">
        <f>_xlfn.XLOOKUP(transakcje[[#This Row],[kategoria]],parametr[kategoria],parametr[typ])</f>
        <v>wydatki</v>
      </c>
      <c r="I1507" s="1">
        <f>ABS(transakcje[[#This Row],[kwota]])</f>
        <v>6.3140000000000001</v>
      </c>
    </row>
    <row r="1508" spans="1:9" x14ac:dyDescent="0.3">
      <c r="A1508">
        <v>1507</v>
      </c>
      <c r="B1508">
        <v>2015</v>
      </c>
      <c r="C1508">
        <v>8</v>
      </c>
      <c r="D1508">
        <v>18</v>
      </c>
      <c r="E1508" s="1">
        <v>-6</v>
      </c>
      <c r="F1508" t="s">
        <v>11</v>
      </c>
      <c r="G1508" t="str">
        <f>_xlfn.XLOOKUP(transakcje[[#This Row],[podkategoria]],parametr[podkategoria],parametr[kategoria])</f>
        <v>wydatki inne</v>
      </c>
      <c r="H1508" t="str">
        <f>_xlfn.XLOOKUP(transakcje[[#This Row],[kategoria]],parametr[kategoria],parametr[typ])</f>
        <v>wydatki</v>
      </c>
      <c r="I1508" s="1">
        <f>ABS(transakcje[[#This Row],[kwota]])</f>
        <v>6</v>
      </c>
    </row>
    <row r="1509" spans="1:9" x14ac:dyDescent="0.3">
      <c r="A1509">
        <v>1508</v>
      </c>
      <c r="B1509">
        <v>2015</v>
      </c>
      <c r="C1509">
        <v>8</v>
      </c>
      <c r="D1509">
        <v>19</v>
      </c>
      <c r="E1509" s="1">
        <v>-0.39800000000000002</v>
      </c>
      <c r="F1509" t="s">
        <v>14</v>
      </c>
      <c r="G1509" t="str">
        <f>_xlfn.XLOOKUP(transakcje[[#This Row],[podkategoria]],parametr[podkategoria],parametr[kategoria])</f>
        <v>opłaty stałe</v>
      </c>
      <c r="H1509" t="str">
        <f>_xlfn.XLOOKUP(transakcje[[#This Row],[kategoria]],parametr[kategoria],parametr[typ])</f>
        <v>wydatki</v>
      </c>
      <c r="I1509" s="1">
        <f>ABS(transakcje[[#This Row],[kwota]])</f>
        <v>0.39800000000000002</v>
      </c>
    </row>
    <row r="1510" spans="1:9" x14ac:dyDescent="0.3">
      <c r="A1510">
        <v>1509</v>
      </c>
      <c r="B1510">
        <v>2015</v>
      </c>
      <c r="C1510">
        <v>8</v>
      </c>
      <c r="D1510">
        <v>20</v>
      </c>
      <c r="E1510" s="1">
        <v>-19.8</v>
      </c>
      <c r="F1510" t="s">
        <v>32</v>
      </c>
      <c r="G1510" t="str">
        <f>_xlfn.XLOOKUP(transakcje[[#This Row],[podkategoria]],parametr[podkategoria],parametr[kategoria])</f>
        <v>opłaty stałe</v>
      </c>
      <c r="H1510" t="str">
        <f>_xlfn.XLOOKUP(transakcje[[#This Row],[kategoria]],parametr[kategoria],parametr[typ])</f>
        <v>wydatki</v>
      </c>
      <c r="I1510" s="1">
        <f>ABS(transakcje[[#This Row],[kwota]])</f>
        <v>19.8</v>
      </c>
    </row>
    <row r="1511" spans="1:9" x14ac:dyDescent="0.3">
      <c r="A1511">
        <v>1510</v>
      </c>
      <c r="B1511">
        <v>2015</v>
      </c>
      <c r="C1511">
        <v>8</v>
      </c>
      <c r="D1511">
        <v>20</v>
      </c>
      <c r="E1511" s="1">
        <v>-2.1360000000000001</v>
      </c>
      <c r="F1511" t="s">
        <v>26</v>
      </c>
      <c r="G1511" t="str">
        <f>_xlfn.XLOOKUP(transakcje[[#This Row],[podkategoria]],parametr[podkategoria],parametr[kategoria])</f>
        <v>życie</v>
      </c>
      <c r="H1511" t="str">
        <f>_xlfn.XLOOKUP(transakcje[[#This Row],[kategoria]],parametr[kategoria],parametr[typ])</f>
        <v>wydatki</v>
      </c>
      <c r="I1511" s="1">
        <f>ABS(transakcje[[#This Row],[kwota]])</f>
        <v>2.1360000000000001</v>
      </c>
    </row>
    <row r="1512" spans="1:9" x14ac:dyDescent="0.3">
      <c r="A1512">
        <v>1511</v>
      </c>
      <c r="B1512">
        <v>2015</v>
      </c>
      <c r="C1512">
        <v>8</v>
      </c>
      <c r="D1512">
        <v>20</v>
      </c>
      <c r="E1512" s="1">
        <v>-6.3680000000000003</v>
      </c>
      <c r="F1512" t="s">
        <v>26</v>
      </c>
      <c r="G1512" t="str">
        <f>_xlfn.XLOOKUP(transakcje[[#This Row],[podkategoria]],parametr[podkategoria],parametr[kategoria])</f>
        <v>życie</v>
      </c>
      <c r="H1512" t="str">
        <f>_xlfn.XLOOKUP(transakcje[[#This Row],[kategoria]],parametr[kategoria],parametr[typ])</f>
        <v>wydatki</v>
      </c>
      <c r="I1512" s="1">
        <f>ABS(transakcje[[#This Row],[kwota]])</f>
        <v>6.3680000000000003</v>
      </c>
    </row>
    <row r="1513" spans="1:9" x14ac:dyDescent="0.3">
      <c r="A1513">
        <v>1512</v>
      </c>
      <c r="B1513">
        <v>2015</v>
      </c>
      <c r="C1513">
        <v>8</v>
      </c>
      <c r="D1513">
        <v>21</v>
      </c>
      <c r="E1513" s="1">
        <v>14.254</v>
      </c>
      <c r="F1513" t="s">
        <v>17</v>
      </c>
      <c r="G1513" t="str">
        <f>_xlfn.XLOOKUP(transakcje[[#This Row],[podkategoria]],parametr[podkategoria],parametr[kategoria])</f>
        <v>dochody pozostałe</v>
      </c>
      <c r="H1513" t="str">
        <f>_xlfn.XLOOKUP(transakcje[[#This Row],[kategoria]],parametr[kategoria],parametr[typ])</f>
        <v>dochody</v>
      </c>
      <c r="I1513" s="1">
        <f>ABS(transakcje[[#This Row],[kwota]])</f>
        <v>14.254</v>
      </c>
    </row>
    <row r="1514" spans="1:9" x14ac:dyDescent="0.3">
      <c r="A1514">
        <v>1513</v>
      </c>
      <c r="B1514">
        <v>2015</v>
      </c>
      <c r="C1514">
        <v>8</v>
      </c>
      <c r="D1514">
        <v>22</v>
      </c>
      <c r="E1514" s="1">
        <v>-29.875999999999998</v>
      </c>
      <c r="F1514" t="s">
        <v>26</v>
      </c>
      <c r="G1514" t="str">
        <f>_xlfn.XLOOKUP(transakcje[[#This Row],[podkategoria]],parametr[podkategoria],parametr[kategoria])</f>
        <v>życie</v>
      </c>
      <c r="H1514" t="str">
        <f>_xlfn.XLOOKUP(transakcje[[#This Row],[kategoria]],parametr[kategoria],parametr[typ])</f>
        <v>wydatki</v>
      </c>
      <c r="I1514" s="1">
        <f>ABS(transakcje[[#This Row],[kwota]])</f>
        <v>29.875999999999998</v>
      </c>
    </row>
    <row r="1515" spans="1:9" x14ac:dyDescent="0.3">
      <c r="A1515">
        <v>1514</v>
      </c>
      <c r="B1515">
        <v>2015</v>
      </c>
      <c r="C1515">
        <v>8</v>
      </c>
      <c r="D1515">
        <v>25</v>
      </c>
      <c r="E1515" s="1">
        <v>428.95600000000002</v>
      </c>
      <c r="F1515" t="s">
        <v>8</v>
      </c>
      <c r="G1515" t="str">
        <f>_xlfn.XLOOKUP(transakcje[[#This Row],[podkategoria]],parametr[podkategoria],parametr[kategoria])</f>
        <v>dochody z pracy</v>
      </c>
      <c r="H1515" t="str">
        <f>_xlfn.XLOOKUP(transakcje[[#This Row],[kategoria]],parametr[kategoria],parametr[typ])</f>
        <v>dochody</v>
      </c>
      <c r="I1515" s="1">
        <f>ABS(transakcje[[#This Row],[kwota]])</f>
        <v>428.95600000000002</v>
      </c>
    </row>
    <row r="1516" spans="1:9" x14ac:dyDescent="0.3">
      <c r="A1516">
        <v>1515</v>
      </c>
      <c r="B1516">
        <v>2015</v>
      </c>
      <c r="C1516">
        <v>8</v>
      </c>
      <c r="D1516">
        <v>25</v>
      </c>
      <c r="E1516" s="1">
        <v>-8.468</v>
      </c>
      <c r="F1516" t="s">
        <v>26</v>
      </c>
      <c r="G1516" t="str">
        <f>_xlfn.XLOOKUP(transakcje[[#This Row],[podkategoria]],parametr[podkategoria],parametr[kategoria])</f>
        <v>życie</v>
      </c>
      <c r="H1516" t="str">
        <f>_xlfn.XLOOKUP(transakcje[[#This Row],[kategoria]],parametr[kategoria],parametr[typ])</f>
        <v>wydatki</v>
      </c>
      <c r="I1516" s="1">
        <f>ABS(transakcje[[#This Row],[kwota]])</f>
        <v>8.468</v>
      </c>
    </row>
    <row r="1517" spans="1:9" x14ac:dyDescent="0.3">
      <c r="A1517">
        <v>1516</v>
      </c>
      <c r="B1517">
        <v>2015</v>
      </c>
      <c r="C1517">
        <v>8</v>
      </c>
      <c r="D1517">
        <v>25</v>
      </c>
      <c r="E1517" s="1">
        <v>-1.526</v>
      </c>
      <c r="F1517" t="s">
        <v>26</v>
      </c>
      <c r="G1517" t="str">
        <f>_xlfn.XLOOKUP(transakcje[[#This Row],[podkategoria]],parametr[podkategoria],parametr[kategoria])</f>
        <v>życie</v>
      </c>
      <c r="H1517" t="str">
        <f>_xlfn.XLOOKUP(transakcje[[#This Row],[kategoria]],parametr[kategoria],parametr[typ])</f>
        <v>wydatki</v>
      </c>
      <c r="I1517" s="1">
        <f>ABS(transakcje[[#This Row],[kwota]])</f>
        <v>1.526</v>
      </c>
    </row>
    <row r="1518" spans="1:9" x14ac:dyDescent="0.3">
      <c r="A1518">
        <v>1517</v>
      </c>
      <c r="B1518">
        <v>2015</v>
      </c>
      <c r="C1518">
        <v>8</v>
      </c>
      <c r="D1518">
        <v>29</v>
      </c>
      <c r="E1518" s="1">
        <v>-8.11</v>
      </c>
      <c r="F1518" t="s">
        <v>26</v>
      </c>
      <c r="G1518" t="str">
        <f>_xlfn.XLOOKUP(transakcje[[#This Row],[podkategoria]],parametr[podkategoria],parametr[kategoria])</f>
        <v>życie</v>
      </c>
      <c r="H1518" t="str">
        <f>_xlfn.XLOOKUP(transakcje[[#This Row],[kategoria]],parametr[kategoria],parametr[typ])</f>
        <v>wydatki</v>
      </c>
      <c r="I1518" s="1">
        <f>ABS(transakcje[[#This Row],[kwota]])</f>
        <v>8.11</v>
      </c>
    </row>
    <row r="1519" spans="1:9" x14ac:dyDescent="0.3">
      <c r="A1519">
        <v>1518</v>
      </c>
      <c r="B1519">
        <v>2015</v>
      </c>
      <c r="C1519">
        <v>8</v>
      </c>
      <c r="D1519">
        <v>31</v>
      </c>
      <c r="E1519" s="1">
        <v>4.0000000000000001E-3</v>
      </c>
      <c r="F1519" t="s">
        <v>17</v>
      </c>
      <c r="G1519" t="str">
        <f>_xlfn.XLOOKUP(transakcje[[#This Row],[podkategoria]],parametr[podkategoria],parametr[kategoria])</f>
        <v>dochody pozostałe</v>
      </c>
      <c r="H1519" t="str">
        <f>_xlfn.XLOOKUP(transakcje[[#This Row],[kategoria]],parametr[kategoria],parametr[typ])</f>
        <v>dochody</v>
      </c>
      <c r="I1519" s="1">
        <f>ABS(transakcje[[#This Row],[kwota]])</f>
        <v>4.0000000000000001E-3</v>
      </c>
    </row>
    <row r="1520" spans="1:9" x14ac:dyDescent="0.3">
      <c r="A1520">
        <v>1519</v>
      </c>
      <c r="B1520">
        <v>2015</v>
      </c>
      <c r="C1520">
        <v>8</v>
      </c>
      <c r="D1520">
        <v>31</v>
      </c>
      <c r="E1520" s="1">
        <v>-1.198</v>
      </c>
      <c r="F1520" t="s">
        <v>14</v>
      </c>
      <c r="G1520" t="str">
        <f>_xlfn.XLOOKUP(transakcje[[#This Row],[podkategoria]],parametr[podkategoria],parametr[kategoria])</f>
        <v>opłaty stałe</v>
      </c>
      <c r="H1520" t="str">
        <f>_xlfn.XLOOKUP(transakcje[[#This Row],[kategoria]],parametr[kategoria],parametr[typ])</f>
        <v>wydatki</v>
      </c>
      <c r="I1520" s="1">
        <f>ABS(transakcje[[#This Row],[kwota]])</f>
        <v>1.198</v>
      </c>
    </row>
    <row r="1521" spans="1:9" x14ac:dyDescent="0.3">
      <c r="A1521">
        <v>1520</v>
      </c>
      <c r="B1521">
        <v>2015</v>
      </c>
      <c r="C1521">
        <v>8</v>
      </c>
      <c r="D1521">
        <v>31</v>
      </c>
      <c r="E1521" s="1">
        <v>-0.4</v>
      </c>
      <c r="F1521" t="s">
        <v>14</v>
      </c>
      <c r="G1521" t="str">
        <f>_xlfn.XLOOKUP(transakcje[[#This Row],[podkategoria]],parametr[podkategoria],parametr[kategoria])</f>
        <v>opłaty stałe</v>
      </c>
      <c r="H1521" t="str">
        <f>_xlfn.XLOOKUP(transakcje[[#This Row],[kategoria]],parametr[kategoria],parametr[typ])</f>
        <v>wydatki</v>
      </c>
      <c r="I1521" s="1">
        <f>ABS(transakcje[[#This Row],[kwota]])</f>
        <v>0.4</v>
      </c>
    </row>
    <row r="1522" spans="1:9" x14ac:dyDescent="0.3">
      <c r="A1522">
        <v>1521</v>
      </c>
      <c r="B1522">
        <v>2015</v>
      </c>
      <c r="C1522">
        <v>8</v>
      </c>
      <c r="D1522">
        <v>31</v>
      </c>
      <c r="E1522" s="1">
        <v>-2E-3</v>
      </c>
      <c r="F1522" t="s">
        <v>14</v>
      </c>
      <c r="G1522" t="str">
        <f>_xlfn.XLOOKUP(transakcje[[#This Row],[podkategoria]],parametr[podkategoria],parametr[kategoria])</f>
        <v>opłaty stałe</v>
      </c>
      <c r="H1522" t="str">
        <f>_xlfn.XLOOKUP(transakcje[[#This Row],[kategoria]],parametr[kategoria],parametr[typ])</f>
        <v>wydatki</v>
      </c>
      <c r="I1522" s="1">
        <f>ABS(transakcje[[#This Row],[kwota]])</f>
        <v>2E-3</v>
      </c>
    </row>
    <row r="1523" spans="1:9" x14ac:dyDescent="0.3">
      <c r="A1523">
        <v>1522</v>
      </c>
      <c r="B1523">
        <v>2015</v>
      </c>
      <c r="C1523">
        <v>8</v>
      </c>
      <c r="D1523">
        <v>31</v>
      </c>
      <c r="E1523" s="1">
        <v>-2.988</v>
      </c>
      <c r="F1523" t="s">
        <v>26</v>
      </c>
      <c r="G1523" t="str">
        <f>_xlfn.XLOOKUP(transakcje[[#This Row],[podkategoria]],parametr[podkategoria],parametr[kategoria])</f>
        <v>życie</v>
      </c>
      <c r="H1523" t="str">
        <f>_xlfn.XLOOKUP(transakcje[[#This Row],[kategoria]],parametr[kategoria],parametr[typ])</f>
        <v>wydatki</v>
      </c>
      <c r="I1523" s="1">
        <f>ABS(transakcje[[#This Row],[kwota]])</f>
        <v>2.988</v>
      </c>
    </row>
    <row r="1524" spans="1:9" x14ac:dyDescent="0.3">
      <c r="A1524">
        <v>1523</v>
      </c>
      <c r="B1524">
        <v>2015</v>
      </c>
      <c r="C1524">
        <v>9</v>
      </c>
      <c r="D1524">
        <v>2</v>
      </c>
      <c r="E1524" s="1">
        <v>-8.3420000000000005</v>
      </c>
      <c r="F1524" t="s">
        <v>26</v>
      </c>
      <c r="G1524" t="str">
        <f>_xlfn.XLOOKUP(transakcje[[#This Row],[podkategoria]],parametr[podkategoria],parametr[kategoria])</f>
        <v>życie</v>
      </c>
      <c r="H1524" t="str">
        <f>_xlfn.XLOOKUP(transakcje[[#This Row],[kategoria]],parametr[kategoria],parametr[typ])</f>
        <v>wydatki</v>
      </c>
      <c r="I1524" s="1">
        <f>ABS(transakcje[[#This Row],[kwota]])</f>
        <v>8.3420000000000005</v>
      </c>
    </row>
    <row r="1525" spans="1:9" x14ac:dyDescent="0.3">
      <c r="A1525">
        <v>1524</v>
      </c>
      <c r="B1525">
        <v>2015</v>
      </c>
      <c r="C1525">
        <v>9</v>
      </c>
      <c r="D1525">
        <v>4</v>
      </c>
      <c r="E1525" s="1">
        <v>-191.76</v>
      </c>
      <c r="F1525" t="s">
        <v>24</v>
      </c>
      <c r="G1525" t="str">
        <f>_xlfn.XLOOKUP(transakcje[[#This Row],[podkategoria]],parametr[podkategoria],parametr[kategoria])</f>
        <v>trwałe</v>
      </c>
      <c r="H1525" t="str">
        <f>_xlfn.XLOOKUP(transakcje[[#This Row],[kategoria]],parametr[kategoria],parametr[typ])</f>
        <v>wydatki</v>
      </c>
      <c r="I1525" s="1">
        <f>ABS(transakcje[[#This Row],[kwota]])</f>
        <v>191.76</v>
      </c>
    </row>
    <row r="1526" spans="1:9" x14ac:dyDescent="0.3">
      <c r="A1526">
        <v>1525</v>
      </c>
      <c r="B1526">
        <v>2015</v>
      </c>
      <c r="C1526">
        <v>9</v>
      </c>
      <c r="D1526">
        <v>5</v>
      </c>
      <c r="E1526" s="1">
        <v>-4.5600000000000005</v>
      </c>
      <c r="F1526" t="s">
        <v>32</v>
      </c>
      <c r="G1526" t="str">
        <f>_xlfn.XLOOKUP(transakcje[[#This Row],[podkategoria]],parametr[podkategoria],parametr[kategoria])</f>
        <v>opłaty stałe</v>
      </c>
      <c r="H1526" t="str">
        <f>_xlfn.XLOOKUP(transakcje[[#This Row],[kategoria]],parametr[kategoria],parametr[typ])</f>
        <v>wydatki</v>
      </c>
      <c r="I1526" s="1">
        <f>ABS(transakcje[[#This Row],[kwota]])</f>
        <v>4.5600000000000005</v>
      </c>
    </row>
    <row r="1527" spans="1:9" x14ac:dyDescent="0.3">
      <c r="A1527">
        <v>1526</v>
      </c>
      <c r="B1527">
        <v>2015</v>
      </c>
      <c r="C1527">
        <v>9</v>
      </c>
      <c r="D1527">
        <v>5</v>
      </c>
      <c r="E1527" s="1">
        <v>-6.88</v>
      </c>
      <c r="F1527" t="s">
        <v>26</v>
      </c>
      <c r="G1527" t="str">
        <f>_xlfn.XLOOKUP(transakcje[[#This Row],[podkategoria]],parametr[podkategoria],parametr[kategoria])</f>
        <v>życie</v>
      </c>
      <c r="H1527" t="str">
        <f>_xlfn.XLOOKUP(transakcje[[#This Row],[kategoria]],parametr[kategoria],parametr[typ])</f>
        <v>wydatki</v>
      </c>
      <c r="I1527" s="1">
        <f>ABS(transakcje[[#This Row],[kwota]])</f>
        <v>6.88</v>
      </c>
    </row>
    <row r="1528" spans="1:9" x14ac:dyDescent="0.3">
      <c r="A1528">
        <v>1527</v>
      </c>
      <c r="B1528">
        <v>2015</v>
      </c>
      <c r="C1528">
        <v>9</v>
      </c>
      <c r="D1528">
        <v>5</v>
      </c>
      <c r="E1528" s="1">
        <v>-4.6619999999999999</v>
      </c>
      <c r="F1528" t="s">
        <v>26</v>
      </c>
      <c r="G1528" t="str">
        <f>_xlfn.XLOOKUP(transakcje[[#This Row],[podkategoria]],parametr[podkategoria],parametr[kategoria])</f>
        <v>życie</v>
      </c>
      <c r="H1528" t="str">
        <f>_xlfn.XLOOKUP(transakcje[[#This Row],[kategoria]],parametr[kategoria],parametr[typ])</f>
        <v>wydatki</v>
      </c>
      <c r="I1528" s="1">
        <f>ABS(transakcje[[#This Row],[kwota]])</f>
        <v>4.6619999999999999</v>
      </c>
    </row>
    <row r="1529" spans="1:9" x14ac:dyDescent="0.3">
      <c r="A1529">
        <v>1528</v>
      </c>
      <c r="B1529">
        <v>2015</v>
      </c>
      <c r="C1529">
        <v>9</v>
      </c>
      <c r="D1529">
        <v>6</v>
      </c>
      <c r="E1529" s="1">
        <v>-16.68</v>
      </c>
      <c r="F1529" t="s">
        <v>37</v>
      </c>
      <c r="G1529" t="str">
        <f>_xlfn.XLOOKUP(transakcje[[#This Row],[podkategoria]],parametr[podkategoria],parametr[kategoria])</f>
        <v>opłaty stałe</v>
      </c>
      <c r="H1529" t="str">
        <f>_xlfn.XLOOKUP(transakcje[[#This Row],[kategoria]],parametr[kategoria],parametr[typ])</f>
        <v>wydatki</v>
      </c>
      <c r="I1529" s="1">
        <f>ABS(transakcje[[#This Row],[kwota]])</f>
        <v>16.68</v>
      </c>
    </row>
    <row r="1530" spans="1:9" x14ac:dyDescent="0.3">
      <c r="A1530">
        <v>1529</v>
      </c>
      <c r="B1530">
        <v>2015</v>
      </c>
      <c r="C1530">
        <v>9</v>
      </c>
      <c r="D1530">
        <v>6</v>
      </c>
      <c r="E1530" s="1">
        <v>-59.765999999999998</v>
      </c>
      <c r="F1530" t="s">
        <v>31</v>
      </c>
      <c r="G1530" t="str">
        <f>_xlfn.XLOOKUP(transakcje[[#This Row],[podkategoria]],parametr[podkategoria],parametr[kategoria])</f>
        <v>opłaty stałe</v>
      </c>
      <c r="H1530" t="str">
        <f>_xlfn.XLOOKUP(transakcje[[#This Row],[kategoria]],parametr[kategoria],parametr[typ])</f>
        <v>wydatki</v>
      </c>
      <c r="I1530" s="1">
        <f>ABS(transakcje[[#This Row],[kwota]])</f>
        <v>59.765999999999998</v>
      </c>
    </row>
    <row r="1531" spans="1:9" x14ac:dyDescent="0.3">
      <c r="A1531">
        <v>1530</v>
      </c>
      <c r="B1531">
        <v>2015</v>
      </c>
      <c r="C1531">
        <v>9</v>
      </c>
      <c r="D1531">
        <v>6</v>
      </c>
      <c r="E1531" s="1">
        <v>-6.1</v>
      </c>
      <c r="F1531" t="s">
        <v>35</v>
      </c>
      <c r="G1531" t="str">
        <f>_xlfn.XLOOKUP(transakcje[[#This Row],[podkategoria]],parametr[podkategoria],parametr[kategoria])</f>
        <v>opłaty stałe</v>
      </c>
      <c r="H1531" t="str">
        <f>_xlfn.XLOOKUP(transakcje[[#This Row],[kategoria]],parametr[kategoria],parametr[typ])</f>
        <v>wydatki</v>
      </c>
      <c r="I1531" s="1">
        <f>ABS(transakcje[[#This Row],[kwota]])</f>
        <v>6.1</v>
      </c>
    </row>
    <row r="1532" spans="1:9" x14ac:dyDescent="0.3">
      <c r="A1532">
        <v>1531</v>
      </c>
      <c r="B1532">
        <v>2015</v>
      </c>
      <c r="C1532">
        <v>9</v>
      </c>
      <c r="D1532">
        <v>6</v>
      </c>
      <c r="E1532" s="1">
        <v>-8.5</v>
      </c>
      <c r="F1532" t="s">
        <v>23</v>
      </c>
      <c r="G1532" t="str">
        <f>_xlfn.XLOOKUP(transakcje[[#This Row],[podkategoria]],parametr[podkategoria],parametr[kategoria])</f>
        <v>opłaty stałe</v>
      </c>
      <c r="H1532" t="str">
        <f>_xlfn.XLOOKUP(transakcje[[#This Row],[kategoria]],parametr[kategoria],parametr[typ])</f>
        <v>wydatki</v>
      </c>
      <c r="I1532" s="1">
        <f>ABS(transakcje[[#This Row],[kwota]])</f>
        <v>8.5</v>
      </c>
    </row>
    <row r="1533" spans="1:9" x14ac:dyDescent="0.3">
      <c r="A1533">
        <v>1532</v>
      </c>
      <c r="B1533">
        <v>2015</v>
      </c>
      <c r="C1533">
        <v>9</v>
      </c>
      <c r="D1533">
        <v>6</v>
      </c>
      <c r="E1533" s="1">
        <v>-13.693999999999999</v>
      </c>
      <c r="F1533" t="s">
        <v>34</v>
      </c>
      <c r="G1533" t="str">
        <f>_xlfn.XLOOKUP(transakcje[[#This Row],[podkategoria]],parametr[podkategoria],parametr[kategoria])</f>
        <v>opłaty stałe</v>
      </c>
      <c r="H1533" t="str">
        <f>_xlfn.XLOOKUP(transakcje[[#This Row],[kategoria]],parametr[kategoria],parametr[typ])</f>
        <v>wydatki</v>
      </c>
      <c r="I1533" s="1">
        <f>ABS(transakcje[[#This Row],[kwota]])</f>
        <v>13.693999999999999</v>
      </c>
    </row>
    <row r="1534" spans="1:9" x14ac:dyDescent="0.3">
      <c r="A1534">
        <v>1533</v>
      </c>
      <c r="B1534">
        <v>2015</v>
      </c>
      <c r="C1534">
        <v>9</v>
      </c>
      <c r="D1534">
        <v>6</v>
      </c>
      <c r="E1534" s="1">
        <v>-5.9979999999999993</v>
      </c>
      <c r="F1534" t="s">
        <v>25</v>
      </c>
      <c r="G1534" t="str">
        <f>_xlfn.XLOOKUP(transakcje[[#This Row],[podkategoria]],parametr[podkategoria],parametr[kategoria])</f>
        <v>opłaty stałe</v>
      </c>
      <c r="H1534" t="str">
        <f>_xlfn.XLOOKUP(transakcje[[#This Row],[kategoria]],parametr[kategoria],parametr[typ])</f>
        <v>wydatki</v>
      </c>
      <c r="I1534" s="1">
        <f>ABS(transakcje[[#This Row],[kwota]])</f>
        <v>5.9979999999999993</v>
      </c>
    </row>
    <row r="1535" spans="1:9" x14ac:dyDescent="0.3">
      <c r="A1535">
        <v>1534</v>
      </c>
      <c r="B1535">
        <v>2015</v>
      </c>
      <c r="C1535">
        <v>9</v>
      </c>
      <c r="D1535">
        <v>8</v>
      </c>
      <c r="E1535" s="1">
        <v>-29.733999999999998</v>
      </c>
      <c r="F1535" t="s">
        <v>20</v>
      </c>
      <c r="G1535" t="str">
        <f>_xlfn.XLOOKUP(transakcje[[#This Row],[podkategoria]],parametr[podkategoria],parametr[kategoria])</f>
        <v>trwałe</v>
      </c>
      <c r="H1535" t="str">
        <f>_xlfn.XLOOKUP(transakcje[[#This Row],[kategoria]],parametr[kategoria],parametr[typ])</f>
        <v>wydatki</v>
      </c>
      <c r="I1535" s="1">
        <f>ABS(transakcje[[#This Row],[kwota]])</f>
        <v>29.733999999999998</v>
      </c>
    </row>
    <row r="1536" spans="1:9" x14ac:dyDescent="0.3">
      <c r="A1536">
        <v>1535</v>
      </c>
      <c r="B1536">
        <v>2015</v>
      </c>
      <c r="C1536">
        <v>9</v>
      </c>
      <c r="D1536">
        <v>11</v>
      </c>
      <c r="E1536" s="1">
        <v>-78</v>
      </c>
      <c r="F1536" t="s">
        <v>11</v>
      </c>
      <c r="G1536" t="str">
        <f>_xlfn.XLOOKUP(transakcje[[#This Row],[podkategoria]],parametr[podkategoria],parametr[kategoria])</f>
        <v>wydatki inne</v>
      </c>
      <c r="H1536" t="str">
        <f>_xlfn.XLOOKUP(transakcje[[#This Row],[kategoria]],parametr[kategoria],parametr[typ])</f>
        <v>wydatki</v>
      </c>
      <c r="I1536" s="1">
        <f>ABS(transakcje[[#This Row],[kwota]])</f>
        <v>78</v>
      </c>
    </row>
    <row r="1537" spans="1:9" x14ac:dyDescent="0.3">
      <c r="A1537">
        <v>1536</v>
      </c>
      <c r="B1537">
        <v>2015</v>
      </c>
      <c r="C1537">
        <v>9</v>
      </c>
      <c r="D1537">
        <v>11</v>
      </c>
      <c r="E1537" s="1">
        <v>-22.368000000000002</v>
      </c>
      <c r="F1537" t="s">
        <v>20</v>
      </c>
      <c r="G1537" t="str">
        <f>_xlfn.XLOOKUP(transakcje[[#This Row],[podkategoria]],parametr[podkategoria],parametr[kategoria])</f>
        <v>trwałe</v>
      </c>
      <c r="H1537" t="str">
        <f>_xlfn.XLOOKUP(transakcje[[#This Row],[kategoria]],parametr[kategoria],parametr[typ])</f>
        <v>wydatki</v>
      </c>
      <c r="I1537" s="1">
        <f>ABS(transakcje[[#This Row],[kwota]])</f>
        <v>22.368000000000002</v>
      </c>
    </row>
    <row r="1538" spans="1:9" x14ac:dyDescent="0.3">
      <c r="A1538">
        <v>1537</v>
      </c>
      <c r="B1538">
        <v>2015</v>
      </c>
      <c r="C1538">
        <v>9</v>
      </c>
      <c r="D1538">
        <v>16</v>
      </c>
      <c r="E1538" s="1">
        <v>-0.8</v>
      </c>
      <c r="F1538" t="s">
        <v>14</v>
      </c>
      <c r="G1538" t="str">
        <f>_xlfn.XLOOKUP(transakcje[[#This Row],[podkategoria]],parametr[podkategoria],parametr[kategoria])</f>
        <v>opłaty stałe</v>
      </c>
      <c r="H1538" t="str">
        <f>_xlfn.XLOOKUP(transakcje[[#This Row],[kategoria]],parametr[kategoria],parametr[typ])</f>
        <v>wydatki</v>
      </c>
      <c r="I1538" s="1">
        <f>ABS(transakcje[[#This Row],[kwota]])</f>
        <v>0.8</v>
      </c>
    </row>
    <row r="1539" spans="1:9" x14ac:dyDescent="0.3">
      <c r="A1539">
        <v>1538</v>
      </c>
      <c r="B1539">
        <v>2015</v>
      </c>
      <c r="C1539">
        <v>9</v>
      </c>
      <c r="D1539">
        <v>16</v>
      </c>
      <c r="E1539" s="1">
        <v>-0.39800000000000002</v>
      </c>
      <c r="F1539" t="s">
        <v>14</v>
      </c>
      <c r="G1539" t="str">
        <f>_xlfn.XLOOKUP(transakcje[[#This Row],[podkategoria]],parametr[podkategoria],parametr[kategoria])</f>
        <v>opłaty stałe</v>
      </c>
      <c r="H1539" t="str">
        <f>_xlfn.XLOOKUP(transakcje[[#This Row],[kategoria]],parametr[kategoria],parametr[typ])</f>
        <v>wydatki</v>
      </c>
      <c r="I1539" s="1">
        <f>ABS(transakcje[[#This Row],[kwota]])</f>
        <v>0.39800000000000002</v>
      </c>
    </row>
    <row r="1540" spans="1:9" x14ac:dyDescent="0.3">
      <c r="A1540">
        <v>1539</v>
      </c>
      <c r="B1540">
        <v>2015</v>
      </c>
      <c r="C1540">
        <v>9</v>
      </c>
      <c r="D1540">
        <v>18</v>
      </c>
      <c r="E1540" s="1">
        <v>-4.7520000000000007</v>
      </c>
      <c r="F1540" t="s">
        <v>26</v>
      </c>
      <c r="G1540" t="str">
        <f>_xlfn.XLOOKUP(transakcje[[#This Row],[podkategoria]],parametr[podkategoria],parametr[kategoria])</f>
        <v>życie</v>
      </c>
      <c r="H1540" t="str">
        <f>_xlfn.XLOOKUP(transakcje[[#This Row],[kategoria]],parametr[kategoria],parametr[typ])</f>
        <v>wydatki</v>
      </c>
      <c r="I1540" s="1">
        <f>ABS(transakcje[[#This Row],[kwota]])</f>
        <v>4.7520000000000007</v>
      </c>
    </row>
    <row r="1541" spans="1:9" x14ac:dyDescent="0.3">
      <c r="A1541">
        <v>1540</v>
      </c>
      <c r="B1541">
        <v>2015</v>
      </c>
      <c r="C1541">
        <v>9</v>
      </c>
      <c r="D1541">
        <v>21</v>
      </c>
      <c r="E1541" s="1">
        <v>-2.798</v>
      </c>
      <c r="F1541" t="s">
        <v>11</v>
      </c>
      <c r="G1541" t="str">
        <f>_xlfn.XLOOKUP(transakcje[[#This Row],[podkategoria]],parametr[podkategoria],parametr[kategoria])</f>
        <v>wydatki inne</v>
      </c>
      <c r="H1541" t="str">
        <f>_xlfn.XLOOKUP(transakcje[[#This Row],[kategoria]],parametr[kategoria],parametr[typ])</f>
        <v>wydatki</v>
      </c>
      <c r="I1541" s="1">
        <f>ABS(transakcje[[#This Row],[kwota]])</f>
        <v>2.798</v>
      </c>
    </row>
    <row r="1542" spans="1:9" x14ac:dyDescent="0.3">
      <c r="A1542">
        <v>1541</v>
      </c>
      <c r="B1542">
        <v>2015</v>
      </c>
      <c r="C1542">
        <v>9</v>
      </c>
      <c r="D1542">
        <v>21</v>
      </c>
      <c r="E1542" s="1">
        <v>-22.84</v>
      </c>
      <c r="F1542" t="s">
        <v>32</v>
      </c>
      <c r="G1542" t="str">
        <f>_xlfn.XLOOKUP(transakcje[[#This Row],[podkategoria]],parametr[podkategoria],parametr[kategoria])</f>
        <v>opłaty stałe</v>
      </c>
      <c r="H1542" t="str">
        <f>_xlfn.XLOOKUP(transakcje[[#This Row],[kategoria]],parametr[kategoria],parametr[typ])</f>
        <v>wydatki</v>
      </c>
      <c r="I1542" s="1">
        <f>ABS(transakcje[[#This Row],[kwota]])</f>
        <v>22.84</v>
      </c>
    </row>
    <row r="1543" spans="1:9" x14ac:dyDescent="0.3">
      <c r="A1543">
        <v>1542</v>
      </c>
      <c r="B1543">
        <v>2015</v>
      </c>
      <c r="C1543">
        <v>9</v>
      </c>
      <c r="D1543">
        <v>25</v>
      </c>
      <c r="E1543" s="1">
        <v>428.95600000000002</v>
      </c>
      <c r="F1543" t="s">
        <v>8</v>
      </c>
      <c r="G1543" t="str">
        <f>_xlfn.XLOOKUP(transakcje[[#This Row],[podkategoria]],parametr[podkategoria],parametr[kategoria])</f>
        <v>dochody z pracy</v>
      </c>
      <c r="H1543" t="str">
        <f>_xlfn.XLOOKUP(transakcje[[#This Row],[kategoria]],parametr[kategoria],parametr[typ])</f>
        <v>dochody</v>
      </c>
      <c r="I1543" s="1">
        <f>ABS(transakcje[[#This Row],[kwota]])</f>
        <v>428.95600000000002</v>
      </c>
    </row>
    <row r="1544" spans="1:9" x14ac:dyDescent="0.3">
      <c r="A1544">
        <v>1543</v>
      </c>
      <c r="B1544">
        <v>2015</v>
      </c>
      <c r="C1544">
        <v>9</v>
      </c>
      <c r="D1544">
        <v>25</v>
      </c>
      <c r="E1544" s="1">
        <v>-3.8240000000000003</v>
      </c>
      <c r="F1544" t="s">
        <v>26</v>
      </c>
      <c r="G1544" t="str">
        <f>_xlfn.XLOOKUP(transakcje[[#This Row],[podkategoria]],parametr[podkategoria],parametr[kategoria])</f>
        <v>życie</v>
      </c>
      <c r="H1544" t="str">
        <f>_xlfn.XLOOKUP(transakcje[[#This Row],[kategoria]],parametr[kategoria],parametr[typ])</f>
        <v>wydatki</v>
      </c>
      <c r="I1544" s="1">
        <f>ABS(transakcje[[#This Row],[kwota]])</f>
        <v>3.8240000000000003</v>
      </c>
    </row>
    <row r="1545" spans="1:9" x14ac:dyDescent="0.3">
      <c r="A1545">
        <v>1544</v>
      </c>
      <c r="B1545">
        <v>2015</v>
      </c>
      <c r="C1545">
        <v>9</v>
      </c>
      <c r="D1545">
        <v>26</v>
      </c>
      <c r="E1545" s="1">
        <v>-13.952000000000002</v>
      </c>
      <c r="F1545" t="s">
        <v>26</v>
      </c>
      <c r="G1545" t="str">
        <f>_xlfn.XLOOKUP(transakcje[[#This Row],[podkategoria]],parametr[podkategoria],parametr[kategoria])</f>
        <v>życie</v>
      </c>
      <c r="H1545" t="str">
        <f>_xlfn.XLOOKUP(transakcje[[#This Row],[kategoria]],parametr[kategoria],parametr[typ])</f>
        <v>wydatki</v>
      </c>
      <c r="I1545" s="1">
        <f>ABS(transakcje[[#This Row],[kwota]])</f>
        <v>13.952000000000002</v>
      </c>
    </row>
    <row r="1546" spans="1:9" x14ac:dyDescent="0.3">
      <c r="A1546">
        <v>1545</v>
      </c>
      <c r="B1546">
        <v>2015</v>
      </c>
      <c r="C1546">
        <v>9</v>
      </c>
      <c r="D1546">
        <v>30</v>
      </c>
      <c r="E1546" s="1">
        <v>2E-3</v>
      </c>
      <c r="F1546" t="s">
        <v>17</v>
      </c>
      <c r="G1546" t="str">
        <f>_xlfn.XLOOKUP(transakcje[[#This Row],[podkategoria]],parametr[podkategoria],parametr[kategoria])</f>
        <v>dochody pozostałe</v>
      </c>
      <c r="H1546" t="str">
        <f>_xlfn.XLOOKUP(transakcje[[#This Row],[kategoria]],parametr[kategoria],parametr[typ])</f>
        <v>dochody</v>
      </c>
      <c r="I1546" s="1">
        <f>ABS(transakcje[[#This Row],[kwota]])</f>
        <v>2E-3</v>
      </c>
    </row>
    <row r="1547" spans="1:9" x14ac:dyDescent="0.3">
      <c r="A1547">
        <v>1546</v>
      </c>
      <c r="B1547">
        <v>2015</v>
      </c>
      <c r="C1547">
        <v>9</v>
      </c>
      <c r="D1547">
        <v>30</v>
      </c>
      <c r="E1547" s="1">
        <v>-1.198</v>
      </c>
      <c r="F1547" t="s">
        <v>14</v>
      </c>
      <c r="G1547" t="str">
        <f>_xlfn.XLOOKUP(transakcje[[#This Row],[podkategoria]],parametr[podkategoria],parametr[kategoria])</f>
        <v>opłaty stałe</v>
      </c>
      <c r="H1547" t="str">
        <f>_xlfn.XLOOKUP(transakcje[[#This Row],[kategoria]],parametr[kategoria],parametr[typ])</f>
        <v>wydatki</v>
      </c>
      <c r="I1547" s="1">
        <f>ABS(transakcje[[#This Row],[kwota]])</f>
        <v>1.198</v>
      </c>
    </row>
    <row r="1548" spans="1:9" x14ac:dyDescent="0.3">
      <c r="A1548">
        <v>1547</v>
      </c>
      <c r="B1548">
        <v>2015</v>
      </c>
      <c r="C1548">
        <v>9</v>
      </c>
      <c r="D1548">
        <v>30</v>
      </c>
      <c r="E1548" s="1">
        <v>-0.4</v>
      </c>
      <c r="F1548" t="s">
        <v>14</v>
      </c>
      <c r="G1548" t="str">
        <f>_xlfn.XLOOKUP(transakcje[[#This Row],[podkategoria]],parametr[podkategoria],parametr[kategoria])</f>
        <v>opłaty stałe</v>
      </c>
      <c r="H1548" t="str">
        <f>_xlfn.XLOOKUP(transakcje[[#This Row],[kategoria]],parametr[kategoria],parametr[typ])</f>
        <v>wydatki</v>
      </c>
      <c r="I1548" s="1">
        <f>ABS(transakcje[[#This Row],[kwota]])</f>
        <v>0.4</v>
      </c>
    </row>
    <row r="1549" spans="1:9" x14ac:dyDescent="0.3">
      <c r="A1549">
        <v>1548</v>
      </c>
      <c r="B1549">
        <v>2015</v>
      </c>
      <c r="C1549">
        <v>9</v>
      </c>
      <c r="D1549">
        <v>30</v>
      </c>
      <c r="E1549" s="1">
        <v>-2E-3</v>
      </c>
      <c r="F1549" t="s">
        <v>14</v>
      </c>
      <c r="G1549" t="str">
        <f>_xlfn.XLOOKUP(transakcje[[#This Row],[podkategoria]],parametr[podkategoria],parametr[kategoria])</f>
        <v>opłaty stałe</v>
      </c>
      <c r="H1549" t="str">
        <f>_xlfn.XLOOKUP(transakcje[[#This Row],[kategoria]],parametr[kategoria],parametr[typ])</f>
        <v>wydatki</v>
      </c>
      <c r="I1549" s="1">
        <f>ABS(transakcje[[#This Row],[kwota]])</f>
        <v>2E-3</v>
      </c>
    </row>
    <row r="1550" spans="1:9" x14ac:dyDescent="0.3">
      <c r="A1550">
        <v>1549</v>
      </c>
      <c r="B1550">
        <v>2015</v>
      </c>
      <c r="C1550">
        <v>10</v>
      </c>
      <c r="D1550">
        <v>3</v>
      </c>
      <c r="E1550" s="1">
        <v>-59.765999999999998</v>
      </c>
      <c r="F1550" t="s">
        <v>31</v>
      </c>
      <c r="G1550" t="str">
        <f>_xlfn.XLOOKUP(transakcje[[#This Row],[podkategoria]],parametr[podkategoria],parametr[kategoria])</f>
        <v>opłaty stałe</v>
      </c>
      <c r="H1550" t="str">
        <f>_xlfn.XLOOKUP(transakcje[[#This Row],[kategoria]],parametr[kategoria],parametr[typ])</f>
        <v>wydatki</v>
      </c>
      <c r="I1550" s="1">
        <f>ABS(transakcje[[#This Row],[kwota]])</f>
        <v>59.765999999999998</v>
      </c>
    </row>
    <row r="1551" spans="1:9" x14ac:dyDescent="0.3">
      <c r="A1551">
        <v>1550</v>
      </c>
      <c r="B1551">
        <v>2015</v>
      </c>
      <c r="C1551">
        <v>10</v>
      </c>
      <c r="D1551">
        <v>3</v>
      </c>
      <c r="E1551" s="1">
        <v>-2</v>
      </c>
      <c r="F1551" t="s">
        <v>11</v>
      </c>
      <c r="G1551" t="str">
        <f>_xlfn.XLOOKUP(transakcje[[#This Row],[podkategoria]],parametr[podkategoria],parametr[kategoria])</f>
        <v>wydatki inne</v>
      </c>
      <c r="H1551" t="str">
        <f>_xlfn.XLOOKUP(transakcje[[#This Row],[kategoria]],parametr[kategoria],parametr[typ])</f>
        <v>wydatki</v>
      </c>
      <c r="I1551" s="1">
        <f>ABS(transakcje[[#This Row],[kwota]])</f>
        <v>2</v>
      </c>
    </row>
    <row r="1552" spans="1:9" x14ac:dyDescent="0.3">
      <c r="A1552">
        <v>1551</v>
      </c>
      <c r="B1552">
        <v>2015</v>
      </c>
      <c r="C1552">
        <v>10</v>
      </c>
      <c r="D1552">
        <v>3</v>
      </c>
      <c r="E1552" s="1">
        <v>-7.38</v>
      </c>
      <c r="F1552" t="s">
        <v>23</v>
      </c>
      <c r="G1552" t="str">
        <f>_xlfn.XLOOKUP(transakcje[[#This Row],[podkategoria]],parametr[podkategoria],parametr[kategoria])</f>
        <v>opłaty stałe</v>
      </c>
      <c r="H1552" t="str">
        <f>_xlfn.XLOOKUP(transakcje[[#This Row],[kategoria]],parametr[kategoria],parametr[typ])</f>
        <v>wydatki</v>
      </c>
      <c r="I1552" s="1">
        <f>ABS(transakcje[[#This Row],[kwota]])</f>
        <v>7.38</v>
      </c>
    </row>
    <row r="1553" spans="1:9" x14ac:dyDescent="0.3">
      <c r="A1553">
        <v>1552</v>
      </c>
      <c r="B1553">
        <v>2015</v>
      </c>
      <c r="C1553">
        <v>10</v>
      </c>
      <c r="D1553">
        <v>3</v>
      </c>
      <c r="E1553" s="1">
        <v>-6.2140000000000004</v>
      </c>
      <c r="F1553" t="s">
        <v>26</v>
      </c>
      <c r="G1553" t="str">
        <f>_xlfn.XLOOKUP(transakcje[[#This Row],[podkategoria]],parametr[podkategoria],parametr[kategoria])</f>
        <v>życie</v>
      </c>
      <c r="H1553" t="str">
        <f>_xlfn.XLOOKUP(transakcje[[#This Row],[kategoria]],parametr[kategoria],parametr[typ])</f>
        <v>wydatki</v>
      </c>
      <c r="I1553" s="1">
        <f>ABS(transakcje[[#This Row],[kwota]])</f>
        <v>6.2140000000000004</v>
      </c>
    </row>
    <row r="1554" spans="1:9" x14ac:dyDescent="0.3">
      <c r="A1554">
        <v>1553</v>
      </c>
      <c r="B1554">
        <v>2015</v>
      </c>
      <c r="C1554">
        <v>10</v>
      </c>
      <c r="D1554">
        <v>3</v>
      </c>
      <c r="E1554" s="1">
        <v>-46.4</v>
      </c>
      <c r="F1554" t="s">
        <v>30</v>
      </c>
      <c r="G1554" t="str">
        <f>_xlfn.XLOOKUP(transakcje[[#This Row],[podkategoria]],parametr[podkategoria],parametr[kategoria])</f>
        <v>opłaty stałe</v>
      </c>
      <c r="H1554" t="str">
        <f>_xlfn.XLOOKUP(transakcje[[#This Row],[kategoria]],parametr[kategoria],parametr[typ])</f>
        <v>wydatki</v>
      </c>
      <c r="I1554" s="1">
        <f>ABS(transakcje[[#This Row],[kwota]])</f>
        <v>46.4</v>
      </c>
    </row>
    <row r="1555" spans="1:9" x14ac:dyDescent="0.3">
      <c r="A1555">
        <v>1554</v>
      </c>
      <c r="B1555">
        <v>2015</v>
      </c>
      <c r="C1555">
        <v>10</v>
      </c>
      <c r="D1555">
        <v>7</v>
      </c>
      <c r="E1555" s="1">
        <v>-2.2280000000000002</v>
      </c>
      <c r="F1555" t="s">
        <v>26</v>
      </c>
      <c r="G1555" t="str">
        <f>_xlfn.XLOOKUP(transakcje[[#This Row],[podkategoria]],parametr[podkategoria],parametr[kategoria])</f>
        <v>życie</v>
      </c>
      <c r="H1555" t="str">
        <f>_xlfn.XLOOKUP(transakcje[[#This Row],[kategoria]],parametr[kategoria],parametr[typ])</f>
        <v>wydatki</v>
      </c>
      <c r="I1555" s="1">
        <f>ABS(transakcje[[#This Row],[kwota]])</f>
        <v>2.2280000000000002</v>
      </c>
    </row>
    <row r="1556" spans="1:9" x14ac:dyDescent="0.3">
      <c r="A1556">
        <v>1555</v>
      </c>
      <c r="B1556">
        <v>2015</v>
      </c>
      <c r="C1556">
        <v>10</v>
      </c>
      <c r="D1556">
        <v>8</v>
      </c>
      <c r="E1556" s="1">
        <v>-6.4159999999999995</v>
      </c>
      <c r="F1556" t="s">
        <v>25</v>
      </c>
      <c r="G1556" t="str">
        <f>_xlfn.XLOOKUP(transakcje[[#This Row],[podkategoria]],parametr[podkategoria],parametr[kategoria])</f>
        <v>opłaty stałe</v>
      </c>
      <c r="H1556" t="str">
        <f>_xlfn.XLOOKUP(transakcje[[#This Row],[kategoria]],parametr[kategoria],parametr[typ])</f>
        <v>wydatki</v>
      </c>
      <c r="I1556" s="1">
        <f>ABS(transakcje[[#This Row],[kwota]])</f>
        <v>6.4159999999999995</v>
      </c>
    </row>
    <row r="1557" spans="1:9" x14ac:dyDescent="0.3">
      <c r="A1557">
        <v>1556</v>
      </c>
      <c r="B1557">
        <v>2015</v>
      </c>
      <c r="C1557">
        <v>10</v>
      </c>
      <c r="D1557">
        <v>9</v>
      </c>
      <c r="E1557" s="1">
        <v>-4.484</v>
      </c>
      <c r="F1557" t="s">
        <v>26</v>
      </c>
      <c r="G1557" t="str">
        <f>_xlfn.XLOOKUP(transakcje[[#This Row],[podkategoria]],parametr[podkategoria],parametr[kategoria])</f>
        <v>życie</v>
      </c>
      <c r="H1557" t="str">
        <f>_xlfn.XLOOKUP(transakcje[[#This Row],[kategoria]],parametr[kategoria],parametr[typ])</f>
        <v>wydatki</v>
      </c>
      <c r="I1557" s="1">
        <f>ABS(transakcje[[#This Row],[kwota]])</f>
        <v>4.484</v>
      </c>
    </row>
    <row r="1558" spans="1:9" x14ac:dyDescent="0.3">
      <c r="A1558">
        <v>1557</v>
      </c>
      <c r="B1558">
        <v>2015</v>
      </c>
      <c r="C1558">
        <v>10</v>
      </c>
      <c r="D1558">
        <v>12</v>
      </c>
      <c r="E1558" s="1">
        <v>-1.9359999999999999</v>
      </c>
      <c r="F1558" t="s">
        <v>26</v>
      </c>
      <c r="G1558" t="str">
        <f>_xlfn.XLOOKUP(transakcje[[#This Row],[podkategoria]],parametr[podkategoria],parametr[kategoria])</f>
        <v>życie</v>
      </c>
      <c r="H1558" t="str">
        <f>_xlfn.XLOOKUP(transakcje[[#This Row],[kategoria]],parametr[kategoria],parametr[typ])</f>
        <v>wydatki</v>
      </c>
      <c r="I1558" s="1">
        <f>ABS(transakcje[[#This Row],[kwota]])</f>
        <v>1.9359999999999999</v>
      </c>
    </row>
    <row r="1559" spans="1:9" x14ac:dyDescent="0.3">
      <c r="A1559">
        <v>1558</v>
      </c>
      <c r="B1559">
        <v>2015</v>
      </c>
      <c r="C1559">
        <v>10</v>
      </c>
      <c r="D1559">
        <v>14</v>
      </c>
      <c r="E1559" s="1">
        <v>-0.39800000000000002</v>
      </c>
      <c r="F1559" t="s">
        <v>14</v>
      </c>
      <c r="G1559" t="str">
        <f>_xlfn.XLOOKUP(transakcje[[#This Row],[podkategoria]],parametr[podkategoria],parametr[kategoria])</f>
        <v>opłaty stałe</v>
      </c>
      <c r="H1559" t="str">
        <f>_xlfn.XLOOKUP(transakcje[[#This Row],[kategoria]],parametr[kategoria],parametr[typ])</f>
        <v>wydatki</v>
      </c>
      <c r="I1559" s="1">
        <f>ABS(transakcje[[#This Row],[kwota]])</f>
        <v>0.39800000000000002</v>
      </c>
    </row>
    <row r="1560" spans="1:9" x14ac:dyDescent="0.3">
      <c r="A1560">
        <v>1559</v>
      </c>
      <c r="B1560">
        <v>2015</v>
      </c>
      <c r="C1560">
        <v>10</v>
      </c>
      <c r="D1560">
        <v>14</v>
      </c>
      <c r="E1560" s="1">
        <v>-1.7260000000000002</v>
      </c>
      <c r="F1560" t="s">
        <v>26</v>
      </c>
      <c r="G1560" t="str">
        <f>_xlfn.XLOOKUP(transakcje[[#This Row],[podkategoria]],parametr[podkategoria],parametr[kategoria])</f>
        <v>życie</v>
      </c>
      <c r="H1560" t="str">
        <f>_xlfn.XLOOKUP(transakcje[[#This Row],[kategoria]],parametr[kategoria],parametr[typ])</f>
        <v>wydatki</v>
      </c>
      <c r="I1560" s="1">
        <f>ABS(transakcje[[#This Row],[kwota]])</f>
        <v>1.7260000000000002</v>
      </c>
    </row>
    <row r="1561" spans="1:9" x14ac:dyDescent="0.3">
      <c r="A1561">
        <v>1560</v>
      </c>
      <c r="B1561">
        <v>2015</v>
      </c>
      <c r="C1561">
        <v>10</v>
      </c>
      <c r="D1561">
        <v>15</v>
      </c>
      <c r="E1561" s="1">
        <v>84.2</v>
      </c>
      <c r="F1561" t="s">
        <v>16</v>
      </c>
      <c r="G1561" t="str">
        <f>_xlfn.XLOOKUP(transakcje[[#This Row],[podkategoria]],parametr[podkategoria],parametr[kategoria])</f>
        <v>dochody z pracy</v>
      </c>
      <c r="H1561" t="str">
        <f>_xlfn.XLOOKUP(transakcje[[#This Row],[kategoria]],parametr[kategoria],parametr[typ])</f>
        <v>dochody</v>
      </c>
      <c r="I1561" s="1">
        <f>ABS(transakcje[[#This Row],[kwota]])</f>
        <v>84.2</v>
      </c>
    </row>
    <row r="1562" spans="1:9" x14ac:dyDescent="0.3">
      <c r="A1562">
        <v>1561</v>
      </c>
      <c r="B1562">
        <v>2015</v>
      </c>
      <c r="C1562">
        <v>10</v>
      </c>
      <c r="D1562">
        <v>16</v>
      </c>
      <c r="E1562" s="1">
        <v>-0.8</v>
      </c>
      <c r="F1562" t="s">
        <v>14</v>
      </c>
      <c r="G1562" t="str">
        <f>_xlfn.XLOOKUP(transakcje[[#This Row],[podkategoria]],parametr[podkategoria],parametr[kategoria])</f>
        <v>opłaty stałe</v>
      </c>
      <c r="H1562" t="str">
        <f>_xlfn.XLOOKUP(transakcje[[#This Row],[kategoria]],parametr[kategoria],parametr[typ])</f>
        <v>wydatki</v>
      </c>
      <c r="I1562" s="1">
        <f>ABS(transakcje[[#This Row],[kwota]])</f>
        <v>0.8</v>
      </c>
    </row>
    <row r="1563" spans="1:9" x14ac:dyDescent="0.3">
      <c r="A1563">
        <v>1562</v>
      </c>
      <c r="B1563">
        <v>2015</v>
      </c>
      <c r="C1563">
        <v>10</v>
      </c>
      <c r="D1563">
        <v>16</v>
      </c>
      <c r="E1563" s="1">
        <v>-4.4619999999999997</v>
      </c>
      <c r="F1563" t="s">
        <v>26</v>
      </c>
      <c r="G1563" t="str">
        <f>_xlfn.XLOOKUP(transakcje[[#This Row],[podkategoria]],parametr[podkategoria],parametr[kategoria])</f>
        <v>życie</v>
      </c>
      <c r="H1563" t="str">
        <f>_xlfn.XLOOKUP(transakcje[[#This Row],[kategoria]],parametr[kategoria],parametr[typ])</f>
        <v>wydatki</v>
      </c>
      <c r="I1563" s="1">
        <f>ABS(transakcje[[#This Row],[kwota]])</f>
        <v>4.4619999999999997</v>
      </c>
    </row>
    <row r="1564" spans="1:9" x14ac:dyDescent="0.3">
      <c r="A1564">
        <v>1563</v>
      </c>
      <c r="B1564">
        <v>2015</v>
      </c>
      <c r="C1564">
        <v>10</v>
      </c>
      <c r="D1564">
        <v>17</v>
      </c>
      <c r="E1564" s="1">
        <v>-30.2</v>
      </c>
      <c r="F1564" t="s">
        <v>24</v>
      </c>
      <c r="G1564" t="str">
        <f>_xlfn.XLOOKUP(transakcje[[#This Row],[podkategoria]],parametr[podkategoria],parametr[kategoria])</f>
        <v>trwałe</v>
      </c>
      <c r="H1564" t="str">
        <f>_xlfn.XLOOKUP(transakcje[[#This Row],[kategoria]],parametr[kategoria],parametr[typ])</f>
        <v>wydatki</v>
      </c>
      <c r="I1564" s="1">
        <f>ABS(transakcje[[#This Row],[kwota]])</f>
        <v>30.2</v>
      </c>
    </row>
    <row r="1565" spans="1:9" x14ac:dyDescent="0.3">
      <c r="A1565">
        <v>1564</v>
      </c>
      <c r="B1565">
        <v>2015</v>
      </c>
      <c r="C1565">
        <v>10</v>
      </c>
      <c r="D1565">
        <v>19</v>
      </c>
      <c r="E1565" s="1">
        <v>-19.8</v>
      </c>
      <c r="F1565" t="s">
        <v>32</v>
      </c>
      <c r="G1565" t="str">
        <f>_xlfn.XLOOKUP(transakcje[[#This Row],[podkategoria]],parametr[podkategoria],parametr[kategoria])</f>
        <v>opłaty stałe</v>
      </c>
      <c r="H1565" t="str">
        <f>_xlfn.XLOOKUP(transakcje[[#This Row],[kategoria]],parametr[kategoria],parametr[typ])</f>
        <v>wydatki</v>
      </c>
      <c r="I1565" s="1">
        <f>ABS(transakcje[[#This Row],[kwota]])</f>
        <v>19.8</v>
      </c>
    </row>
    <row r="1566" spans="1:9" x14ac:dyDescent="0.3">
      <c r="A1566">
        <v>1565</v>
      </c>
      <c r="B1566">
        <v>2015</v>
      </c>
      <c r="C1566">
        <v>10</v>
      </c>
      <c r="D1566">
        <v>19</v>
      </c>
      <c r="E1566" s="1">
        <v>-6.7359999999999998</v>
      </c>
      <c r="F1566" t="s">
        <v>26</v>
      </c>
      <c r="G1566" t="str">
        <f>_xlfn.XLOOKUP(transakcje[[#This Row],[podkategoria]],parametr[podkategoria],parametr[kategoria])</f>
        <v>życie</v>
      </c>
      <c r="H1566" t="str">
        <f>_xlfn.XLOOKUP(transakcje[[#This Row],[kategoria]],parametr[kategoria],parametr[typ])</f>
        <v>wydatki</v>
      </c>
      <c r="I1566" s="1">
        <f>ABS(transakcje[[#This Row],[kwota]])</f>
        <v>6.7359999999999998</v>
      </c>
    </row>
    <row r="1567" spans="1:9" x14ac:dyDescent="0.3">
      <c r="A1567">
        <v>1566</v>
      </c>
      <c r="B1567">
        <v>2015</v>
      </c>
      <c r="C1567">
        <v>10</v>
      </c>
      <c r="D1567">
        <v>19</v>
      </c>
      <c r="E1567" s="1">
        <v>-1.0680000000000001</v>
      </c>
      <c r="F1567" t="s">
        <v>26</v>
      </c>
      <c r="G1567" t="str">
        <f>_xlfn.XLOOKUP(transakcje[[#This Row],[podkategoria]],parametr[podkategoria],parametr[kategoria])</f>
        <v>życie</v>
      </c>
      <c r="H1567" t="str">
        <f>_xlfn.XLOOKUP(transakcje[[#This Row],[kategoria]],parametr[kategoria],parametr[typ])</f>
        <v>wydatki</v>
      </c>
      <c r="I1567" s="1">
        <f>ABS(transakcje[[#This Row],[kwota]])</f>
        <v>1.0680000000000001</v>
      </c>
    </row>
    <row r="1568" spans="1:9" x14ac:dyDescent="0.3">
      <c r="A1568">
        <v>1567</v>
      </c>
      <c r="B1568">
        <v>2015</v>
      </c>
      <c r="C1568">
        <v>10</v>
      </c>
      <c r="D1568">
        <v>21</v>
      </c>
      <c r="E1568" s="1">
        <v>-0.53600000000000003</v>
      </c>
      <c r="F1568" t="s">
        <v>26</v>
      </c>
      <c r="G1568" t="str">
        <f>_xlfn.XLOOKUP(transakcje[[#This Row],[podkategoria]],parametr[podkategoria],parametr[kategoria])</f>
        <v>życie</v>
      </c>
      <c r="H1568" t="str">
        <f>_xlfn.XLOOKUP(transakcje[[#This Row],[kategoria]],parametr[kategoria],parametr[typ])</f>
        <v>wydatki</v>
      </c>
      <c r="I1568" s="1">
        <f>ABS(transakcje[[#This Row],[kwota]])</f>
        <v>0.53600000000000003</v>
      </c>
    </row>
    <row r="1569" spans="1:9" x14ac:dyDescent="0.3">
      <c r="A1569">
        <v>1568</v>
      </c>
      <c r="B1569">
        <v>2015</v>
      </c>
      <c r="C1569">
        <v>10</v>
      </c>
      <c r="D1569">
        <v>23</v>
      </c>
      <c r="E1569" s="1">
        <v>67.274000000000001</v>
      </c>
      <c r="F1569" t="s">
        <v>19</v>
      </c>
      <c r="G1569" t="str">
        <f>_xlfn.XLOOKUP(transakcje[[#This Row],[podkategoria]],parametr[podkategoria],parametr[kategoria])</f>
        <v>dochody z pracy</v>
      </c>
      <c r="H1569" t="str">
        <f>_xlfn.XLOOKUP(transakcje[[#This Row],[kategoria]],parametr[kategoria],parametr[typ])</f>
        <v>dochody</v>
      </c>
      <c r="I1569" s="1">
        <f>ABS(transakcje[[#This Row],[kwota]])</f>
        <v>67.274000000000001</v>
      </c>
    </row>
    <row r="1570" spans="1:9" x14ac:dyDescent="0.3">
      <c r="A1570">
        <v>1569</v>
      </c>
      <c r="B1570">
        <v>2015</v>
      </c>
      <c r="C1570">
        <v>10</v>
      </c>
      <c r="D1570">
        <v>23</v>
      </c>
      <c r="E1570" s="1">
        <v>243.83200000000002</v>
      </c>
      <c r="F1570" t="s">
        <v>19</v>
      </c>
      <c r="G1570" t="str">
        <f>_xlfn.XLOOKUP(transakcje[[#This Row],[podkategoria]],parametr[podkategoria],parametr[kategoria])</f>
        <v>dochody z pracy</v>
      </c>
      <c r="H1570" t="str">
        <f>_xlfn.XLOOKUP(transakcje[[#This Row],[kategoria]],parametr[kategoria],parametr[typ])</f>
        <v>dochody</v>
      </c>
      <c r="I1570" s="1">
        <f>ABS(transakcje[[#This Row],[kwota]])</f>
        <v>243.83200000000002</v>
      </c>
    </row>
    <row r="1571" spans="1:9" x14ac:dyDescent="0.3">
      <c r="A1571">
        <v>1570</v>
      </c>
      <c r="B1571">
        <v>2015</v>
      </c>
      <c r="C1571">
        <v>10</v>
      </c>
      <c r="D1571">
        <v>23</v>
      </c>
      <c r="E1571" s="1">
        <v>-7.581999999999999</v>
      </c>
      <c r="F1571" t="s">
        <v>26</v>
      </c>
      <c r="G1571" t="str">
        <f>_xlfn.XLOOKUP(transakcje[[#This Row],[podkategoria]],parametr[podkategoria],parametr[kategoria])</f>
        <v>życie</v>
      </c>
      <c r="H1571" t="str">
        <f>_xlfn.XLOOKUP(transakcje[[#This Row],[kategoria]],parametr[kategoria],parametr[typ])</f>
        <v>wydatki</v>
      </c>
      <c r="I1571" s="1">
        <f>ABS(transakcje[[#This Row],[kwota]])</f>
        <v>7.581999999999999</v>
      </c>
    </row>
    <row r="1572" spans="1:9" x14ac:dyDescent="0.3">
      <c r="A1572">
        <v>1571</v>
      </c>
      <c r="B1572">
        <v>2015</v>
      </c>
      <c r="C1572">
        <v>10</v>
      </c>
      <c r="D1572">
        <v>25</v>
      </c>
      <c r="E1572" s="1">
        <v>-25.977999999999998</v>
      </c>
      <c r="F1572" t="s">
        <v>26</v>
      </c>
      <c r="G1572" t="str">
        <f>_xlfn.XLOOKUP(transakcje[[#This Row],[podkategoria]],parametr[podkategoria],parametr[kategoria])</f>
        <v>życie</v>
      </c>
      <c r="H1572" t="str">
        <f>_xlfn.XLOOKUP(transakcje[[#This Row],[kategoria]],parametr[kategoria],parametr[typ])</f>
        <v>wydatki</v>
      </c>
      <c r="I1572" s="1">
        <f>ABS(transakcje[[#This Row],[kwota]])</f>
        <v>25.977999999999998</v>
      </c>
    </row>
    <row r="1573" spans="1:9" x14ac:dyDescent="0.3">
      <c r="A1573">
        <v>1572</v>
      </c>
      <c r="B1573">
        <v>2015</v>
      </c>
      <c r="C1573">
        <v>10</v>
      </c>
      <c r="D1573">
        <v>27</v>
      </c>
      <c r="E1573" s="1">
        <v>428.95799999999997</v>
      </c>
      <c r="F1573" t="s">
        <v>8</v>
      </c>
      <c r="G1573" t="str">
        <f>_xlfn.XLOOKUP(transakcje[[#This Row],[podkategoria]],parametr[podkategoria],parametr[kategoria])</f>
        <v>dochody z pracy</v>
      </c>
      <c r="H1573" t="str">
        <f>_xlfn.XLOOKUP(transakcje[[#This Row],[kategoria]],parametr[kategoria],parametr[typ])</f>
        <v>dochody</v>
      </c>
      <c r="I1573" s="1">
        <f>ABS(transakcje[[#This Row],[kwota]])</f>
        <v>428.95799999999997</v>
      </c>
    </row>
    <row r="1574" spans="1:9" x14ac:dyDescent="0.3">
      <c r="A1574">
        <v>1573</v>
      </c>
      <c r="B1574">
        <v>2015</v>
      </c>
      <c r="C1574">
        <v>10</v>
      </c>
      <c r="D1574">
        <v>29</v>
      </c>
      <c r="E1574" s="1">
        <v>-5.0419999999999998</v>
      </c>
      <c r="F1574" t="s">
        <v>26</v>
      </c>
      <c r="G1574" t="str">
        <f>_xlfn.XLOOKUP(transakcje[[#This Row],[podkategoria]],parametr[podkategoria],parametr[kategoria])</f>
        <v>życie</v>
      </c>
      <c r="H1574" t="str">
        <f>_xlfn.XLOOKUP(transakcje[[#This Row],[kategoria]],parametr[kategoria],parametr[typ])</f>
        <v>wydatki</v>
      </c>
      <c r="I1574" s="1">
        <f>ABS(transakcje[[#This Row],[kwota]])</f>
        <v>5.0419999999999998</v>
      </c>
    </row>
    <row r="1575" spans="1:9" x14ac:dyDescent="0.3">
      <c r="A1575">
        <v>1574</v>
      </c>
      <c r="B1575">
        <v>2015</v>
      </c>
      <c r="C1575">
        <v>10</v>
      </c>
      <c r="D1575">
        <v>31</v>
      </c>
      <c r="E1575" s="1">
        <v>4.0000000000000001E-3</v>
      </c>
      <c r="F1575" t="s">
        <v>17</v>
      </c>
      <c r="G1575" t="str">
        <f>_xlfn.XLOOKUP(transakcje[[#This Row],[podkategoria]],parametr[podkategoria],parametr[kategoria])</f>
        <v>dochody pozostałe</v>
      </c>
      <c r="H1575" t="str">
        <f>_xlfn.XLOOKUP(transakcje[[#This Row],[kategoria]],parametr[kategoria],parametr[typ])</f>
        <v>dochody</v>
      </c>
      <c r="I1575" s="1">
        <f>ABS(transakcje[[#This Row],[kwota]])</f>
        <v>4.0000000000000001E-3</v>
      </c>
    </row>
    <row r="1576" spans="1:9" x14ac:dyDescent="0.3">
      <c r="A1576">
        <v>1575</v>
      </c>
      <c r="B1576">
        <v>2015</v>
      </c>
      <c r="C1576">
        <v>10</v>
      </c>
      <c r="D1576">
        <v>31</v>
      </c>
      <c r="E1576" s="1">
        <v>-1.198</v>
      </c>
      <c r="F1576" t="s">
        <v>14</v>
      </c>
      <c r="G1576" t="str">
        <f>_xlfn.XLOOKUP(transakcje[[#This Row],[podkategoria]],parametr[podkategoria],parametr[kategoria])</f>
        <v>opłaty stałe</v>
      </c>
      <c r="H1576" t="str">
        <f>_xlfn.XLOOKUP(transakcje[[#This Row],[kategoria]],parametr[kategoria],parametr[typ])</f>
        <v>wydatki</v>
      </c>
      <c r="I1576" s="1">
        <f>ABS(transakcje[[#This Row],[kwota]])</f>
        <v>1.198</v>
      </c>
    </row>
    <row r="1577" spans="1:9" x14ac:dyDescent="0.3">
      <c r="A1577">
        <v>1576</v>
      </c>
      <c r="B1577">
        <v>2015</v>
      </c>
      <c r="C1577">
        <v>10</v>
      </c>
      <c r="D1577">
        <v>31</v>
      </c>
      <c r="E1577" s="1">
        <v>-0.8</v>
      </c>
      <c r="F1577" t="s">
        <v>14</v>
      </c>
      <c r="G1577" t="str">
        <f>_xlfn.XLOOKUP(transakcje[[#This Row],[podkategoria]],parametr[podkategoria],parametr[kategoria])</f>
        <v>opłaty stałe</v>
      </c>
      <c r="H1577" t="str">
        <f>_xlfn.XLOOKUP(transakcje[[#This Row],[kategoria]],parametr[kategoria],parametr[typ])</f>
        <v>wydatki</v>
      </c>
      <c r="I1577" s="1">
        <f>ABS(transakcje[[#This Row],[kwota]])</f>
        <v>0.8</v>
      </c>
    </row>
    <row r="1578" spans="1:9" x14ac:dyDescent="0.3">
      <c r="A1578">
        <v>1577</v>
      </c>
      <c r="B1578">
        <v>2015</v>
      </c>
      <c r="C1578">
        <v>10</v>
      </c>
      <c r="D1578">
        <v>31</v>
      </c>
      <c r="E1578" s="1">
        <v>-2E-3</v>
      </c>
      <c r="F1578" t="s">
        <v>14</v>
      </c>
      <c r="G1578" t="str">
        <f>_xlfn.XLOOKUP(transakcje[[#This Row],[podkategoria]],parametr[podkategoria],parametr[kategoria])</f>
        <v>opłaty stałe</v>
      </c>
      <c r="H1578" t="str">
        <f>_xlfn.XLOOKUP(transakcje[[#This Row],[kategoria]],parametr[kategoria],parametr[typ])</f>
        <v>wydatki</v>
      </c>
      <c r="I1578" s="1">
        <f>ABS(transakcje[[#This Row],[kwota]])</f>
        <v>2E-3</v>
      </c>
    </row>
    <row r="1579" spans="1:9" x14ac:dyDescent="0.3">
      <c r="A1579">
        <v>1578</v>
      </c>
      <c r="B1579">
        <v>2015</v>
      </c>
      <c r="C1579">
        <v>11</v>
      </c>
      <c r="D1579">
        <v>1</v>
      </c>
      <c r="E1579" s="1">
        <v>-5.9979999999999993</v>
      </c>
      <c r="F1579" t="s">
        <v>25</v>
      </c>
      <c r="G1579" t="str">
        <f>_xlfn.XLOOKUP(transakcje[[#This Row],[podkategoria]],parametr[podkategoria],parametr[kategoria])</f>
        <v>opłaty stałe</v>
      </c>
      <c r="H1579" t="str">
        <f>_xlfn.XLOOKUP(transakcje[[#This Row],[kategoria]],parametr[kategoria],parametr[typ])</f>
        <v>wydatki</v>
      </c>
      <c r="I1579" s="1">
        <f>ABS(transakcje[[#This Row],[kwota]])</f>
        <v>5.9979999999999993</v>
      </c>
    </row>
    <row r="1580" spans="1:9" x14ac:dyDescent="0.3">
      <c r="A1580">
        <v>1579</v>
      </c>
      <c r="B1580">
        <v>2015</v>
      </c>
      <c r="C1580">
        <v>11</v>
      </c>
      <c r="D1580">
        <v>1</v>
      </c>
      <c r="E1580" s="1">
        <v>-59.765999999999998</v>
      </c>
      <c r="F1580" t="s">
        <v>31</v>
      </c>
      <c r="G1580" t="str">
        <f>_xlfn.XLOOKUP(transakcje[[#This Row],[podkategoria]],parametr[podkategoria],parametr[kategoria])</f>
        <v>opłaty stałe</v>
      </c>
      <c r="H1580" t="str">
        <f>_xlfn.XLOOKUP(transakcje[[#This Row],[kategoria]],parametr[kategoria],parametr[typ])</f>
        <v>wydatki</v>
      </c>
      <c r="I1580" s="1">
        <f>ABS(transakcje[[#This Row],[kwota]])</f>
        <v>59.765999999999998</v>
      </c>
    </row>
    <row r="1581" spans="1:9" x14ac:dyDescent="0.3">
      <c r="A1581">
        <v>1580</v>
      </c>
      <c r="B1581">
        <v>2015</v>
      </c>
      <c r="C1581">
        <v>11</v>
      </c>
      <c r="D1581">
        <v>1</v>
      </c>
      <c r="E1581" s="1">
        <v>-1.1499999999999999</v>
      </c>
      <c r="F1581" t="s">
        <v>11</v>
      </c>
      <c r="G1581" t="str">
        <f>_xlfn.XLOOKUP(transakcje[[#This Row],[podkategoria]],parametr[podkategoria],parametr[kategoria])</f>
        <v>wydatki inne</v>
      </c>
      <c r="H1581" t="str">
        <f>_xlfn.XLOOKUP(transakcje[[#This Row],[kategoria]],parametr[kategoria],parametr[typ])</f>
        <v>wydatki</v>
      </c>
      <c r="I1581" s="1">
        <f>ABS(transakcje[[#This Row],[kwota]])</f>
        <v>1.1499999999999999</v>
      </c>
    </row>
    <row r="1582" spans="1:9" x14ac:dyDescent="0.3">
      <c r="A1582">
        <v>1581</v>
      </c>
      <c r="B1582">
        <v>2015</v>
      </c>
      <c r="C1582">
        <v>11</v>
      </c>
      <c r="D1582">
        <v>1</v>
      </c>
      <c r="E1582" s="1">
        <v>-7.38</v>
      </c>
      <c r="F1582" t="s">
        <v>23</v>
      </c>
      <c r="G1582" t="str">
        <f>_xlfn.XLOOKUP(transakcje[[#This Row],[podkategoria]],parametr[podkategoria],parametr[kategoria])</f>
        <v>opłaty stałe</v>
      </c>
      <c r="H1582" t="str">
        <f>_xlfn.XLOOKUP(transakcje[[#This Row],[kategoria]],parametr[kategoria],parametr[typ])</f>
        <v>wydatki</v>
      </c>
      <c r="I1582" s="1">
        <f>ABS(transakcje[[#This Row],[kwota]])</f>
        <v>7.38</v>
      </c>
    </row>
    <row r="1583" spans="1:9" x14ac:dyDescent="0.3">
      <c r="A1583">
        <v>1582</v>
      </c>
      <c r="B1583">
        <v>2015</v>
      </c>
      <c r="C1583">
        <v>11</v>
      </c>
      <c r="D1583">
        <v>1</v>
      </c>
      <c r="E1583" s="1">
        <v>-14.34</v>
      </c>
      <c r="F1583" t="s">
        <v>34</v>
      </c>
      <c r="G1583" t="str">
        <f>_xlfn.XLOOKUP(transakcje[[#This Row],[podkategoria]],parametr[podkategoria],parametr[kategoria])</f>
        <v>opłaty stałe</v>
      </c>
      <c r="H1583" t="str">
        <f>_xlfn.XLOOKUP(transakcje[[#This Row],[kategoria]],parametr[kategoria],parametr[typ])</f>
        <v>wydatki</v>
      </c>
      <c r="I1583" s="1">
        <f>ABS(transakcje[[#This Row],[kwota]])</f>
        <v>14.34</v>
      </c>
    </row>
    <row r="1584" spans="1:9" x14ac:dyDescent="0.3">
      <c r="A1584">
        <v>1583</v>
      </c>
      <c r="B1584">
        <v>2015</v>
      </c>
      <c r="C1584">
        <v>11</v>
      </c>
      <c r="D1584">
        <v>2</v>
      </c>
      <c r="E1584" s="1">
        <v>-6.1</v>
      </c>
      <c r="F1584" t="s">
        <v>35</v>
      </c>
      <c r="G1584" t="str">
        <f>_xlfn.XLOOKUP(transakcje[[#This Row],[podkategoria]],parametr[podkategoria],parametr[kategoria])</f>
        <v>opłaty stałe</v>
      </c>
      <c r="H1584" t="str">
        <f>_xlfn.XLOOKUP(transakcje[[#This Row],[kategoria]],parametr[kategoria],parametr[typ])</f>
        <v>wydatki</v>
      </c>
      <c r="I1584" s="1">
        <f>ABS(transakcje[[#This Row],[kwota]])</f>
        <v>6.1</v>
      </c>
    </row>
    <row r="1585" spans="1:9" x14ac:dyDescent="0.3">
      <c r="A1585">
        <v>1584</v>
      </c>
      <c r="B1585">
        <v>2015</v>
      </c>
      <c r="C1585">
        <v>11</v>
      </c>
      <c r="D1585">
        <v>2</v>
      </c>
      <c r="E1585" s="1">
        <v>-2.9039999999999999</v>
      </c>
      <c r="F1585" t="s">
        <v>26</v>
      </c>
      <c r="G1585" t="str">
        <f>_xlfn.XLOOKUP(transakcje[[#This Row],[podkategoria]],parametr[podkategoria],parametr[kategoria])</f>
        <v>życie</v>
      </c>
      <c r="H1585" t="str">
        <f>_xlfn.XLOOKUP(transakcje[[#This Row],[kategoria]],parametr[kategoria],parametr[typ])</f>
        <v>wydatki</v>
      </c>
      <c r="I1585" s="1">
        <f>ABS(transakcje[[#This Row],[kwota]])</f>
        <v>2.9039999999999999</v>
      </c>
    </row>
    <row r="1586" spans="1:9" x14ac:dyDescent="0.3">
      <c r="A1586">
        <v>1585</v>
      </c>
      <c r="B1586">
        <v>2015</v>
      </c>
      <c r="C1586">
        <v>11</v>
      </c>
      <c r="D1586">
        <v>4</v>
      </c>
      <c r="E1586" s="1">
        <v>-1.9140000000000001</v>
      </c>
      <c r="F1586" t="s">
        <v>26</v>
      </c>
      <c r="G1586" t="str">
        <f>_xlfn.XLOOKUP(transakcje[[#This Row],[podkategoria]],parametr[podkategoria],parametr[kategoria])</f>
        <v>życie</v>
      </c>
      <c r="H1586" t="str">
        <f>_xlfn.XLOOKUP(transakcje[[#This Row],[kategoria]],parametr[kategoria],parametr[typ])</f>
        <v>wydatki</v>
      </c>
      <c r="I1586" s="1">
        <f>ABS(transakcje[[#This Row],[kwota]])</f>
        <v>1.9140000000000001</v>
      </c>
    </row>
    <row r="1587" spans="1:9" x14ac:dyDescent="0.3">
      <c r="A1587">
        <v>1586</v>
      </c>
      <c r="B1587">
        <v>2015</v>
      </c>
      <c r="C1587">
        <v>11</v>
      </c>
      <c r="D1587">
        <v>5</v>
      </c>
      <c r="E1587" s="1">
        <v>-28.377999999999997</v>
      </c>
      <c r="F1587" t="s">
        <v>26</v>
      </c>
      <c r="G1587" t="str">
        <f>_xlfn.XLOOKUP(transakcje[[#This Row],[podkategoria]],parametr[podkategoria],parametr[kategoria])</f>
        <v>życie</v>
      </c>
      <c r="H1587" t="str">
        <f>_xlfn.XLOOKUP(transakcje[[#This Row],[kategoria]],parametr[kategoria],parametr[typ])</f>
        <v>wydatki</v>
      </c>
      <c r="I1587" s="1">
        <f>ABS(transakcje[[#This Row],[kwota]])</f>
        <v>28.377999999999997</v>
      </c>
    </row>
    <row r="1588" spans="1:9" x14ac:dyDescent="0.3">
      <c r="A1588">
        <v>1587</v>
      </c>
      <c r="B1588">
        <v>2015</v>
      </c>
      <c r="C1588">
        <v>11</v>
      </c>
      <c r="D1588">
        <v>9</v>
      </c>
      <c r="E1588" s="1">
        <v>-1.85</v>
      </c>
      <c r="F1588" t="s">
        <v>26</v>
      </c>
      <c r="G1588" t="str">
        <f>_xlfn.XLOOKUP(transakcje[[#This Row],[podkategoria]],parametr[podkategoria],parametr[kategoria])</f>
        <v>życie</v>
      </c>
      <c r="H1588" t="str">
        <f>_xlfn.XLOOKUP(transakcje[[#This Row],[kategoria]],parametr[kategoria],parametr[typ])</f>
        <v>wydatki</v>
      </c>
      <c r="I1588" s="1">
        <f>ABS(transakcje[[#This Row],[kwota]])</f>
        <v>1.85</v>
      </c>
    </row>
    <row r="1589" spans="1:9" x14ac:dyDescent="0.3">
      <c r="A1589">
        <v>1588</v>
      </c>
      <c r="B1589">
        <v>2015</v>
      </c>
      <c r="C1589">
        <v>11</v>
      </c>
      <c r="D1589">
        <v>10</v>
      </c>
      <c r="E1589" s="1">
        <v>-7.4239999999999995</v>
      </c>
      <c r="F1589" t="s">
        <v>26</v>
      </c>
      <c r="G1589" t="str">
        <f>_xlfn.XLOOKUP(transakcje[[#This Row],[podkategoria]],parametr[podkategoria],parametr[kategoria])</f>
        <v>życie</v>
      </c>
      <c r="H1589" t="str">
        <f>_xlfn.XLOOKUP(transakcje[[#This Row],[kategoria]],parametr[kategoria],parametr[typ])</f>
        <v>wydatki</v>
      </c>
      <c r="I1589" s="1">
        <f>ABS(transakcje[[#This Row],[kwota]])</f>
        <v>7.4239999999999995</v>
      </c>
    </row>
    <row r="1590" spans="1:9" x14ac:dyDescent="0.3">
      <c r="A1590">
        <v>1589</v>
      </c>
      <c r="B1590">
        <v>2015</v>
      </c>
      <c r="C1590">
        <v>11</v>
      </c>
      <c r="D1590">
        <v>13</v>
      </c>
      <c r="E1590" s="1">
        <v>-0.39800000000000002</v>
      </c>
      <c r="F1590" t="s">
        <v>14</v>
      </c>
      <c r="G1590" t="str">
        <f>_xlfn.XLOOKUP(transakcje[[#This Row],[podkategoria]],parametr[podkategoria],parametr[kategoria])</f>
        <v>opłaty stałe</v>
      </c>
      <c r="H1590" t="str">
        <f>_xlfn.XLOOKUP(transakcje[[#This Row],[kategoria]],parametr[kategoria],parametr[typ])</f>
        <v>wydatki</v>
      </c>
      <c r="I1590" s="1">
        <f>ABS(transakcje[[#This Row],[kwota]])</f>
        <v>0.39800000000000002</v>
      </c>
    </row>
    <row r="1591" spans="1:9" x14ac:dyDescent="0.3">
      <c r="A1591">
        <v>1590</v>
      </c>
      <c r="B1591">
        <v>2015</v>
      </c>
      <c r="C1591">
        <v>11</v>
      </c>
      <c r="D1591">
        <v>13</v>
      </c>
      <c r="E1591" s="1">
        <v>-4.8319999999999999</v>
      </c>
      <c r="F1591" t="s">
        <v>26</v>
      </c>
      <c r="G1591" t="str">
        <f>_xlfn.XLOOKUP(transakcje[[#This Row],[podkategoria]],parametr[podkategoria],parametr[kategoria])</f>
        <v>życie</v>
      </c>
      <c r="H1591" t="str">
        <f>_xlfn.XLOOKUP(transakcje[[#This Row],[kategoria]],parametr[kategoria],parametr[typ])</f>
        <v>wydatki</v>
      </c>
      <c r="I1591" s="1">
        <f>ABS(transakcje[[#This Row],[kwota]])</f>
        <v>4.8319999999999999</v>
      </c>
    </row>
    <row r="1592" spans="1:9" x14ac:dyDescent="0.3">
      <c r="A1592">
        <v>1591</v>
      </c>
      <c r="B1592">
        <v>2015</v>
      </c>
      <c r="C1592">
        <v>11</v>
      </c>
      <c r="D1592">
        <v>13</v>
      </c>
      <c r="E1592" s="1">
        <v>-2.3079999999999998</v>
      </c>
      <c r="F1592" t="s">
        <v>26</v>
      </c>
      <c r="G1592" t="str">
        <f>_xlfn.XLOOKUP(transakcje[[#This Row],[podkategoria]],parametr[podkategoria],parametr[kategoria])</f>
        <v>życie</v>
      </c>
      <c r="H1592" t="str">
        <f>_xlfn.XLOOKUP(transakcje[[#This Row],[kategoria]],parametr[kategoria],parametr[typ])</f>
        <v>wydatki</v>
      </c>
      <c r="I1592" s="1">
        <f>ABS(transakcje[[#This Row],[kwota]])</f>
        <v>2.3079999999999998</v>
      </c>
    </row>
    <row r="1593" spans="1:9" x14ac:dyDescent="0.3">
      <c r="A1593">
        <v>1592</v>
      </c>
      <c r="B1593">
        <v>2015</v>
      </c>
      <c r="C1593">
        <v>11</v>
      </c>
      <c r="D1593">
        <v>14</v>
      </c>
      <c r="E1593" s="1">
        <v>-34.198</v>
      </c>
      <c r="F1593" t="s">
        <v>24</v>
      </c>
      <c r="G1593" t="str">
        <f>_xlfn.XLOOKUP(transakcje[[#This Row],[podkategoria]],parametr[podkategoria],parametr[kategoria])</f>
        <v>trwałe</v>
      </c>
      <c r="H1593" t="str">
        <f>_xlfn.XLOOKUP(transakcje[[#This Row],[kategoria]],parametr[kategoria],parametr[typ])</f>
        <v>wydatki</v>
      </c>
      <c r="I1593" s="1">
        <f>ABS(transakcje[[#This Row],[kwota]])</f>
        <v>34.198</v>
      </c>
    </row>
    <row r="1594" spans="1:9" x14ac:dyDescent="0.3">
      <c r="A1594">
        <v>1593</v>
      </c>
      <c r="B1594">
        <v>2015</v>
      </c>
      <c r="C1594">
        <v>11</v>
      </c>
      <c r="D1594">
        <v>16</v>
      </c>
      <c r="E1594" s="1">
        <v>-0.8</v>
      </c>
      <c r="F1594" t="s">
        <v>14</v>
      </c>
      <c r="G1594" t="str">
        <f>_xlfn.XLOOKUP(transakcje[[#This Row],[podkategoria]],parametr[podkategoria],parametr[kategoria])</f>
        <v>opłaty stałe</v>
      </c>
      <c r="H1594" t="str">
        <f>_xlfn.XLOOKUP(transakcje[[#This Row],[kategoria]],parametr[kategoria],parametr[typ])</f>
        <v>wydatki</v>
      </c>
      <c r="I1594" s="1">
        <f>ABS(transakcje[[#This Row],[kwota]])</f>
        <v>0.8</v>
      </c>
    </row>
    <row r="1595" spans="1:9" x14ac:dyDescent="0.3">
      <c r="A1595">
        <v>1594</v>
      </c>
      <c r="B1595">
        <v>2015</v>
      </c>
      <c r="C1595">
        <v>11</v>
      </c>
      <c r="D1595">
        <v>17</v>
      </c>
      <c r="E1595" s="1">
        <v>-5.8659999999999997</v>
      </c>
      <c r="F1595" t="s">
        <v>26</v>
      </c>
      <c r="G1595" t="str">
        <f>_xlfn.XLOOKUP(transakcje[[#This Row],[podkategoria]],parametr[podkategoria],parametr[kategoria])</f>
        <v>życie</v>
      </c>
      <c r="H1595" t="str">
        <f>_xlfn.XLOOKUP(transakcje[[#This Row],[kategoria]],parametr[kategoria],parametr[typ])</f>
        <v>wydatki</v>
      </c>
      <c r="I1595" s="1">
        <f>ABS(transakcje[[#This Row],[kwota]])</f>
        <v>5.8659999999999997</v>
      </c>
    </row>
    <row r="1596" spans="1:9" x14ac:dyDescent="0.3">
      <c r="A1596">
        <v>1595</v>
      </c>
      <c r="B1596">
        <v>2015</v>
      </c>
      <c r="C1596">
        <v>11</v>
      </c>
      <c r="D1596">
        <v>20</v>
      </c>
      <c r="E1596" s="1">
        <v>-2.3719999999999999</v>
      </c>
      <c r="F1596" t="s">
        <v>26</v>
      </c>
      <c r="G1596" t="str">
        <f>_xlfn.XLOOKUP(transakcje[[#This Row],[podkategoria]],parametr[podkategoria],parametr[kategoria])</f>
        <v>życie</v>
      </c>
      <c r="H1596" t="str">
        <f>_xlfn.XLOOKUP(transakcje[[#This Row],[kategoria]],parametr[kategoria],parametr[typ])</f>
        <v>wydatki</v>
      </c>
      <c r="I1596" s="1">
        <f>ABS(transakcje[[#This Row],[kwota]])</f>
        <v>2.3719999999999999</v>
      </c>
    </row>
    <row r="1597" spans="1:9" x14ac:dyDescent="0.3">
      <c r="A1597">
        <v>1596</v>
      </c>
      <c r="B1597">
        <v>2015</v>
      </c>
      <c r="C1597">
        <v>11</v>
      </c>
      <c r="D1597">
        <v>21</v>
      </c>
      <c r="E1597" s="1">
        <v>-16.553999999999998</v>
      </c>
      <c r="F1597" t="s">
        <v>26</v>
      </c>
      <c r="G1597" t="str">
        <f>_xlfn.XLOOKUP(transakcje[[#This Row],[podkategoria]],parametr[podkategoria],parametr[kategoria])</f>
        <v>życie</v>
      </c>
      <c r="H1597" t="str">
        <f>_xlfn.XLOOKUP(transakcje[[#This Row],[kategoria]],parametr[kategoria],parametr[typ])</f>
        <v>wydatki</v>
      </c>
      <c r="I1597" s="1">
        <f>ABS(transakcje[[#This Row],[kwota]])</f>
        <v>16.553999999999998</v>
      </c>
    </row>
    <row r="1598" spans="1:9" x14ac:dyDescent="0.3">
      <c r="A1598">
        <v>1597</v>
      </c>
      <c r="B1598">
        <v>2015</v>
      </c>
      <c r="C1598">
        <v>11</v>
      </c>
      <c r="D1598">
        <v>22</v>
      </c>
      <c r="E1598" s="1">
        <v>12.007999999999999</v>
      </c>
      <c r="F1598" t="s">
        <v>17</v>
      </c>
      <c r="G1598" t="str">
        <f>_xlfn.XLOOKUP(transakcje[[#This Row],[podkategoria]],parametr[podkategoria],parametr[kategoria])</f>
        <v>dochody pozostałe</v>
      </c>
      <c r="H1598" t="str">
        <f>_xlfn.XLOOKUP(transakcje[[#This Row],[kategoria]],parametr[kategoria],parametr[typ])</f>
        <v>dochody</v>
      </c>
      <c r="I1598" s="1">
        <f>ABS(transakcje[[#This Row],[kwota]])</f>
        <v>12.007999999999999</v>
      </c>
    </row>
    <row r="1599" spans="1:9" x14ac:dyDescent="0.3">
      <c r="A1599">
        <v>1598</v>
      </c>
      <c r="B1599">
        <v>2015</v>
      </c>
      <c r="C1599">
        <v>11</v>
      </c>
      <c r="D1599">
        <v>23</v>
      </c>
      <c r="E1599" s="1">
        <v>-23.4</v>
      </c>
      <c r="F1599" t="s">
        <v>11</v>
      </c>
      <c r="G1599" t="str">
        <f>_xlfn.XLOOKUP(transakcje[[#This Row],[podkategoria]],parametr[podkategoria],parametr[kategoria])</f>
        <v>wydatki inne</v>
      </c>
      <c r="H1599" t="str">
        <f>_xlfn.XLOOKUP(transakcje[[#This Row],[kategoria]],parametr[kategoria],parametr[typ])</f>
        <v>wydatki</v>
      </c>
      <c r="I1599" s="1">
        <f>ABS(transakcje[[#This Row],[kwota]])</f>
        <v>23.4</v>
      </c>
    </row>
    <row r="1600" spans="1:9" x14ac:dyDescent="0.3">
      <c r="A1600">
        <v>1599</v>
      </c>
      <c r="B1600">
        <v>2015</v>
      </c>
      <c r="C1600">
        <v>11</v>
      </c>
      <c r="D1600">
        <v>25</v>
      </c>
      <c r="E1600" s="1">
        <v>-1.0660000000000001</v>
      </c>
      <c r="F1600" t="s">
        <v>26</v>
      </c>
      <c r="G1600" t="str">
        <f>_xlfn.XLOOKUP(transakcje[[#This Row],[podkategoria]],parametr[podkategoria],parametr[kategoria])</f>
        <v>życie</v>
      </c>
      <c r="H1600" t="str">
        <f>_xlfn.XLOOKUP(transakcje[[#This Row],[kategoria]],parametr[kategoria],parametr[typ])</f>
        <v>wydatki</v>
      </c>
      <c r="I1600" s="1">
        <f>ABS(transakcje[[#This Row],[kwota]])</f>
        <v>1.0660000000000001</v>
      </c>
    </row>
    <row r="1601" spans="1:9" x14ac:dyDescent="0.3">
      <c r="A1601">
        <v>1600</v>
      </c>
      <c r="B1601">
        <v>2015</v>
      </c>
      <c r="C1601">
        <v>11</v>
      </c>
      <c r="D1601">
        <v>26</v>
      </c>
      <c r="E1601" s="1">
        <v>432.53800000000001</v>
      </c>
      <c r="F1601" t="s">
        <v>8</v>
      </c>
      <c r="G1601" t="str">
        <f>_xlfn.XLOOKUP(transakcje[[#This Row],[podkategoria]],parametr[podkategoria],parametr[kategoria])</f>
        <v>dochody z pracy</v>
      </c>
      <c r="H1601" t="str">
        <f>_xlfn.XLOOKUP(transakcje[[#This Row],[kategoria]],parametr[kategoria],parametr[typ])</f>
        <v>dochody</v>
      </c>
      <c r="I1601" s="1">
        <f>ABS(transakcje[[#This Row],[kwota]])</f>
        <v>432.53800000000001</v>
      </c>
    </row>
    <row r="1602" spans="1:9" x14ac:dyDescent="0.3">
      <c r="A1602">
        <v>1601</v>
      </c>
      <c r="B1602">
        <v>2015</v>
      </c>
      <c r="C1602">
        <v>11</v>
      </c>
      <c r="D1602">
        <v>26</v>
      </c>
      <c r="E1602" s="1">
        <v>-8.4959999999999987</v>
      </c>
      <c r="F1602" t="s">
        <v>26</v>
      </c>
      <c r="G1602" t="str">
        <f>_xlfn.XLOOKUP(transakcje[[#This Row],[podkategoria]],parametr[podkategoria],parametr[kategoria])</f>
        <v>życie</v>
      </c>
      <c r="H1602" t="str">
        <f>_xlfn.XLOOKUP(transakcje[[#This Row],[kategoria]],parametr[kategoria],parametr[typ])</f>
        <v>wydatki</v>
      </c>
      <c r="I1602" s="1">
        <f>ABS(transakcje[[#This Row],[kwota]])</f>
        <v>8.4959999999999987</v>
      </c>
    </row>
    <row r="1603" spans="1:9" x14ac:dyDescent="0.3">
      <c r="A1603">
        <v>1602</v>
      </c>
      <c r="B1603">
        <v>2015</v>
      </c>
      <c r="C1603">
        <v>11</v>
      </c>
      <c r="D1603">
        <v>27</v>
      </c>
      <c r="E1603" s="1">
        <v>-9.8420000000000005</v>
      </c>
      <c r="F1603" t="s">
        <v>26</v>
      </c>
      <c r="G1603" t="str">
        <f>_xlfn.XLOOKUP(transakcje[[#This Row],[podkategoria]],parametr[podkategoria],parametr[kategoria])</f>
        <v>życie</v>
      </c>
      <c r="H1603" t="str">
        <f>_xlfn.XLOOKUP(transakcje[[#This Row],[kategoria]],parametr[kategoria],parametr[typ])</f>
        <v>wydatki</v>
      </c>
      <c r="I1603" s="1">
        <f>ABS(transakcje[[#This Row],[kwota]])</f>
        <v>9.8420000000000005</v>
      </c>
    </row>
    <row r="1604" spans="1:9" x14ac:dyDescent="0.3">
      <c r="A1604">
        <v>1603</v>
      </c>
      <c r="B1604">
        <v>2015</v>
      </c>
      <c r="C1604">
        <v>11</v>
      </c>
      <c r="D1604">
        <v>27</v>
      </c>
      <c r="E1604" s="1">
        <v>-1.1160000000000001</v>
      </c>
      <c r="F1604" t="s">
        <v>26</v>
      </c>
      <c r="G1604" t="str">
        <f>_xlfn.XLOOKUP(transakcje[[#This Row],[podkategoria]],parametr[podkategoria],parametr[kategoria])</f>
        <v>życie</v>
      </c>
      <c r="H1604" t="str">
        <f>_xlfn.XLOOKUP(transakcje[[#This Row],[kategoria]],parametr[kategoria],parametr[typ])</f>
        <v>wydatki</v>
      </c>
      <c r="I1604" s="1">
        <f>ABS(transakcje[[#This Row],[kwota]])</f>
        <v>1.1160000000000001</v>
      </c>
    </row>
    <row r="1605" spans="1:9" x14ac:dyDescent="0.3">
      <c r="A1605">
        <v>1604</v>
      </c>
      <c r="B1605">
        <v>2015</v>
      </c>
      <c r="C1605">
        <v>11</v>
      </c>
      <c r="D1605">
        <v>29</v>
      </c>
      <c r="E1605" s="1">
        <v>-31.598000000000003</v>
      </c>
      <c r="F1605" t="s">
        <v>26</v>
      </c>
      <c r="G1605" t="str">
        <f>_xlfn.XLOOKUP(transakcje[[#This Row],[podkategoria]],parametr[podkategoria],parametr[kategoria])</f>
        <v>życie</v>
      </c>
      <c r="H1605" t="str">
        <f>_xlfn.XLOOKUP(transakcje[[#This Row],[kategoria]],parametr[kategoria],parametr[typ])</f>
        <v>wydatki</v>
      </c>
      <c r="I1605" s="1">
        <f>ABS(transakcje[[#This Row],[kwota]])</f>
        <v>31.598000000000003</v>
      </c>
    </row>
    <row r="1606" spans="1:9" x14ac:dyDescent="0.3">
      <c r="A1606">
        <v>1605</v>
      </c>
      <c r="B1606">
        <v>2015</v>
      </c>
      <c r="C1606">
        <v>11</v>
      </c>
      <c r="D1606">
        <v>30</v>
      </c>
      <c r="E1606" s="1">
        <v>2E-3</v>
      </c>
      <c r="F1606" t="s">
        <v>17</v>
      </c>
      <c r="G1606" t="str">
        <f>_xlfn.XLOOKUP(transakcje[[#This Row],[podkategoria]],parametr[podkategoria],parametr[kategoria])</f>
        <v>dochody pozostałe</v>
      </c>
      <c r="H1606" t="str">
        <f>_xlfn.XLOOKUP(transakcje[[#This Row],[kategoria]],parametr[kategoria],parametr[typ])</f>
        <v>dochody</v>
      </c>
      <c r="I1606" s="1">
        <f>ABS(transakcje[[#This Row],[kwota]])</f>
        <v>2E-3</v>
      </c>
    </row>
    <row r="1607" spans="1:9" x14ac:dyDescent="0.3">
      <c r="A1607">
        <v>1606</v>
      </c>
      <c r="B1607">
        <v>2015</v>
      </c>
      <c r="C1607">
        <v>11</v>
      </c>
      <c r="D1607">
        <v>30</v>
      </c>
      <c r="E1607" s="1">
        <v>-1.198</v>
      </c>
      <c r="F1607" t="s">
        <v>14</v>
      </c>
      <c r="G1607" t="str">
        <f>_xlfn.XLOOKUP(transakcje[[#This Row],[podkategoria]],parametr[podkategoria],parametr[kategoria])</f>
        <v>opłaty stałe</v>
      </c>
      <c r="H1607" t="str">
        <f>_xlfn.XLOOKUP(transakcje[[#This Row],[kategoria]],parametr[kategoria],parametr[typ])</f>
        <v>wydatki</v>
      </c>
      <c r="I1607" s="1">
        <f>ABS(transakcje[[#This Row],[kwota]])</f>
        <v>1.198</v>
      </c>
    </row>
    <row r="1608" spans="1:9" x14ac:dyDescent="0.3">
      <c r="A1608">
        <v>1607</v>
      </c>
      <c r="B1608">
        <v>2015</v>
      </c>
      <c r="C1608">
        <v>11</v>
      </c>
      <c r="D1608">
        <v>30</v>
      </c>
      <c r="E1608" s="1">
        <v>-2E-3</v>
      </c>
      <c r="F1608" t="s">
        <v>14</v>
      </c>
      <c r="G1608" t="str">
        <f>_xlfn.XLOOKUP(transakcje[[#This Row],[podkategoria]],parametr[podkategoria],parametr[kategoria])</f>
        <v>opłaty stałe</v>
      </c>
      <c r="H1608" t="str">
        <f>_xlfn.XLOOKUP(transakcje[[#This Row],[kategoria]],parametr[kategoria],parametr[typ])</f>
        <v>wydatki</v>
      </c>
      <c r="I1608" s="1">
        <f>ABS(transakcje[[#This Row],[kwota]])</f>
        <v>2E-3</v>
      </c>
    </row>
    <row r="1609" spans="1:9" x14ac:dyDescent="0.3">
      <c r="A1609">
        <v>1608</v>
      </c>
      <c r="B1609">
        <v>2015</v>
      </c>
      <c r="C1609">
        <v>12</v>
      </c>
      <c r="D1609">
        <v>3</v>
      </c>
      <c r="E1609" s="1">
        <v>-0.51</v>
      </c>
      <c r="F1609" t="s">
        <v>26</v>
      </c>
      <c r="G1609" t="str">
        <f>_xlfn.XLOOKUP(transakcje[[#This Row],[podkategoria]],parametr[podkategoria],parametr[kategoria])</f>
        <v>życie</v>
      </c>
      <c r="H1609" t="str">
        <f>_xlfn.XLOOKUP(transakcje[[#This Row],[kategoria]],parametr[kategoria],parametr[typ])</f>
        <v>wydatki</v>
      </c>
      <c r="I1609" s="1">
        <f>ABS(transakcje[[#This Row],[kwota]])</f>
        <v>0.51</v>
      </c>
    </row>
    <row r="1610" spans="1:9" x14ac:dyDescent="0.3">
      <c r="A1610">
        <v>1609</v>
      </c>
      <c r="B1610">
        <v>2015</v>
      </c>
      <c r="C1610">
        <v>12</v>
      </c>
      <c r="D1610">
        <v>4</v>
      </c>
      <c r="E1610" s="1">
        <v>-7.5359999999999996</v>
      </c>
      <c r="F1610" t="s">
        <v>26</v>
      </c>
      <c r="G1610" t="str">
        <f>_xlfn.XLOOKUP(transakcje[[#This Row],[podkategoria]],parametr[podkategoria],parametr[kategoria])</f>
        <v>życie</v>
      </c>
      <c r="H1610" t="str">
        <f>_xlfn.XLOOKUP(transakcje[[#This Row],[kategoria]],parametr[kategoria],parametr[typ])</f>
        <v>wydatki</v>
      </c>
      <c r="I1610" s="1">
        <f>ABS(transakcje[[#This Row],[kwota]])</f>
        <v>7.5359999999999996</v>
      </c>
    </row>
    <row r="1611" spans="1:9" x14ac:dyDescent="0.3">
      <c r="A1611">
        <v>1610</v>
      </c>
      <c r="B1611">
        <v>2015</v>
      </c>
      <c r="C1611">
        <v>12</v>
      </c>
      <c r="D1611">
        <v>5</v>
      </c>
      <c r="E1611" s="1">
        <v>-59.765999999999998</v>
      </c>
      <c r="F1611" t="s">
        <v>31</v>
      </c>
      <c r="G1611" t="str">
        <f>_xlfn.XLOOKUP(transakcje[[#This Row],[podkategoria]],parametr[podkategoria],parametr[kategoria])</f>
        <v>opłaty stałe</v>
      </c>
      <c r="H1611" t="str">
        <f>_xlfn.XLOOKUP(transakcje[[#This Row],[kategoria]],parametr[kategoria],parametr[typ])</f>
        <v>wydatki</v>
      </c>
      <c r="I1611" s="1">
        <f>ABS(transakcje[[#This Row],[kwota]])</f>
        <v>59.765999999999998</v>
      </c>
    </row>
    <row r="1612" spans="1:9" x14ac:dyDescent="0.3">
      <c r="A1612">
        <v>1611</v>
      </c>
      <c r="B1612">
        <v>2015</v>
      </c>
      <c r="C1612">
        <v>12</v>
      </c>
      <c r="D1612">
        <v>5</v>
      </c>
      <c r="E1612" s="1">
        <v>-7.38</v>
      </c>
      <c r="F1612" t="s">
        <v>23</v>
      </c>
      <c r="G1612" t="str">
        <f>_xlfn.XLOOKUP(transakcje[[#This Row],[podkategoria]],parametr[podkategoria],parametr[kategoria])</f>
        <v>opłaty stałe</v>
      </c>
      <c r="H1612" t="str">
        <f>_xlfn.XLOOKUP(transakcje[[#This Row],[kategoria]],parametr[kategoria],parametr[typ])</f>
        <v>wydatki</v>
      </c>
      <c r="I1612" s="1">
        <f>ABS(transakcje[[#This Row],[kwota]])</f>
        <v>7.38</v>
      </c>
    </row>
    <row r="1613" spans="1:9" x14ac:dyDescent="0.3">
      <c r="A1613">
        <v>1612</v>
      </c>
      <c r="B1613">
        <v>2015</v>
      </c>
      <c r="C1613">
        <v>12</v>
      </c>
      <c r="D1613">
        <v>5</v>
      </c>
      <c r="E1613" s="1">
        <v>-5.9979999999999993</v>
      </c>
      <c r="F1613" t="s">
        <v>25</v>
      </c>
      <c r="G1613" t="str">
        <f>_xlfn.XLOOKUP(transakcje[[#This Row],[podkategoria]],parametr[podkategoria],parametr[kategoria])</f>
        <v>opłaty stałe</v>
      </c>
      <c r="H1613" t="str">
        <f>_xlfn.XLOOKUP(transakcje[[#This Row],[kategoria]],parametr[kategoria],parametr[typ])</f>
        <v>wydatki</v>
      </c>
      <c r="I1613" s="1">
        <f>ABS(transakcje[[#This Row],[kwota]])</f>
        <v>5.9979999999999993</v>
      </c>
    </row>
    <row r="1614" spans="1:9" x14ac:dyDescent="0.3">
      <c r="A1614">
        <v>1613</v>
      </c>
      <c r="B1614">
        <v>2015</v>
      </c>
      <c r="C1614">
        <v>12</v>
      </c>
      <c r="D1614">
        <v>7</v>
      </c>
      <c r="E1614" s="1">
        <v>-3.9240000000000004</v>
      </c>
      <c r="F1614" t="s">
        <v>26</v>
      </c>
      <c r="G1614" t="str">
        <f>_xlfn.XLOOKUP(transakcje[[#This Row],[podkategoria]],parametr[podkategoria],parametr[kategoria])</f>
        <v>życie</v>
      </c>
      <c r="H1614" t="str">
        <f>_xlfn.XLOOKUP(transakcje[[#This Row],[kategoria]],parametr[kategoria],parametr[typ])</f>
        <v>wydatki</v>
      </c>
      <c r="I1614" s="1">
        <f>ABS(transakcje[[#This Row],[kwota]])</f>
        <v>3.9240000000000004</v>
      </c>
    </row>
    <row r="1615" spans="1:9" x14ac:dyDescent="0.3">
      <c r="A1615">
        <v>1614</v>
      </c>
      <c r="B1615">
        <v>2015</v>
      </c>
      <c r="C1615">
        <v>12</v>
      </c>
      <c r="D1615">
        <v>9</v>
      </c>
      <c r="E1615" s="1">
        <v>-7.6519999999999992</v>
      </c>
      <c r="F1615" t="s">
        <v>26</v>
      </c>
      <c r="G1615" t="str">
        <f>_xlfn.XLOOKUP(transakcje[[#This Row],[podkategoria]],parametr[podkategoria],parametr[kategoria])</f>
        <v>życie</v>
      </c>
      <c r="H1615" t="str">
        <f>_xlfn.XLOOKUP(transakcje[[#This Row],[kategoria]],parametr[kategoria],parametr[typ])</f>
        <v>wydatki</v>
      </c>
      <c r="I1615" s="1">
        <f>ABS(transakcje[[#This Row],[kwota]])</f>
        <v>7.6519999999999992</v>
      </c>
    </row>
    <row r="1616" spans="1:9" x14ac:dyDescent="0.3">
      <c r="A1616">
        <v>1615</v>
      </c>
      <c r="B1616">
        <v>2015</v>
      </c>
      <c r="C1616">
        <v>12</v>
      </c>
      <c r="D1616">
        <v>9</v>
      </c>
      <c r="E1616" s="1">
        <v>-0.54600000000000004</v>
      </c>
      <c r="F1616" t="s">
        <v>26</v>
      </c>
      <c r="G1616" t="str">
        <f>_xlfn.XLOOKUP(transakcje[[#This Row],[podkategoria]],parametr[podkategoria],parametr[kategoria])</f>
        <v>życie</v>
      </c>
      <c r="H1616" t="str">
        <f>_xlfn.XLOOKUP(transakcje[[#This Row],[kategoria]],parametr[kategoria],parametr[typ])</f>
        <v>wydatki</v>
      </c>
      <c r="I1616" s="1">
        <f>ABS(transakcje[[#This Row],[kwota]])</f>
        <v>0.54600000000000004</v>
      </c>
    </row>
    <row r="1617" spans="1:9" x14ac:dyDescent="0.3">
      <c r="A1617">
        <v>1616</v>
      </c>
      <c r="B1617">
        <v>2015</v>
      </c>
      <c r="C1617">
        <v>12</v>
      </c>
      <c r="D1617">
        <v>11</v>
      </c>
      <c r="E1617" s="1">
        <v>-0.39800000000000002</v>
      </c>
      <c r="F1617" t="s">
        <v>14</v>
      </c>
      <c r="G1617" t="str">
        <f>_xlfn.XLOOKUP(transakcje[[#This Row],[podkategoria]],parametr[podkategoria],parametr[kategoria])</f>
        <v>opłaty stałe</v>
      </c>
      <c r="H1617" t="str">
        <f>_xlfn.XLOOKUP(transakcje[[#This Row],[kategoria]],parametr[kategoria],parametr[typ])</f>
        <v>wydatki</v>
      </c>
      <c r="I1617" s="1">
        <f>ABS(transakcje[[#This Row],[kwota]])</f>
        <v>0.39800000000000002</v>
      </c>
    </row>
    <row r="1618" spans="1:9" x14ac:dyDescent="0.3">
      <c r="A1618">
        <v>1617</v>
      </c>
      <c r="B1618">
        <v>2015</v>
      </c>
      <c r="C1618">
        <v>12</v>
      </c>
      <c r="D1618">
        <v>11</v>
      </c>
      <c r="E1618" s="1">
        <v>-5.4240000000000004</v>
      </c>
      <c r="F1618" t="s">
        <v>26</v>
      </c>
      <c r="G1618" t="str">
        <f>_xlfn.XLOOKUP(transakcje[[#This Row],[podkategoria]],parametr[podkategoria],parametr[kategoria])</f>
        <v>życie</v>
      </c>
      <c r="H1618" t="str">
        <f>_xlfn.XLOOKUP(transakcje[[#This Row],[kategoria]],parametr[kategoria],parametr[typ])</f>
        <v>wydatki</v>
      </c>
      <c r="I1618" s="1">
        <f>ABS(transakcje[[#This Row],[kwota]])</f>
        <v>5.4240000000000004</v>
      </c>
    </row>
    <row r="1619" spans="1:9" x14ac:dyDescent="0.3">
      <c r="A1619">
        <v>1618</v>
      </c>
      <c r="B1619">
        <v>2015</v>
      </c>
      <c r="C1619">
        <v>12</v>
      </c>
      <c r="D1619">
        <v>14</v>
      </c>
      <c r="E1619" s="1">
        <v>-6</v>
      </c>
      <c r="F1619" t="s">
        <v>11</v>
      </c>
      <c r="G1619" t="str">
        <f>_xlfn.XLOOKUP(transakcje[[#This Row],[podkategoria]],parametr[podkategoria],parametr[kategoria])</f>
        <v>wydatki inne</v>
      </c>
      <c r="H1619" t="str">
        <f>_xlfn.XLOOKUP(transakcje[[#This Row],[kategoria]],parametr[kategoria],parametr[typ])</f>
        <v>wydatki</v>
      </c>
      <c r="I1619" s="1">
        <f>ABS(transakcje[[#This Row],[kwota]])</f>
        <v>6</v>
      </c>
    </row>
    <row r="1620" spans="1:9" x14ac:dyDescent="0.3">
      <c r="A1620">
        <v>1619</v>
      </c>
      <c r="B1620">
        <v>2015</v>
      </c>
      <c r="C1620">
        <v>12</v>
      </c>
      <c r="D1620">
        <v>15</v>
      </c>
      <c r="E1620" s="1">
        <v>-3.0760000000000001</v>
      </c>
      <c r="F1620" t="s">
        <v>26</v>
      </c>
      <c r="G1620" t="str">
        <f>_xlfn.XLOOKUP(transakcje[[#This Row],[podkategoria]],parametr[podkategoria],parametr[kategoria])</f>
        <v>życie</v>
      </c>
      <c r="H1620" t="str">
        <f>_xlfn.XLOOKUP(transakcje[[#This Row],[kategoria]],parametr[kategoria],parametr[typ])</f>
        <v>wydatki</v>
      </c>
      <c r="I1620" s="1">
        <f>ABS(transakcje[[#This Row],[kwota]])</f>
        <v>3.0760000000000001</v>
      </c>
    </row>
    <row r="1621" spans="1:9" x14ac:dyDescent="0.3">
      <c r="A1621">
        <v>1620</v>
      </c>
      <c r="B1621">
        <v>2015</v>
      </c>
      <c r="C1621">
        <v>12</v>
      </c>
      <c r="D1621">
        <v>15</v>
      </c>
      <c r="E1621" s="1">
        <v>-3.6520000000000001</v>
      </c>
      <c r="F1621" t="s">
        <v>26</v>
      </c>
      <c r="G1621" t="str">
        <f>_xlfn.XLOOKUP(transakcje[[#This Row],[podkategoria]],parametr[podkategoria],parametr[kategoria])</f>
        <v>życie</v>
      </c>
      <c r="H1621" t="str">
        <f>_xlfn.XLOOKUP(transakcje[[#This Row],[kategoria]],parametr[kategoria],parametr[typ])</f>
        <v>wydatki</v>
      </c>
      <c r="I1621" s="1">
        <f>ABS(transakcje[[#This Row],[kwota]])</f>
        <v>3.6520000000000001</v>
      </c>
    </row>
    <row r="1622" spans="1:9" x14ac:dyDescent="0.3">
      <c r="A1622">
        <v>1621</v>
      </c>
      <c r="B1622">
        <v>2015</v>
      </c>
      <c r="C1622">
        <v>12</v>
      </c>
      <c r="D1622">
        <v>16</v>
      </c>
      <c r="E1622" s="1">
        <v>-4</v>
      </c>
      <c r="F1622" t="s">
        <v>11</v>
      </c>
      <c r="G1622" t="str">
        <f>_xlfn.XLOOKUP(transakcje[[#This Row],[podkategoria]],parametr[podkategoria],parametr[kategoria])</f>
        <v>wydatki inne</v>
      </c>
      <c r="H1622" t="str">
        <f>_xlfn.XLOOKUP(transakcje[[#This Row],[kategoria]],parametr[kategoria],parametr[typ])</f>
        <v>wydatki</v>
      </c>
      <c r="I1622" s="1">
        <f>ABS(transakcje[[#This Row],[kwota]])</f>
        <v>4</v>
      </c>
    </row>
    <row r="1623" spans="1:9" x14ac:dyDescent="0.3">
      <c r="A1623">
        <v>1622</v>
      </c>
      <c r="B1623">
        <v>2015</v>
      </c>
      <c r="C1623">
        <v>12</v>
      </c>
      <c r="D1623">
        <v>16</v>
      </c>
      <c r="E1623" s="1">
        <v>-0.8</v>
      </c>
      <c r="F1623" t="s">
        <v>14</v>
      </c>
      <c r="G1623" t="str">
        <f>_xlfn.XLOOKUP(transakcje[[#This Row],[podkategoria]],parametr[podkategoria],parametr[kategoria])</f>
        <v>opłaty stałe</v>
      </c>
      <c r="H1623" t="str">
        <f>_xlfn.XLOOKUP(transakcje[[#This Row],[kategoria]],parametr[kategoria],parametr[typ])</f>
        <v>wydatki</v>
      </c>
      <c r="I1623" s="1">
        <f>ABS(transakcje[[#This Row],[kwota]])</f>
        <v>0.8</v>
      </c>
    </row>
    <row r="1624" spans="1:9" x14ac:dyDescent="0.3">
      <c r="A1624">
        <v>1623</v>
      </c>
      <c r="B1624">
        <v>2015</v>
      </c>
      <c r="C1624">
        <v>12</v>
      </c>
      <c r="D1624">
        <v>16</v>
      </c>
      <c r="E1624" s="1">
        <v>-0.24</v>
      </c>
      <c r="F1624" t="s">
        <v>26</v>
      </c>
      <c r="G1624" t="str">
        <f>_xlfn.XLOOKUP(transakcje[[#This Row],[podkategoria]],parametr[podkategoria],parametr[kategoria])</f>
        <v>życie</v>
      </c>
      <c r="H1624" t="str">
        <f>_xlfn.XLOOKUP(transakcje[[#This Row],[kategoria]],parametr[kategoria],parametr[typ])</f>
        <v>wydatki</v>
      </c>
      <c r="I1624" s="1">
        <f>ABS(transakcje[[#This Row],[kwota]])</f>
        <v>0.24</v>
      </c>
    </row>
    <row r="1625" spans="1:9" x14ac:dyDescent="0.3">
      <c r="A1625">
        <v>1624</v>
      </c>
      <c r="B1625">
        <v>2015</v>
      </c>
      <c r="C1625">
        <v>12</v>
      </c>
      <c r="D1625">
        <v>16</v>
      </c>
      <c r="E1625" s="1">
        <v>-1.34</v>
      </c>
      <c r="F1625" t="s">
        <v>26</v>
      </c>
      <c r="G1625" t="str">
        <f>_xlfn.XLOOKUP(transakcje[[#This Row],[podkategoria]],parametr[podkategoria],parametr[kategoria])</f>
        <v>życie</v>
      </c>
      <c r="H1625" t="str">
        <f>_xlfn.XLOOKUP(transakcje[[#This Row],[kategoria]],parametr[kategoria],parametr[typ])</f>
        <v>wydatki</v>
      </c>
      <c r="I1625" s="1">
        <f>ABS(transakcje[[#This Row],[kwota]])</f>
        <v>1.34</v>
      </c>
    </row>
    <row r="1626" spans="1:9" x14ac:dyDescent="0.3">
      <c r="A1626">
        <v>1625</v>
      </c>
      <c r="B1626">
        <v>2015</v>
      </c>
      <c r="C1626">
        <v>12</v>
      </c>
      <c r="D1626">
        <v>17</v>
      </c>
      <c r="E1626" s="1">
        <v>432.53800000000001</v>
      </c>
      <c r="F1626" t="s">
        <v>8</v>
      </c>
      <c r="G1626" t="str">
        <f>_xlfn.XLOOKUP(transakcje[[#This Row],[podkategoria]],parametr[podkategoria],parametr[kategoria])</f>
        <v>dochody z pracy</v>
      </c>
      <c r="H1626" t="str">
        <f>_xlfn.XLOOKUP(transakcje[[#This Row],[kategoria]],parametr[kategoria],parametr[typ])</f>
        <v>dochody</v>
      </c>
      <c r="I1626" s="1">
        <f>ABS(transakcje[[#This Row],[kwota]])</f>
        <v>432.53800000000001</v>
      </c>
    </row>
    <row r="1627" spans="1:9" x14ac:dyDescent="0.3">
      <c r="A1627">
        <v>1626</v>
      </c>
      <c r="B1627">
        <v>2015</v>
      </c>
      <c r="C1627">
        <v>12</v>
      </c>
      <c r="D1627">
        <v>18</v>
      </c>
      <c r="E1627" s="1">
        <v>-0.95</v>
      </c>
      <c r="F1627" t="s">
        <v>11</v>
      </c>
      <c r="G1627" t="str">
        <f>_xlfn.XLOOKUP(transakcje[[#This Row],[podkategoria]],parametr[podkategoria],parametr[kategoria])</f>
        <v>wydatki inne</v>
      </c>
      <c r="H1627" t="str">
        <f>_xlfn.XLOOKUP(transakcje[[#This Row],[kategoria]],parametr[kategoria],parametr[typ])</f>
        <v>wydatki</v>
      </c>
      <c r="I1627" s="1">
        <f>ABS(transakcje[[#This Row],[kwota]])</f>
        <v>0.95</v>
      </c>
    </row>
    <row r="1628" spans="1:9" x14ac:dyDescent="0.3">
      <c r="A1628">
        <v>1627</v>
      </c>
      <c r="B1628">
        <v>2015</v>
      </c>
      <c r="C1628">
        <v>12</v>
      </c>
      <c r="D1628">
        <v>22</v>
      </c>
      <c r="E1628" s="1">
        <v>40.200000000000003</v>
      </c>
      <c r="F1628" t="s">
        <v>16</v>
      </c>
      <c r="G1628" t="str">
        <f>_xlfn.XLOOKUP(transakcje[[#This Row],[podkategoria]],parametr[podkategoria],parametr[kategoria])</f>
        <v>dochody z pracy</v>
      </c>
      <c r="H1628" t="str">
        <f>_xlfn.XLOOKUP(transakcje[[#This Row],[kategoria]],parametr[kategoria],parametr[typ])</f>
        <v>dochody</v>
      </c>
      <c r="I1628" s="1">
        <f>ABS(transakcje[[#This Row],[kwota]])</f>
        <v>40.200000000000003</v>
      </c>
    </row>
    <row r="1629" spans="1:9" x14ac:dyDescent="0.3">
      <c r="A1629">
        <v>1628</v>
      </c>
      <c r="B1629">
        <v>2015</v>
      </c>
      <c r="C1629">
        <v>12</v>
      </c>
      <c r="D1629">
        <v>23</v>
      </c>
      <c r="E1629" s="1">
        <v>0.29199999999999998</v>
      </c>
      <c r="F1629" t="s">
        <v>17</v>
      </c>
      <c r="G1629" t="str">
        <f>_xlfn.XLOOKUP(transakcje[[#This Row],[podkategoria]],parametr[podkategoria],parametr[kategoria])</f>
        <v>dochody pozostałe</v>
      </c>
      <c r="H1629" t="str">
        <f>_xlfn.XLOOKUP(transakcje[[#This Row],[kategoria]],parametr[kategoria],parametr[typ])</f>
        <v>dochody</v>
      </c>
      <c r="I1629" s="1">
        <f>ABS(transakcje[[#This Row],[kwota]])</f>
        <v>0.29199999999999998</v>
      </c>
    </row>
    <row r="1630" spans="1:9" x14ac:dyDescent="0.3">
      <c r="A1630">
        <v>1629</v>
      </c>
      <c r="B1630">
        <v>2015</v>
      </c>
      <c r="C1630">
        <v>12</v>
      </c>
      <c r="D1630">
        <v>28</v>
      </c>
      <c r="E1630" s="1">
        <v>-13.98</v>
      </c>
      <c r="F1630" t="s">
        <v>11</v>
      </c>
      <c r="G1630" t="str">
        <f>_xlfn.XLOOKUP(transakcje[[#This Row],[podkategoria]],parametr[podkategoria],parametr[kategoria])</f>
        <v>wydatki inne</v>
      </c>
      <c r="H1630" t="str">
        <f>_xlfn.XLOOKUP(transakcje[[#This Row],[kategoria]],parametr[kategoria],parametr[typ])</f>
        <v>wydatki</v>
      </c>
      <c r="I1630" s="1">
        <f>ABS(transakcje[[#This Row],[kwota]])</f>
        <v>13.98</v>
      </c>
    </row>
    <row r="1631" spans="1:9" x14ac:dyDescent="0.3">
      <c r="A1631">
        <v>1630</v>
      </c>
      <c r="B1631">
        <v>2015</v>
      </c>
      <c r="C1631">
        <v>12</v>
      </c>
      <c r="D1631">
        <v>29</v>
      </c>
      <c r="E1631" s="1">
        <v>-19.8</v>
      </c>
      <c r="F1631" t="s">
        <v>32</v>
      </c>
      <c r="G1631" t="str">
        <f>_xlfn.XLOOKUP(transakcje[[#This Row],[podkategoria]],parametr[podkategoria],parametr[kategoria])</f>
        <v>opłaty stałe</v>
      </c>
      <c r="H1631" t="str">
        <f>_xlfn.XLOOKUP(transakcje[[#This Row],[kategoria]],parametr[kategoria],parametr[typ])</f>
        <v>wydatki</v>
      </c>
      <c r="I1631" s="1">
        <f>ABS(transakcje[[#This Row],[kwota]])</f>
        <v>19.8</v>
      </c>
    </row>
    <row r="1632" spans="1:9" x14ac:dyDescent="0.3">
      <c r="A1632">
        <v>1631</v>
      </c>
      <c r="B1632">
        <v>2015</v>
      </c>
      <c r="C1632">
        <v>12</v>
      </c>
      <c r="D1632">
        <v>29</v>
      </c>
      <c r="E1632" s="1">
        <v>248.14600000000002</v>
      </c>
      <c r="F1632" t="s">
        <v>19</v>
      </c>
      <c r="G1632" t="str">
        <f>_xlfn.XLOOKUP(transakcje[[#This Row],[podkategoria]],parametr[podkategoria],parametr[kategoria])</f>
        <v>dochody z pracy</v>
      </c>
      <c r="H1632" t="str">
        <f>_xlfn.XLOOKUP(transakcje[[#This Row],[kategoria]],parametr[kategoria],parametr[typ])</f>
        <v>dochody</v>
      </c>
      <c r="I1632" s="1">
        <f>ABS(transakcje[[#This Row],[kwota]])</f>
        <v>248.14600000000002</v>
      </c>
    </row>
    <row r="1633" spans="1:9" x14ac:dyDescent="0.3">
      <c r="A1633">
        <v>1632</v>
      </c>
      <c r="B1633">
        <v>2015</v>
      </c>
      <c r="C1633">
        <v>12</v>
      </c>
      <c r="D1633">
        <v>31</v>
      </c>
      <c r="E1633" s="1">
        <v>4.0000000000000001E-3</v>
      </c>
      <c r="F1633" t="s">
        <v>17</v>
      </c>
      <c r="G1633" t="str">
        <f>_xlfn.XLOOKUP(transakcje[[#This Row],[podkategoria]],parametr[podkategoria],parametr[kategoria])</f>
        <v>dochody pozostałe</v>
      </c>
      <c r="H1633" t="str">
        <f>_xlfn.XLOOKUP(transakcje[[#This Row],[kategoria]],parametr[kategoria],parametr[typ])</f>
        <v>dochody</v>
      </c>
      <c r="I1633" s="1">
        <f>ABS(transakcje[[#This Row],[kwota]])</f>
        <v>4.0000000000000001E-3</v>
      </c>
    </row>
    <row r="1634" spans="1:9" x14ac:dyDescent="0.3">
      <c r="A1634">
        <v>1633</v>
      </c>
      <c r="B1634">
        <v>2015</v>
      </c>
      <c r="C1634">
        <v>12</v>
      </c>
      <c r="D1634">
        <v>31</v>
      </c>
      <c r="E1634" s="1">
        <v>-1.198</v>
      </c>
      <c r="F1634" t="s">
        <v>14</v>
      </c>
      <c r="G1634" t="str">
        <f>_xlfn.XLOOKUP(transakcje[[#This Row],[podkategoria]],parametr[podkategoria],parametr[kategoria])</f>
        <v>opłaty stałe</v>
      </c>
      <c r="H1634" t="str">
        <f>_xlfn.XLOOKUP(transakcje[[#This Row],[kategoria]],parametr[kategoria],parametr[typ])</f>
        <v>wydatki</v>
      </c>
      <c r="I1634" s="1">
        <f>ABS(transakcje[[#This Row],[kwota]])</f>
        <v>1.198</v>
      </c>
    </row>
    <row r="1635" spans="1:9" x14ac:dyDescent="0.3">
      <c r="A1635">
        <v>1634</v>
      </c>
      <c r="B1635">
        <v>2015</v>
      </c>
      <c r="C1635">
        <v>12</v>
      </c>
      <c r="D1635">
        <v>31</v>
      </c>
      <c r="E1635" s="1">
        <v>-0.5</v>
      </c>
      <c r="F1635" t="s">
        <v>14</v>
      </c>
      <c r="G1635" t="str">
        <f>_xlfn.XLOOKUP(transakcje[[#This Row],[podkategoria]],parametr[podkategoria],parametr[kategoria])</f>
        <v>opłaty stałe</v>
      </c>
      <c r="H1635" t="str">
        <f>_xlfn.XLOOKUP(transakcje[[#This Row],[kategoria]],parametr[kategoria],parametr[typ])</f>
        <v>wydatki</v>
      </c>
      <c r="I1635" s="1">
        <f>ABS(transakcje[[#This Row],[kwota]])</f>
        <v>0.5</v>
      </c>
    </row>
    <row r="1636" spans="1:9" x14ac:dyDescent="0.3">
      <c r="A1636">
        <v>1635</v>
      </c>
      <c r="B1636">
        <v>2015</v>
      </c>
      <c r="C1636">
        <v>12</v>
      </c>
      <c r="D1636">
        <v>31</v>
      </c>
      <c r="E1636" s="1">
        <v>-2E-3</v>
      </c>
      <c r="F1636" t="s">
        <v>14</v>
      </c>
      <c r="G1636" t="str">
        <f>_xlfn.XLOOKUP(transakcje[[#This Row],[podkategoria]],parametr[podkategoria],parametr[kategoria])</f>
        <v>opłaty stałe</v>
      </c>
      <c r="H1636" t="str">
        <f>_xlfn.XLOOKUP(transakcje[[#This Row],[kategoria]],parametr[kategoria],parametr[typ])</f>
        <v>wydatki</v>
      </c>
      <c r="I1636" s="1">
        <f>ABS(transakcje[[#This Row],[kwota]])</f>
        <v>2E-3</v>
      </c>
    </row>
    <row r="1637" spans="1:9" x14ac:dyDescent="0.3">
      <c r="A1637">
        <v>1636</v>
      </c>
      <c r="B1637">
        <v>2016</v>
      </c>
      <c r="C1637">
        <v>1</v>
      </c>
      <c r="D1637">
        <v>1</v>
      </c>
      <c r="E1637" s="1">
        <v>-5.9979999999999993</v>
      </c>
      <c r="F1637" t="s">
        <v>25</v>
      </c>
      <c r="G1637" t="str">
        <f>_xlfn.XLOOKUP(transakcje[[#This Row],[podkategoria]],parametr[podkategoria],parametr[kategoria])</f>
        <v>opłaty stałe</v>
      </c>
      <c r="H1637" t="str">
        <f>_xlfn.XLOOKUP(transakcje[[#This Row],[kategoria]],parametr[kategoria],parametr[typ])</f>
        <v>wydatki</v>
      </c>
      <c r="I1637" s="1">
        <f>ABS(transakcje[[#This Row],[kwota]])</f>
        <v>5.9979999999999993</v>
      </c>
    </row>
    <row r="1638" spans="1:9" x14ac:dyDescent="0.3">
      <c r="A1638">
        <v>1637</v>
      </c>
      <c r="B1638">
        <v>2016</v>
      </c>
      <c r="C1638">
        <v>1</v>
      </c>
      <c r="D1638">
        <v>1</v>
      </c>
      <c r="E1638" s="1">
        <v>-6.15</v>
      </c>
      <c r="F1638" t="s">
        <v>35</v>
      </c>
      <c r="G1638" t="str">
        <f>_xlfn.XLOOKUP(transakcje[[#This Row],[podkategoria]],parametr[podkategoria],parametr[kategoria])</f>
        <v>opłaty stałe</v>
      </c>
      <c r="H1638" t="str">
        <f>_xlfn.XLOOKUP(transakcje[[#This Row],[kategoria]],parametr[kategoria],parametr[typ])</f>
        <v>wydatki</v>
      </c>
      <c r="I1638" s="1">
        <f>ABS(transakcje[[#This Row],[kwota]])</f>
        <v>6.15</v>
      </c>
    </row>
    <row r="1639" spans="1:9" x14ac:dyDescent="0.3">
      <c r="A1639">
        <v>1638</v>
      </c>
      <c r="B1639">
        <v>2016</v>
      </c>
      <c r="C1639">
        <v>1</v>
      </c>
      <c r="D1639">
        <v>1</v>
      </c>
      <c r="E1639" s="1">
        <v>-7.38</v>
      </c>
      <c r="F1639" t="s">
        <v>23</v>
      </c>
      <c r="G1639" t="str">
        <f>_xlfn.XLOOKUP(transakcje[[#This Row],[podkategoria]],parametr[podkategoria],parametr[kategoria])</f>
        <v>opłaty stałe</v>
      </c>
      <c r="H1639" t="str">
        <f>_xlfn.XLOOKUP(transakcje[[#This Row],[kategoria]],parametr[kategoria],parametr[typ])</f>
        <v>wydatki</v>
      </c>
      <c r="I1639" s="1">
        <f>ABS(transakcje[[#This Row],[kwota]])</f>
        <v>7.38</v>
      </c>
    </row>
    <row r="1640" spans="1:9" x14ac:dyDescent="0.3">
      <c r="A1640">
        <v>1639</v>
      </c>
      <c r="B1640">
        <v>2016</v>
      </c>
      <c r="C1640">
        <v>1</v>
      </c>
      <c r="D1640">
        <v>6</v>
      </c>
      <c r="E1640" s="1">
        <v>-4.54</v>
      </c>
      <c r="F1640" t="s">
        <v>37</v>
      </c>
      <c r="G1640" t="str">
        <f>_xlfn.XLOOKUP(transakcje[[#This Row],[podkategoria]],parametr[podkategoria],parametr[kategoria])</f>
        <v>opłaty stałe</v>
      </c>
      <c r="H1640" t="str">
        <f>_xlfn.XLOOKUP(transakcje[[#This Row],[kategoria]],parametr[kategoria],parametr[typ])</f>
        <v>wydatki</v>
      </c>
      <c r="I1640" s="1">
        <f>ABS(transakcje[[#This Row],[kwota]])</f>
        <v>4.54</v>
      </c>
    </row>
    <row r="1641" spans="1:9" x14ac:dyDescent="0.3">
      <c r="A1641">
        <v>1640</v>
      </c>
      <c r="B1641">
        <v>2016</v>
      </c>
      <c r="C1641">
        <v>1</v>
      </c>
      <c r="D1641">
        <v>7</v>
      </c>
      <c r="E1641" s="1">
        <v>-31.445999999999998</v>
      </c>
      <c r="F1641" t="s">
        <v>31</v>
      </c>
      <c r="G1641" t="str">
        <f>_xlfn.XLOOKUP(transakcje[[#This Row],[podkategoria]],parametr[podkategoria],parametr[kategoria])</f>
        <v>opłaty stałe</v>
      </c>
      <c r="H1641" t="str">
        <f>_xlfn.XLOOKUP(transakcje[[#This Row],[kategoria]],parametr[kategoria],parametr[typ])</f>
        <v>wydatki</v>
      </c>
      <c r="I1641" s="1">
        <f>ABS(transakcje[[#This Row],[kwota]])</f>
        <v>31.445999999999998</v>
      </c>
    </row>
    <row r="1642" spans="1:9" x14ac:dyDescent="0.3">
      <c r="A1642">
        <v>1641</v>
      </c>
      <c r="B1642">
        <v>2016</v>
      </c>
      <c r="C1642">
        <v>1</v>
      </c>
      <c r="D1642">
        <v>7</v>
      </c>
      <c r="E1642" s="1">
        <v>-6.952</v>
      </c>
      <c r="F1642" t="s">
        <v>26</v>
      </c>
      <c r="G1642" t="str">
        <f>_xlfn.XLOOKUP(transakcje[[#This Row],[podkategoria]],parametr[podkategoria],parametr[kategoria])</f>
        <v>życie</v>
      </c>
      <c r="H1642" t="str">
        <f>_xlfn.XLOOKUP(transakcje[[#This Row],[kategoria]],parametr[kategoria],parametr[typ])</f>
        <v>wydatki</v>
      </c>
      <c r="I1642" s="1">
        <f>ABS(transakcje[[#This Row],[kwota]])</f>
        <v>6.952</v>
      </c>
    </row>
    <row r="1643" spans="1:9" x14ac:dyDescent="0.3">
      <c r="A1643">
        <v>1642</v>
      </c>
      <c r="B1643">
        <v>2016</v>
      </c>
      <c r="C1643">
        <v>1</v>
      </c>
      <c r="D1643">
        <v>9</v>
      </c>
      <c r="E1643" s="1">
        <v>-1.4159999999999999</v>
      </c>
      <c r="F1643" t="s">
        <v>20</v>
      </c>
      <c r="G1643" t="str">
        <f>_xlfn.XLOOKUP(transakcje[[#This Row],[podkategoria]],parametr[podkategoria],parametr[kategoria])</f>
        <v>trwałe</v>
      </c>
      <c r="H1643" t="str">
        <f>_xlfn.XLOOKUP(transakcje[[#This Row],[kategoria]],parametr[kategoria],parametr[typ])</f>
        <v>wydatki</v>
      </c>
      <c r="I1643" s="1">
        <f>ABS(transakcje[[#This Row],[kwota]])</f>
        <v>1.4159999999999999</v>
      </c>
    </row>
    <row r="1644" spans="1:9" x14ac:dyDescent="0.3">
      <c r="A1644">
        <v>1643</v>
      </c>
      <c r="B1644">
        <v>2016</v>
      </c>
      <c r="C1644">
        <v>1</v>
      </c>
      <c r="D1644">
        <v>9</v>
      </c>
      <c r="E1644" s="1">
        <v>-11.122</v>
      </c>
      <c r="F1644" t="s">
        <v>34</v>
      </c>
      <c r="G1644" t="str">
        <f>_xlfn.XLOOKUP(transakcje[[#This Row],[podkategoria]],parametr[podkategoria],parametr[kategoria])</f>
        <v>opłaty stałe</v>
      </c>
      <c r="H1644" t="str">
        <f>_xlfn.XLOOKUP(transakcje[[#This Row],[kategoria]],parametr[kategoria],parametr[typ])</f>
        <v>wydatki</v>
      </c>
      <c r="I1644" s="1">
        <f>ABS(transakcje[[#This Row],[kwota]])</f>
        <v>11.122</v>
      </c>
    </row>
    <row r="1645" spans="1:9" x14ac:dyDescent="0.3">
      <c r="A1645">
        <v>1644</v>
      </c>
      <c r="B1645">
        <v>2016</v>
      </c>
      <c r="C1645">
        <v>1</v>
      </c>
      <c r="D1645">
        <v>13</v>
      </c>
      <c r="E1645" s="1">
        <v>-4.468</v>
      </c>
      <c r="F1645" t="s">
        <v>26</v>
      </c>
      <c r="G1645" t="str">
        <f>_xlfn.XLOOKUP(transakcje[[#This Row],[podkategoria]],parametr[podkategoria],parametr[kategoria])</f>
        <v>życie</v>
      </c>
      <c r="H1645" t="str">
        <f>_xlfn.XLOOKUP(transakcje[[#This Row],[kategoria]],parametr[kategoria],parametr[typ])</f>
        <v>wydatki</v>
      </c>
      <c r="I1645" s="1">
        <f>ABS(transakcje[[#This Row],[kwota]])</f>
        <v>4.468</v>
      </c>
    </row>
    <row r="1646" spans="1:9" x14ac:dyDescent="0.3">
      <c r="A1646">
        <v>1645</v>
      </c>
      <c r="B1646">
        <v>2016</v>
      </c>
      <c r="C1646">
        <v>1</v>
      </c>
      <c r="D1646">
        <v>16</v>
      </c>
      <c r="E1646" s="1">
        <v>-0.8</v>
      </c>
      <c r="F1646" t="s">
        <v>14</v>
      </c>
      <c r="G1646" t="str">
        <f>_xlfn.XLOOKUP(transakcje[[#This Row],[podkategoria]],parametr[podkategoria],parametr[kategoria])</f>
        <v>opłaty stałe</v>
      </c>
      <c r="H1646" t="str">
        <f>_xlfn.XLOOKUP(transakcje[[#This Row],[kategoria]],parametr[kategoria],parametr[typ])</f>
        <v>wydatki</v>
      </c>
      <c r="I1646" s="1">
        <f>ABS(transakcje[[#This Row],[kwota]])</f>
        <v>0.8</v>
      </c>
    </row>
    <row r="1647" spans="1:9" x14ac:dyDescent="0.3">
      <c r="A1647">
        <v>1646</v>
      </c>
      <c r="B1647">
        <v>2016</v>
      </c>
      <c r="C1647">
        <v>1</v>
      </c>
      <c r="D1647">
        <v>18</v>
      </c>
      <c r="E1647" s="1">
        <v>-1.61</v>
      </c>
      <c r="F1647" t="s">
        <v>26</v>
      </c>
      <c r="G1647" t="str">
        <f>_xlfn.XLOOKUP(transakcje[[#This Row],[podkategoria]],parametr[podkategoria],parametr[kategoria])</f>
        <v>życie</v>
      </c>
      <c r="H1647" t="str">
        <f>_xlfn.XLOOKUP(transakcje[[#This Row],[kategoria]],parametr[kategoria],parametr[typ])</f>
        <v>wydatki</v>
      </c>
      <c r="I1647" s="1">
        <f>ABS(transakcje[[#This Row],[kwota]])</f>
        <v>1.61</v>
      </c>
    </row>
    <row r="1648" spans="1:9" x14ac:dyDescent="0.3">
      <c r="A1648">
        <v>1647</v>
      </c>
      <c r="B1648">
        <v>2016</v>
      </c>
      <c r="C1648">
        <v>1</v>
      </c>
      <c r="D1648">
        <v>20</v>
      </c>
      <c r="E1648" s="1">
        <v>-0.39800000000000002</v>
      </c>
      <c r="F1648" t="s">
        <v>14</v>
      </c>
      <c r="G1648" t="str">
        <f>_xlfn.XLOOKUP(transakcje[[#This Row],[podkategoria]],parametr[podkategoria],parametr[kategoria])</f>
        <v>opłaty stałe</v>
      </c>
      <c r="H1648" t="str">
        <f>_xlfn.XLOOKUP(transakcje[[#This Row],[kategoria]],parametr[kategoria],parametr[typ])</f>
        <v>wydatki</v>
      </c>
      <c r="I1648" s="1">
        <f>ABS(transakcje[[#This Row],[kwota]])</f>
        <v>0.39800000000000002</v>
      </c>
    </row>
    <row r="1649" spans="1:9" x14ac:dyDescent="0.3">
      <c r="A1649">
        <v>1648</v>
      </c>
      <c r="B1649">
        <v>2016</v>
      </c>
      <c r="C1649">
        <v>1</v>
      </c>
      <c r="D1649">
        <v>21</v>
      </c>
      <c r="E1649" s="1">
        <v>-6.694</v>
      </c>
      <c r="F1649" t="s">
        <v>26</v>
      </c>
      <c r="G1649" t="str">
        <f>_xlfn.XLOOKUP(transakcje[[#This Row],[podkategoria]],parametr[podkategoria],parametr[kategoria])</f>
        <v>życie</v>
      </c>
      <c r="H1649" t="str">
        <f>_xlfn.XLOOKUP(transakcje[[#This Row],[kategoria]],parametr[kategoria],parametr[typ])</f>
        <v>wydatki</v>
      </c>
      <c r="I1649" s="1">
        <f>ABS(transakcje[[#This Row],[kwota]])</f>
        <v>6.694</v>
      </c>
    </row>
    <row r="1650" spans="1:9" x14ac:dyDescent="0.3">
      <c r="A1650">
        <v>1649</v>
      </c>
      <c r="B1650">
        <v>2016</v>
      </c>
      <c r="C1650">
        <v>1</v>
      </c>
      <c r="D1650">
        <v>21</v>
      </c>
      <c r="E1650" s="1">
        <v>-1</v>
      </c>
      <c r="F1650" t="s">
        <v>26</v>
      </c>
      <c r="G1650" t="str">
        <f>_xlfn.XLOOKUP(transakcje[[#This Row],[podkategoria]],parametr[podkategoria],parametr[kategoria])</f>
        <v>życie</v>
      </c>
      <c r="H1650" t="str">
        <f>_xlfn.XLOOKUP(transakcje[[#This Row],[kategoria]],parametr[kategoria],parametr[typ])</f>
        <v>wydatki</v>
      </c>
      <c r="I1650" s="1">
        <f>ABS(transakcje[[#This Row],[kwota]])</f>
        <v>1</v>
      </c>
    </row>
    <row r="1651" spans="1:9" x14ac:dyDescent="0.3">
      <c r="A1651">
        <v>1650</v>
      </c>
      <c r="B1651">
        <v>2016</v>
      </c>
      <c r="C1651">
        <v>1</v>
      </c>
      <c r="D1651">
        <v>26</v>
      </c>
      <c r="E1651" s="1">
        <v>-19.8</v>
      </c>
      <c r="F1651" t="s">
        <v>32</v>
      </c>
      <c r="G1651" t="str">
        <f>_xlfn.XLOOKUP(transakcje[[#This Row],[podkategoria]],parametr[podkategoria],parametr[kategoria])</f>
        <v>opłaty stałe</v>
      </c>
      <c r="H1651" t="str">
        <f>_xlfn.XLOOKUP(transakcje[[#This Row],[kategoria]],parametr[kategoria],parametr[typ])</f>
        <v>wydatki</v>
      </c>
      <c r="I1651" s="1">
        <f>ABS(transakcje[[#This Row],[kwota]])</f>
        <v>19.8</v>
      </c>
    </row>
    <row r="1652" spans="1:9" x14ac:dyDescent="0.3">
      <c r="A1652">
        <v>1651</v>
      </c>
      <c r="B1652">
        <v>2016</v>
      </c>
      <c r="C1652">
        <v>1</v>
      </c>
      <c r="D1652">
        <v>26</v>
      </c>
      <c r="E1652" s="1">
        <v>478.61400000000003</v>
      </c>
      <c r="F1652" t="s">
        <v>8</v>
      </c>
      <c r="G1652" t="str">
        <f>_xlfn.XLOOKUP(transakcje[[#This Row],[podkategoria]],parametr[podkategoria],parametr[kategoria])</f>
        <v>dochody z pracy</v>
      </c>
      <c r="H1652" t="str">
        <f>_xlfn.XLOOKUP(transakcje[[#This Row],[kategoria]],parametr[kategoria],parametr[typ])</f>
        <v>dochody</v>
      </c>
      <c r="I1652" s="1">
        <f>ABS(transakcje[[#This Row],[kwota]])</f>
        <v>478.61400000000003</v>
      </c>
    </row>
    <row r="1653" spans="1:9" x14ac:dyDescent="0.3">
      <c r="A1653">
        <v>1652</v>
      </c>
      <c r="B1653">
        <v>2016</v>
      </c>
      <c r="C1653">
        <v>1</v>
      </c>
      <c r="D1653">
        <v>27</v>
      </c>
      <c r="E1653" s="1">
        <v>-5.4859999999999998</v>
      </c>
      <c r="F1653" t="s">
        <v>26</v>
      </c>
      <c r="G1653" t="str">
        <f>_xlfn.XLOOKUP(transakcje[[#This Row],[podkategoria]],parametr[podkategoria],parametr[kategoria])</f>
        <v>życie</v>
      </c>
      <c r="H1653" t="str">
        <f>_xlfn.XLOOKUP(transakcje[[#This Row],[kategoria]],parametr[kategoria],parametr[typ])</f>
        <v>wydatki</v>
      </c>
      <c r="I1653" s="1">
        <f>ABS(transakcje[[#This Row],[kwota]])</f>
        <v>5.4859999999999998</v>
      </c>
    </row>
    <row r="1654" spans="1:9" x14ac:dyDescent="0.3">
      <c r="A1654">
        <v>1653</v>
      </c>
      <c r="B1654">
        <v>2016</v>
      </c>
      <c r="C1654">
        <v>1</v>
      </c>
      <c r="D1654">
        <v>30</v>
      </c>
      <c r="E1654" s="1">
        <v>-8.1999999999999993</v>
      </c>
      <c r="F1654" t="s">
        <v>36</v>
      </c>
      <c r="G1654" t="str">
        <f>_xlfn.XLOOKUP(transakcje[[#This Row],[podkategoria]],parametr[podkategoria],parametr[kategoria])</f>
        <v>opłaty stałe</v>
      </c>
      <c r="H1654" t="str">
        <f>_xlfn.XLOOKUP(transakcje[[#This Row],[kategoria]],parametr[kategoria],parametr[typ])</f>
        <v>wydatki</v>
      </c>
      <c r="I1654" s="1">
        <f>ABS(transakcje[[#This Row],[kwota]])</f>
        <v>8.1999999999999993</v>
      </c>
    </row>
    <row r="1655" spans="1:9" x14ac:dyDescent="0.3">
      <c r="A1655">
        <v>1654</v>
      </c>
      <c r="B1655">
        <v>2016</v>
      </c>
      <c r="C1655">
        <v>1</v>
      </c>
      <c r="D1655">
        <v>31</v>
      </c>
      <c r="E1655" s="1">
        <v>6.0000000000000001E-3</v>
      </c>
      <c r="F1655" t="s">
        <v>17</v>
      </c>
      <c r="G1655" t="str">
        <f>_xlfn.XLOOKUP(transakcje[[#This Row],[podkategoria]],parametr[podkategoria],parametr[kategoria])</f>
        <v>dochody pozostałe</v>
      </c>
      <c r="H1655" t="str">
        <f>_xlfn.XLOOKUP(transakcje[[#This Row],[kategoria]],parametr[kategoria],parametr[typ])</f>
        <v>dochody</v>
      </c>
      <c r="I1655" s="1">
        <f>ABS(transakcje[[#This Row],[kwota]])</f>
        <v>6.0000000000000001E-3</v>
      </c>
    </row>
    <row r="1656" spans="1:9" x14ac:dyDescent="0.3">
      <c r="A1656">
        <v>1655</v>
      </c>
      <c r="B1656">
        <v>2016</v>
      </c>
      <c r="C1656">
        <v>1</v>
      </c>
      <c r="D1656">
        <v>31</v>
      </c>
      <c r="E1656" s="1">
        <v>-1.198</v>
      </c>
      <c r="F1656" t="s">
        <v>14</v>
      </c>
      <c r="G1656" t="str">
        <f>_xlfn.XLOOKUP(transakcje[[#This Row],[podkategoria]],parametr[podkategoria],parametr[kategoria])</f>
        <v>opłaty stałe</v>
      </c>
      <c r="H1656" t="str">
        <f>_xlfn.XLOOKUP(transakcje[[#This Row],[kategoria]],parametr[kategoria],parametr[typ])</f>
        <v>wydatki</v>
      </c>
      <c r="I1656" s="1">
        <f>ABS(transakcje[[#This Row],[kwota]])</f>
        <v>1.198</v>
      </c>
    </row>
    <row r="1657" spans="1:9" x14ac:dyDescent="0.3">
      <c r="A1657">
        <v>1656</v>
      </c>
      <c r="B1657">
        <v>2016</v>
      </c>
      <c r="C1657">
        <v>1</v>
      </c>
      <c r="D1657">
        <v>31</v>
      </c>
      <c r="E1657" s="1">
        <v>-0.6</v>
      </c>
      <c r="F1657" t="s">
        <v>14</v>
      </c>
      <c r="G1657" t="str">
        <f>_xlfn.XLOOKUP(transakcje[[#This Row],[podkategoria]],parametr[podkategoria],parametr[kategoria])</f>
        <v>opłaty stałe</v>
      </c>
      <c r="H1657" t="str">
        <f>_xlfn.XLOOKUP(transakcje[[#This Row],[kategoria]],parametr[kategoria],parametr[typ])</f>
        <v>wydatki</v>
      </c>
      <c r="I1657" s="1">
        <f>ABS(transakcje[[#This Row],[kwota]])</f>
        <v>0.6</v>
      </c>
    </row>
    <row r="1658" spans="1:9" x14ac:dyDescent="0.3">
      <c r="A1658">
        <v>1657</v>
      </c>
      <c r="B1658">
        <v>2016</v>
      </c>
      <c r="C1658">
        <v>1</v>
      </c>
      <c r="D1658">
        <v>31</v>
      </c>
      <c r="E1658" s="1">
        <v>-2E-3</v>
      </c>
      <c r="F1658" t="s">
        <v>14</v>
      </c>
      <c r="G1658" t="str">
        <f>_xlfn.XLOOKUP(transakcje[[#This Row],[podkategoria]],parametr[podkategoria],parametr[kategoria])</f>
        <v>opłaty stałe</v>
      </c>
      <c r="H1658" t="str">
        <f>_xlfn.XLOOKUP(transakcje[[#This Row],[kategoria]],parametr[kategoria],parametr[typ])</f>
        <v>wydatki</v>
      </c>
      <c r="I1658" s="1">
        <f>ABS(transakcje[[#This Row],[kwota]])</f>
        <v>2E-3</v>
      </c>
    </row>
    <row r="1659" spans="1:9" x14ac:dyDescent="0.3">
      <c r="A1659">
        <v>1658</v>
      </c>
      <c r="B1659">
        <v>2016</v>
      </c>
      <c r="C1659">
        <v>2</v>
      </c>
      <c r="D1659">
        <v>1</v>
      </c>
      <c r="E1659" s="1">
        <v>-4.54</v>
      </c>
      <c r="F1659" t="s">
        <v>37</v>
      </c>
      <c r="G1659" t="str">
        <f>_xlfn.XLOOKUP(transakcje[[#This Row],[podkategoria]],parametr[podkategoria],parametr[kategoria])</f>
        <v>opłaty stałe</v>
      </c>
      <c r="H1659" t="str">
        <f>_xlfn.XLOOKUP(transakcje[[#This Row],[kategoria]],parametr[kategoria],parametr[typ])</f>
        <v>wydatki</v>
      </c>
      <c r="I1659" s="1">
        <f>ABS(transakcje[[#This Row],[kwota]])</f>
        <v>4.54</v>
      </c>
    </row>
    <row r="1660" spans="1:9" x14ac:dyDescent="0.3">
      <c r="A1660">
        <v>1659</v>
      </c>
      <c r="B1660">
        <v>2016</v>
      </c>
      <c r="C1660">
        <v>2</v>
      </c>
      <c r="D1660">
        <v>1</v>
      </c>
      <c r="E1660" s="1">
        <v>-61.69</v>
      </c>
      <c r="F1660" t="s">
        <v>31</v>
      </c>
      <c r="G1660" t="str">
        <f>_xlfn.XLOOKUP(transakcje[[#This Row],[podkategoria]],parametr[podkategoria],parametr[kategoria])</f>
        <v>opłaty stałe</v>
      </c>
      <c r="H1660" t="str">
        <f>_xlfn.XLOOKUP(transakcje[[#This Row],[kategoria]],parametr[kategoria],parametr[typ])</f>
        <v>wydatki</v>
      </c>
      <c r="I1660" s="1">
        <f>ABS(transakcje[[#This Row],[kwota]])</f>
        <v>61.69</v>
      </c>
    </row>
    <row r="1661" spans="1:9" x14ac:dyDescent="0.3">
      <c r="A1661">
        <v>1660</v>
      </c>
      <c r="B1661">
        <v>2016</v>
      </c>
      <c r="C1661">
        <v>2</v>
      </c>
      <c r="D1661">
        <v>1</v>
      </c>
      <c r="E1661" s="1">
        <v>-7.38</v>
      </c>
      <c r="F1661" t="s">
        <v>23</v>
      </c>
      <c r="G1661" t="str">
        <f>_xlfn.XLOOKUP(transakcje[[#This Row],[podkategoria]],parametr[podkategoria],parametr[kategoria])</f>
        <v>opłaty stałe</v>
      </c>
      <c r="H1661" t="str">
        <f>_xlfn.XLOOKUP(transakcje[[#This Row],[kategoria]],parametr[kategoria],parametr[typ])</f>
        <v>wydatki</v>
      </c>
      <c r="I1661" s="1">
        <f>ABS(transakcje[[#This Row],[kwota]])</f>
        <v>7.38</v>
      </c>
    </row>
    <row r="1662" spans="1:9" x14ac:dyDescent="0.3">
      <c r="A1662">
        <v>1661</v>
      </c>
      <c r="B1662">
        <v>2016</v>
      </c>
      <c r="C1662">
        <v>2</v>
      </c>
      <c r="D1662">
        <v>1</v>
      </c>
      <c r="E1662" s="1">
        <v>-5.9979999999999993</v>
      </c>
      <c r="F1662" t="s">
        <v>25</v>
      </c>
      <c r="G1662" t="str">
        <f>_xlfn.XLOOKUP(transakcje[[#This Row],[podkategoria]],parametr[podkategoria],parametr[kategoria])</f>
        <v>opłaty stałe</v>
      </c>
      <c r="H1662" t="str">
        <f>_xlfn.XLOOKUP(transakcje[[#This Row],[kategoria]],parametr[kategoria],parametr[typ])</f>
        <v>wydatki</v>
      </c>
      <c r="I1662" s="1">
        <f>ABS(transakcje[[#This Row],[kwota]])</f>
        <v>5.9979999999999993</v>
      </c>
    </row>
    <row r="1663" spans="1:9" x14ac:dyDescent="0.3">
      <c r="A1663">
        <v>1662</v>
      </c>
      <c r="B1663">
        <v>2016</v>
      </c>
      <c r="C1663">
        <v>2</v>
      </c>
      <c r="D1663">
        <v>2</v>
      </c>
      <c r="E1663" s="1">
        <v>-0.59800000000000009</v>
      </c>
      <c r="F1663" t="s">
        <v>26</v>
      </c>
      <c r="G1663" t="str">
        <f>_xlfn.XLOOKUP(transakcje[[#This Row],[podkategoria]],parametr[podkategoria],parametr[kategoria])</f>
        <v>życie</v>
      </c>
      <c r="H1663" t="str">
        <f>_xlfn.XLOOKUP(transakcje[[#This Row],[kategoria]],parametr[kategoria],parametr[typ])</f>
        <v>wydatki</v>
      </c>
      <c r="I1663" s="1">
        <f>ABS(transakcje[[#This Row],[kwota]])</f>
        <v>0.59800000000000009</v>
      </c>
    </row>
    <row r="1664" spans="1:9" x14ac:dyDescent="0.3">
      <c r="A1664">
        <v>1663</v>
      </c>
      <c r="B1664">
        <v>2016</v>
      </c>
      <c r="C1664">
        <v>2</v>
      </c>
      <c r="D1664">
        <v>4</v>
      </c>
      <c r="E1664" s="1">
        <v>424.63400000000001</v>
      </c>
      <c r="F1664" t="s">
        <v>22</v>
      </c>
      <c r="G1664" t="str">
        <f>_xlfn.XLOOKUP(transakcje[[#This Row],[podkategoria]],parametr[podkategoria],parametr[kategoria])</f>
        <v>dochody z pracy</v>
      </c>
      <c r="H1664" t="str">
        <f>_xlfn.XLOOKUP(transakcje[[#This Row],[kategoria]],parametr[kategoria],parametr[typ])</f>
        <v>dochody</v>
      </c>
      <c r="I1664" s="1">
        <f>ABS(transakcje[[#This Row],[kwota]])</f>
        <v>424.63400000000001</v>
      </c>
    </row>
    <row r="1665" spans="1:9" x14ac:dyDescent="0.3">
      <c r="A1665">
        <v>1664</v>
      </c>
      <c r="B1665">
        <v>2016</v>
      </c>
      <c r="C1665">
        <v>2</v>
      </c>
      <c r="D1665">
        <v>4</v>
      </c>
      <c r="E1665" s="1">
        <v>-0.24</v>
      </c>
      <c r="F1665" t="s">
        <v>26</v>
      </c>
      <c r="G1665" t="str">
        <f>_xlfn.XLOOKUP(transakcje[[#This Row],[podkategoria]],parametr[podkategoria],parametr[kategoria])</f>
        <v>życie</v>
      </c>
      <c r="H1665" t="str">
        <f>_xlfn.XLOOKUP(transakcje[[#This Row],[kategoria]],parametr[kategoria],parametr[typ])</f>
        <v>wydatki</v>
      </c>
      <c r="I1665" s="1">
        <f>ABS(transakcje[[#This Row],[kwota]])</f>
        <v>0.24</v>
      </c>
    </row>
    <row r="1666" spans="1:9" x14ac:dyDescent="0.3">
      <c r="A1666">
        <v>1665</v>
      </c>
      <c r="B1666">
        <v>2016</v>
      </c>
      <c r="C1666">
        <v>2</v>
      </c>
      <c r="D1666">
        <v>4</v>
      </c>
      <c r="E1666" s="1">
        <v>-11.95</v>
      </c>
      <c r="F1666" t="s">
        <v>26</v>
      </c>
      <c r="G1666" t="str">
        <f>_xlfn.XLOOKUP(transakcje[[#This Row],[podkategoria]],parametr[podkategoria],parametr[kategoria])</f>
        <v>życie</v>
      </c>
      <c r="H1666" t="str">
        <f>_xlfn.XLOOKUP(transakcje[[#This Row],[kategoria]],parametr[kategoria],parametr[typ])</f>
        <v>wydatki</v>
      </c>
      <c r="I1666" s="1">
        <f>ABS(transakcje[[#This Row],[kwota]])</f>
        <v>11.95</v>
      </c>
    </row>
    <row r="1667" spans="1:9" x14ac:dyDescent="0.3">
      <c r="A1667">
        <v>1666</v>
      </c>
      <c r="B1667">
        <v>2016</v>
      </c>
      <c r="C1667">
        <v>2</v>
      </c>
      <c r="D1667">
        <v>5</v>
      </c>
      <c r="E1667" s="1">
        <v>-0.48</v>
      </c>
      <c r="F1667" t="s">
        <v>26</v>
      </c>
      <c r="G1667" t="str">
        <f>_xlfn.XLOOKUP(transakcje[[#This Row],[podkategoria]],parametr[podkategoria],parametr[kategoria])</f>
        <v>życie</v>
      </c>
      <c r="H1667" t="str">
        <f>_xlfn.XLOOKUP(transakcje[[#This Row],[kategoria]],parametr[kategoria],parametr[typ])</f>
        <v>wydatki</v>
      </c>
      <c r="I1667" s="1">
        <f>ABS(transakcje[[#This Row],[kwota]])</f>
        <v>0.48</v>
      </c>
    </row>
    <row r="1668" spans="1:9" x14ac:dyDescent="0.3">
      <c r="A1668">
        <v>1667</v>
      </c>
      <c r="B1668">
        <v>2016</v>
      </c>
      <c r="C1668">
        <v>2</v>
      </c>
      <c r="D1668">
        <v>5</v>
      </c>
      <c r="E1668" s="1">
        <v>-1.3820000000000001</v>
      </c>
      <c r="F1668" t="s">
        <v>26</v>
      </c>
      <c r="G1668" t="str">
        <f>_xlfn.XLOOKUP(transakcje[[#This Row],[podkategoria]],parametr[podkategoria],parametr[kategoria])</f>
        <v>życie</v>
      </c>
      <c r="H1668" t="str">
        <f>_xlfn.XLOOKUP(transakcje[[#This Row],[kategoria]],parametr[kategoria],parametr[typ])</f>
        <v>wydatki</v>
      </c>
      <c r="I1668" s="1">
        <f>ABS(transakcje[[#This Row],[kwota]])</f>
        <v>1.3820000000000001</v>
      </c>
    </row>
    <row r="1669" spans="1:9" x14ac:dyDescent="0.3">
      <c r="A1669">
        <v>1668</v>
      </c>
      <c r="B1669">
        <v>2016</v>
      </c>
      <c r="C1669">
        <v>2</v>
      </c>
      <c r="D1669">
        <v>6</v>
      </c>
      <c r="E1669" s="1">
        <v>-1.998</v>
      </c>
      <c r="F1669" t="s">
        <v>11</v>
      </c>
      <c r="G1669" t="str">
        <f>_xlfn.XLOOKUP(transakcje[[#This Row],[podkategoria]],parametr[podkategoria],parametr[kategoria])</f>
        <v>wydatki inne</v>
      </c>
      <c r="H1669" t="str">
        <f>_xlfn.XLOOKUP(transakcje[[#This Row],[kategoria]],parametr[kategoria],parametr[typ])</f>
        <v>wydatki</v>
      </c>
      <c r="I1669" s="1">
        <f>ABS(transakcje[[#This Row],[kwota]])</f>
        <v>1.998</v>
      </c>
    </row>
    <row r="1670" spans="1:9" x14ac:dyDescent="0.3">
      <c r="A1670">
        <v>1669</v>
      </c>
      <c r="B1670">
        <v>2016</v>
      </c>
      <c r="C1670">
        <v>2</v>
      </c>
      <c r="D1670">
        <v>8</v>
      </c>
      <c r="E1670" s="1">
        <v>-35.998000000000005</v>
      </c>
      <c r="F1670" t="s">
        <v>24</v>
      </c>
      <c r="G1670" t="str">
        <f>_xlfn.XLOOKUP(transakcje[[#This Row],[podkategoria]],parametr[podkategoria],parametr[kategoria])</f>
        <v>trwałe</v>
      </c>
      <c r="H1670" t="str">
        <f>_xlfn.XLOOKUP(transakcje[[#This Row],[kategoria]],parametr[kategoria],parametr[typ])</f>
        <v>wydatki</v>
      </c>
      <c r="I1670" s="1">
        <f>ABS(transakcje[[#This Row],[kwota]])</f>
        <v>35.998000000000005</v>
      </c>
    </row>
    <row r="1671" spans="1:9" x14ac:dyDescent="0.3">
      <c r="A1671">
        <v>1670</v>
      </c>
      <c r="B1671">
        <v>2016</v>
      </c>
      <c r="C1671">
        <v>2</v>
      </c>
      <c r="D1671">
        <v>9</v>
      </c>
      <c r="E1671" s="1">
        <v>-0.53800000000000003</v>
      </c>
      <c r="F1671" t="s">
        <v>26</v>
      </c>
      <c r="G1671" t="str">
        <f>_xlfn.XLOOKUP(transakcje[[#This Row],[podkategoria]],parametr[podkategoria],parametr[kategoria])</f>
        <v>życie</v>
      </c>
      <c r="H1671" t="str">
        <f>_xlfn.XLOOKUP(transakcje[[#This Row],[kategoria]],parametr[kategoria],parametr[typ])</f>
        <v>wydatki</v>
      </c>
      <c r="I1671" s="1">
        <f>ABS(transakcje[[#This Row],[kwota]])</f>
        <v>0.53800000000000003</v>
      </c>
    </row>
    <row r="1672" spans="1:9" x14ac:dyDescent="0.3">
      <c r="A1672">
        <v>1671</v>
      </c>
      <c r="B1672">
        <v>2016</v>
      </c>
      <c r="C1672">
        <v>2</v>
      </c>
      <c r="D1672">
        <v>9</v>
      </c>
      <c r="E1672" s="1">
        <v>-4.34</v>
      </c>
      <c r="F1672" t="s">
        <v>26</v>
      </c>
      <c r="G1672" t="str">
        <f>_xlfn.XLOOKUP(transakcje[[#This Row],[podkategoria]],parametr[podkategoria],parametr[kategoria])</f>
        <v>życie</v>
      </c>
      <c r="H1672" t="str">
        <f>_xlfn.XLOOKUP(transakcje[[#This Row],[kategoria]],parametr[kategoria],parametr[typ])</f>
        <v>wydatki</v>
      </c>
      <c r="I1672" s="1">
        <f>ABS(transakcje[[#This Row],[kwota]])</f>
        <v>4.34</v>
      </c>
    </row>
    <row r="1673" spans="1:9" x14ac:dyDescent="0.3">
      <c r="A1673">
        <v>1672</v>
      </c>
      <c r="B1673">
        <v>2016</v>
      </c>
      <c r="C1673">
        <v>2</v>
      </c>
      <c r="D1673">
        <v>12</v>
      </c>
      <c r="E1673" s="1">
        <v>-0.52</v>
      </c>
      <c r="F1673" t="s">
        <v>26</v>
      </c>
      <c r="G1673" t="str">
        <f>_xlfn.XLOOKUP(transakcje[[#This Row],[podkategoria]],parametr[podkategoria],parametr[kategoria])</f>
        <v>życie</v>
      </c>
      <c r="H1673" t="str">
        <f>_xlfn.XLOOKUP(transakcje[[#This Row],[kategoria]],parametr[kategoria],parametr[typ])</f>
        <v>wydatki</v>
      </c>
      <c r="I1673" s="1">
        <f>ABS(transakcje[[#This Row],[kwota]])</f>
        <v>0.52</v>
      </c>
    </row>
    <row r="1674" spans="1:9" x14ac:dyDescent="0.3">
      <c r="A1674">
        <v>1673</v>
      </c>
      <c r="B1674">
        <v>2016</v>
      </c>
      <c r="C1674">
        <v>2</v>
      </c>
      <c r="D1674">
        <v>12</v>
      </c>
      <c r="E1674" s="1">
        <v>-6.44</v>
      </c>
      <c r="F1674" t="s">
        <v>26</v>
      </c>
      <c r="G1674" t="str">
        <f>_xlfn.XLOOKUP(transakcje[[#This Row],[podkategoria]],parametr[podkategoria],parametr[kategoria])</f>
        <v>życie</v>
      </c>
      <c r="H1674" t="str">
        <f>_xlfn.XLOOKUP(transakcje[[#This Row],[kategoria]],parametr[kategoria],parametr[typ])</f>
        <v>wydatki</v>
      </c>
      <c r="I1674" s="1">
        <f>ABS(transakcje[[#This Row],[kwota]])</f>
        <v>6.44</v>
      </c>
    </row>
    <row r="1675" spans="1:9" x14ac:dyDescent="0.3">
      <c r="A1675">
        <v>1674</v>
      </c>
      <c r="B1675">
        <v>2016</v>
      </c>
      <c r="C1675">
        <v>2</v>
      </c>
      <c r="D1675">
        <v>12</v>
      </c>
      <c r="E1675" s="1">
        <v>-0.52800000000000002</v>
      </c>
      <c r="F1675" t="s">
        <v>26</v>
      </c>
      <c r="G1675" t="str">
        <f>_xlfn.XLOOKUP(transakcje[[#This Row],[podkategoria]],parametr[podkategoria],parametr[kategoria])</f>
        <v>życie</v>
      </c>
      <c r="H1675" t="str">
        <f>_xlfn.XLOOKUP(transakcje[[#This Row],[kategoria]],parametr[kategoria],parametr[typ])</f>
        <v>wydatki</v>
      </c>
      <c r="I1675" s="1">
        <f>ABS(transakcje[[#This Row],[kwota]])</f>
        <v>0.52800000000000002</v>
      </c>
    </row>
    <row r="1676" spans="1:9" x14ac:dyDescent="0.3">
      <c r="A1676">
        <v>1675</v>
      </c>
      <c r="B1676">
        <v>2016</v>
      </c>
      <c r="C1676">
        <v>2</v>
      </c>
      <c r="D1676">
        <v>15</v>
      </c>
      <c r="E1676" s="1">
        <v>-0.24</v>
      </c>
      <c r="F1676" t="s">
        <v>26</v>
      </c>
      <c r="G1676" t="str">
        <f>_xlfn.XLOOKUP(transakcje[[#This Row],[podkategoria]],parametr[podkategoria],parametr[kategoria])</f>
        <v>życie</v>
      </c>
      <c r="H1676" t="str">
        <f>_xlfn.XLOOKUP(transakcje[[#This Row],[kategoria]],parametr[kategoria],parametr[typ])</f>
        <v>wydatki</v>
      </c>
      <c r="I1676" s="1">
        <f>ABS(transakcje[[#This Row],[kwota]])</f>
        <v>0.24</v>
      </c>
    </row>
    <row r="1677" spans="1:9" x14ac:dyDescent="0.3">
      <c r="A1677">
        <v>1676</v>
      </c>
      <c r="B1677">
        <v>2016</v>
      </c>
      <c r="C1677">
        <v>2</v>
      </c>
      <c r="D1677">
        <v>16</v>
      </c>
      <c r="E1677" s="1">
        <v>-0.8</v>
      </c>
      <c r="F1677" t="s">
        <v>14</v>
      </c>
      <c r="G1677" t="str">
        <f>_xlfn.XLOOKUP(transakcje[[#This Row],[podkategoria]],parametr[podkategoria],parametr[kategoria])</f>
        <v>opłaty stałe</v>
      </c>
      <c r="H1677" t="str">
        <f>_xlfn.XLOOKUP(transakcje[[#This Row],[kategoria]],parametr[kategoria],parametr[typ])</f>
        <v>wydatki</v>
      </c>
      <c r="I1677" s="1">
        <f>ABS(transakcje[[#This Row],[kwota]])</f>
        <v>0.8</v>
      </c>
    </row>
    <row r="1678" spans="1:9" x14ac:dyDescent="0.3">
      <c r="A1678">
        <v>1677</v>
      </c>
      <c r="B1678">
        <v>2016</v>
      </c>
      <c r="C1678">
        <v>2</v>
      </c>
      <c r="D1678">
        <v>16</v>
      </c>
      <c r="E1678" s="1">
        <v>-0.39800000000000002</v>
      </c>
      <c r="F1678" t="s">
        <v>14</v>
      </c>
      <c r="G1678" t="str">
        <f>_xlfn.XLOOKUP(transakcje[[#This Row],[podkategoria]],parametr[podkategoria],parametr[kategoria])</f>
        <v>opłaty stałe</v>
      </c>
      <c r="H1678" t="str">
        <f>_xlfn.XLOOKUP(transakcje[[#This Row],[kategoria]],parametr[kategoria],parametr[typ])</f>
        <v>wydatki</v>
      </c>
      <c r="I1678" s="1">
        <f>ABS(transakcje[[#This Row],[kwota]])</f>
        <v>0.39800000000000002</v>
      </c>
    </row>
    <row r="1679" spans="1:9" x14ac:dyDescent="0.3">
      <c r="A1679">
        <v>1678</v>
      </c>
      <c r="B1679">
        <v>2016</v>
      </c>
      <c r="C1679">
        <v>2</v>
      </c>
      <c r="D1679">
        <v>18</v>
      </c>
      <c r="E1679" s="1">
        <v>-8.0280000000000005</v>
      </c>
      <c r="F1679" t="s">
        <v>26</v>
      </c>
      <c r="G1679" t="str">
        <f>_xlfn.XLOOKUP(transakcje[[#This Row],[podkategoria]],parametr[podkategoria],parametr[kategoria])</f>
        <v>życie</v>
      </c>
      <c r="H1679" t="str">
        <f>_xlfn.XLOOKUP(transakcje[[#This Row],[kategoria]],parametr[kategoria],parametr[typ])</f>
        <v>wydatki</v>
      </c>
      <c r="I1679" s="1">
        <f>ABS(transakcje[[#This Row],[kwota]])</f>
        <v>8.0280000000000005</v>
      </c>
    </row>
    <row r="1680" spans="1:9" x14ac:dyDescent="0.3">
      <c r="A1680">
        <v>1679</v>
      </c>
      <c r="B1680">
        <v>2016</v>
      </c>
      <c r="C1680">
        <v>2</v>
      </c>
      <c r="D1680">
        <v>18</v>
      </c>
      <c r="E1680" s="1">
        <v>-0.54</v>
      </c>
      <c r="F1680" t="s">
        <v>26</v>
      </c>
      <c r="G1680" t="str">
        <f>_xlfn.XLOOKUP(transakcje[[#This Row],[podkategoria]],parametr[podkategoria],parametr[kategoria])</f>
        <v>życie</v>
      </c>
      <c r="H1680" t="str">
        <f>_xlfn.XLOOKUP(transakcje[[#This Row],[kategoria]],parametr[kategoria],parametr[typ])</f>
        <v>wydatki</v>
      </c>
      <c r="I1680" s="1">
        <f>ABS(transakcje[[#This Row],[kwota]])</f>
        <v>0.54</v>
      </c>
    </row>
    <row r="1681" spans="1:9" x14ac:dyDescent="0.3">
      <c r="A1681">
        <v>1680</v>
      </c>
      <c r="B1681">
        <v>2016</v>
      </c>
      <c r="C1681">
        <v>2</v>
      </c>
      <c r="D1681">
        <v>20</v>
      </c>
      <c r="E1681" s="1">
        <v>-196.2</v>
      </c>
      <c r="F1681" t="s">
        <v>33</v>
      </c>
      <c r="G1681" t="str">
        <f>_xlfn.XLOOKUP(transakcje[[#This Row],[podkategoria]],parametr[podkategoria],parametr[kategoria])</f>
        <v>trwałe</v>
      </c>
      <c r="H1681" t="str">
        <f>_xlfn.XLOOKUP(transakcje[[#This Row],[kategoria]],parametr[kategoria],parametr[typ])</f>
        <v>wydatki</v>
      </c>
      <c r="I1681" s="1">
        <f>ABS(transakcje[[#This Row],[kwota]])</f>
        <v>196.2</v>
      </c>
    </row>
    <row r="1682" spans="1:9" x14ac:dyDescent="0.3">
      <c r="A1682">
        <v>1681</v>
      </c>
      <c r="B1682">
        <v>2016</v>
      </c>
      <c r="C1682">
        <v>2</v>
      </c>
      <c r="D1682">
        <v>21</v>
      </c>
      <c r="E1682" s="1">
        <v>-43.957999999999998</v>
      </c>
      <c r="F1682" t="s">
        <v>11</v>
      </c>
      <c r="G1682" t="str">
        <f>_xlfn.XLOOKUP(transakcje[[#This Row],[podkategoria]],parametr[podkategoria],parametr[kategoria])</f>
        <v>wydatki inne</v>
      </c>
      <c r="H1682" t="str">
        <f>_xlfn.XLOOKUP(transakcje[[#This Row],[kategoria]],parametr[kategoria],parametr[typ])</f>
        <v>wydatki</v>
      </c>
      <c r="I1682" s="1">
        <f>ABS(transakcje[[#This Row],[kwota]])</f>
        <v>43.957999999999998</v>
      </c>
    </row>
    <row r="1683" spans="1:9" x14ac:dyDescent="0.3">
      <c r="A1683">
        <v>1682</v>
      </c>
      <c r="B1683">
        <v>2016</v>
      </c>
      <c r="C1683">
        <v>2</v>
      </c>
      <c r="D1683">
        <v>24</v>
      </c>
      <c r="E1683" s="1">
        <v>-1.08</v>
      </c>
      <c r="F1683" t="s">
        <v>26</v>
      </c>
      <c r="G1683" t="str">
        <f>_xlfn.XLOOKUP(transakcje[[#This Row],[podkategoria]],parametr[podkategoria],parametr[kategoria])</f>
        <v>życie</v>
      </c>
      <c r="H1683" t="str">
        <f>_xlfn.XLOOKUP(transakcje[[#This Row],[kategoria]],parametr[kategoria],parametr[typ])</f>
        <v>wydatki</v>
      </c>
      <c r="I1683" s="1">
        <f>ABS(transakcje[[#This Row],[kwota]])</f>
        <v>1.08</v>
      </c>
    </row>
    <row r="1684" spans="1:9" x14ac:dyDescent="0.3">
      <c r="A1684">
        <v>1683</v>
      </c>
      <c r="B1684">
        <v>2016</v>
      </c>
      <c r="C1684">
        <v>2</v>
      </c>
      <c r="D1684">
        <v>25</v>
      </c>
      <c r="E1684" s="1">
        <v>-19.8</v>
      </c>
      <c r="F1684" t="s">
        <v>32</v>
      </c>
      <c r="G1684" t="str">
        <f>_xlfn.XLOOKUP(transakcje[[#This Row],[podkategoria]],parametr[podkategoria],parametr[kategoria])</f>
        <v>opłaty stałe</v>
      </c>
      <c r="H1684" t="str">
        <f>_xlfn.XLOOKUP(transakcje[[#This Row],[kategoria]],parametr[kategoria],parametr[typ])</f>
        <v>wydatki</v>
      </c>
      <c r="I1684" s="1">
        <f>ABS(transakcje[[#This Row],[kwota]])</f>
        <v>19.8</v>
      </c>
    </row>
    <row r="1685" spans="1:9" x14ac:dyDescent="0.3">
      <c r="A1685">
        <v>1684</v>
      </c>
      <c r="B1685">
        <v>2016</v>
      </c>
      <c r="C1685">
        <v>2</v>
      </c>
      <c r="D1685">
        <v>25</v>
      </c>
      <c r="E1685" s="1">
        <v>478.61400000000003</v>
      </c>
      <c r="F1685" t="s">
        <v>8</v>
      </c>
      <c r="G1685" t="str">
        <f>_xlfn.XLOOKUP(transakcje[[#This Row],[podkategoria]],parametr[podkategoria],parametr[kategoria])</f>
        <v>dochody z pracy</v>
      </c>
      <c r="H1685" t="str">
        <f>_xlfn.XLOOKUP(transakcje[[#This Row],[kategoria]],parametr[kategoria],parametr[typ])</f>
        <v>dochody</v>
      </c>
      <c r="I1685" s="1">
        <f>ABS(transakcje[[#This Row],[kwota]])</f>
        <v>478.61400000000003</v>
      </c>
    </row>
    <row r="1686" spans="1:9" x14ac:dyDescent="0.3">
      <c r="A1686">
        <v>1685</v>
      </c>
      <c r="B1686">
        <v>2016</v>
      </c>
      <c r="C1686">
        <v>2</v>
      </c>
      <c r="D1686">
        <v>25</v>
      </c>
      <c r="E1686" s="1">
        <v>-9.331999999999999</v>
      </c>
      <c r="F1686" t="s">
        <v>26</v>
      </c>
      <c r="G1686" t="str">
        <f>_xlfn.XLOOKUP(transakcje[[#This Row],[podkategoria]],parametr[podkategoria],parametr[kategoria])</f>
        <v>życie</v>
      </c>
      <c r="H1686" t="str">
        <f>_xlfn.XLOOKUP(transakcje[[#This Row],[kategoria]],parametr[kategoria],parametr[typ])</f>
        <v>wydatki</v>
      </c>
      <c r="I1686" s="1">
        <f>ABS(transakcje[[#This Row],[kwota]])</f>
        <v>9.331999999999999</v>
      </c>
    </row>
    <row r="1687" spans="1:9" x14ac:dyDescent="0.3">
      <c r="A1687">
        <v>1686</v>
      </c>
      <c r="B1687">
        <v>2016</v>
      </c>
      <c r="C1687">
        <v>2</v>
      </c>
      <c r="D1687">
        <v>26</v>
      </c>
      <c r="E1687" s="1">
        <v>-1.6179999999999999</v>
      </c>
      <c r="F1687" t="s">
        <v>26</v>
      </c>
      <c r="G1687" t="str">
        <f>_xlfn.XLOOKUP(transakcje[[#This Row],[podkategoria]],parametr[podkategoria],parametr[kategoria])</f>
        <v>życie</v>
      </c>
      <c r="H1687" t="str">
        <f>_xlfn.XLOOKUP(transakcje[[#This Row],[kategoria]],parametr[kategoria],parametr[typ])</f>
        <v>wydatki</v>
      </c>
      <c r="I1687" s="1">
        <f>ABS(transakcje[[#This Row],[kwota]])</f>
        <v>1.6179999999999999</v>
      </c>
    </row>
    <row r="1688" spans="1:9" x14ac:dyDescent="0.3">
      <c r="A1688">
        <v>1687</v>
      </c>
      <c r="B1688">
        <v>2016</v>
      </c>
      <c r="C1688">
        <v>2</v>
      </c>
      <c r="D1688">
        <v>29</v>
      </c>
      <c r="E1688" s="1">
        <v>4.0000000000000001E-3</v>
      </c>
      <c r="F1688" t="s">
        <v>17</v>
      </c>
      <c r="G1688" t="str">
        <f>_xlfn.XLOOKUP(transakcje[[#This Row],[podkategoria]],parametr[podkategoria],parametr[kategoria])</f>
        <v>dochody pozostałe</v>
      </c>
      <c r="H1688" t="str">
        <f>_xlfn.XLOOKUP(transakcje[[#This Row],[kategoria]],parametr[kategoria],parametr[typ])</f>
        <v>dochody</v>
      </c>
      <c r="I1688" s="1">
        <f>ABS(transakcje[[#This Row],[kwota]])</f>
        <v>4.0000000000000001E-3</v>
      </c>
    </row>
    <row r="1689" spans="1:9" x14ac:dyDescent="0.3">
      <c r="A1689">
        <v>1688</v>
      </c>
      <c r="B1689">
        <v>2016</v>
      </c>
      <c r="C1689">
        <v>2</v>
      </c>
      <c r="D1689">
        <v>29</v>
      </c>
      <c r="E1689" s="1">
        <v>-1.198</v>
      </c>
      <c r="F1689" t="s">
        <v>14</v>
      </c>
      <c r="G1689" t="str">
        <f>_xlfn.XLOOKUP(transakcje[[#This Row],[podkategoria]],parametr[podkategoria],parametr[kategoria])</f>
        <v>opłaty stałe</v>
      </c>
      <c r="H1689" t="str">
        <f>_xlfn.XLOOKUP(transakcje[[#This Row],[kategoria]],parametr[kategoria],parametr[typ])</f>
        <v>wydatki</v>
      </c>
      <c r="I1689" s="1">
        <f>ABS(transakcje[[#This Row],[kwota]])</f>
        <v>1.198</v>
      </c>
    </row>
    <row r="1690" spans="1:9" x14ac:dyDescent="0.3">
      <c r="A1690">
        <v>1689</v>
      </c>
      <c r="B1690">
        <v>2016</v>
      </c>
      <c r="C1690">
        <v>2</v>
      </c>
      <c r="D1690">
        <v>29</v>
      </c>
      <c r="E1690" s="1">
        <v>-2E-3</v>
      </c>
      <c r="F1690" t="s">
        <v>14</v>
      </c>
      <c r="G1690" t="str">
        <f>_xlfn.XLOOKUP(transakcje[[#This Row],[podkategoria]],parametr[podkategoria],parametr[kategoria])</f>
        <v>opłaty stałe</v>
      </c>
      <c r="H1690" t="str">
        <f>_xlfn.XLOOKUP(transakcje[[#This Row],[kategoria]],parametr[kategoria],parametr[typ])</f>
        <v>wydatki</v>
      </c>
      <c r="I1690" s="1">
        <f>ABS(transakcje[[#This Row],[kwota]])</f>
        <v>2E-3</v>
      </c>
    </row>
    <row r="1691" spans="1:9" x14ac:dyDescent="0.3">
      <c r="A1691">
        <v>1690</v>
      </c>
      <c r="B1691">
        <v>2016</v>
      </c>
      <c r="C1691">
        <v>2</v>
      </c>
      <c r="D1691">
        <v>29</v>
      </c>
      <c r="E1691" s="1">
        <v>-10.596</v>
      </c>
      <c r="F1691" t="s">
        <v>26</v>
      </c>
      <c r="G1691" t="str">
        <f>_xlfn.XLOOKUP(transakcje[[#This Row],[podkategoria]],parametr[podkategoria],parametr[kategoria])</f>
        <v>życie</v>
      </c>
      <c r="H1691" t="str">
        <f>_xlfn.XLOOKUP(transakcje[[#This Row],[kategoria]],parametr[kategoria],parametr[typ])</f>
        <v>wydatki</v>
      </c>
      <c r="I1691" s="1">
        <f>ABS(transakcje[[#This Row],[kwota]])</f>
        <v>10.596</v>
      </c>
    </row>
    <row r="1692" spans="1:9" x14ac:dyDescent="0.3">
      <c r="A1692">
        <v>1691</v>
      </c>
      <c r="B1692">
        <v>2016</v>
      </c>
      <c r="C1692">
        <v>3</v>
      </c>
      <c r="D1692">
        <v>1</v>
      </c>
      <c r="E1692" s="1">
        <v>-61.69</v>
      </c>
      <c r="F1692" t="s">
        <v>31</v>
      </c>
      <c r="G1692" t="str">
        <f>_xlfn.XLOOKUP(transakcje[[#This Row],[podkategoria]],parametr[podkategoria],parametr[kategoria])</f>
        <v>opłaty stałe</v>
      </c>
      <c r="H1692" t="str">
        <f>_xlfn.XLOOKUP(transakcje[[#This Row],[kategoria]],parametr[kategoria],parametr[typ])</f>
        <v>wydatki</v>
      </c>
      <c r="I1692" s="1">
        <f>ABS(transakcje[[#This Row],[kwota]])</f>
        <v>61.69</v>
      </c>
    </row>
    <row r="1693" spans="1:9" x14ac:dyDescent="0.3">
      <c r="A1693">
        <v>1692</v>
      </c>
      <c r="B1693">
        <v>2016</v>
      </c>
      <c r="C1693">
        <v>3</v>
      </c>
      <c r="D1693">
        <v>1</v>
      </c>
      <c r="E1693" s="1">
        <v>-6.15</v>
      </c>
      <c r="F1693" t="s">
        <v>35</v>
      </c>
      <c r="G1693" t="str">
        <f>_xlfn.XLOOKUP(transakcje[[#This Row],[podkategoria]],parametr[podkategoria],parametr[kategoria])</f>
        <v>opłaty stałe</v>
      </c>
      <c r="H1693" t="str">
        <f>_xlfn.XLOOKUP(transakcje[[#This Row],[kategoria]],parametr[kategoria],parametr[typ])</f>
        <v>wydatki</v>
      </c>
      <c r="I1693" s="1">
        <f>ABS(transakcje[[#This Row],[kwota]])</f>
        <v>6.15</v>
      </c>
    </row>
    <row r="1694" spans="1:9" x14ac:dyDescent="0.3">
      <c r="A1694">
        <v>1693</v>
      </c>
      <c r="B1694">
        <v>2016</v>
      </c>
      <c r="C1694">
        <v>3</v>
      </c>
      <c r="D1694">
        <v>1</v>
      </c>
      <c r="E1694" s="1">
        <v>-7.38</v>
      </c>
      <c r="F1694" t="s">
        <v>23</v>
      </c>
      <c r="G1694" t="str">
        <f>_xlfn.XLOOKUP(transakcje[[#This Row],[podkategoria]],parametr[podkategoria],parametr[kategoria])</f>
        <v>opłaty stałe</v>
      </c>
      <c r="H1694" t="str">
        <f>_xlfn.XLOOKUP(transakcje[[#This Row],[kategoria]],parametr[kategoria],parametr[typ])</f>
        <v>wydatki</v>
      </c>
      <c r="I1694" s="1">
        <f>ABS(transakcje[[#This Row],[kwota]])</f>
        <v>7.38</v>
      </c>
    </row>
    <row r="1695" spans="1:9" x14ac:dyDescent="0.3">
      <c r="A1695">
        <v>1694</v>
      </c>
      <c r="B1695">
        <v>2016</v>
      </c>
      <c r="C1695">
        <v>3</v>
      </c>
      <c r="D1695">
        <v>1</v>
      </c>
      <c r="E1695" s="1">
        <v>-5.9979999999999993</v>
      </c>
      <c r="F1695" t="s">
        <v>25</v>
      </c>
      <c r="G1695" t="str">
        <f>_xlfn.XLOOKUP(transakcje[[#This Row],[podkategoria]],parametr[podkategoria],parametr[kategoria])</f>
        <v>opłaty stałe</v>
      </c>
      <c r="H1695" t="str">
        <f>_xlfn.XLOOKUP(transakcje[[#This Row],[kategoria]],parametr[kategoria],parametr[typ])</f>
        <v>wydatki</v>
      </c>
      <c r="I1695" s="1">
        <f>ABS(transakcje[[#This Row],[kwota]])</f>
        <v>5.9979999999999993</v>
      </c>
    </row>
    <row r="1696" spans="1:9" x14ac:dyDescent="0.3">
      <c r="A1696">
        <v>1695</v>
      </c>
      <c r="B1696">
        <v>2016</v>
      </c>
      <c r="C1696">
        <v>3</v>
      </c>
      <c r="D1696">
        <v>2</v>
      </c>
      <c r="E1696" s="1">
        <v>-1.4159999999999999</v>
      </c>
      <c r="F1696" t="s">
        <v>26</v>
      </c>
      <c r="G1696" t="str">
        <f>_xlfn.XLOOKUP(transakcje[[#This Row],[podkategoria]],parametr[podkategoria],parametr[kategoria])</f>
        <v>życie</v>
      </c>
      <c r="H1696" t="str">
        <f>_xlfn.XLOOKUP(transakcje[[#This Row],[kategoria]],parametr[kategoria],parametr[typ])</f>
        <v>wydatki</v>
      </c>
      <c r="I1696" s="1">
        <f>ABS(transakcje[[#This Row],[kwota]])</f>
        <v>1.4159999999999999</v>
      </c>
    </row>
    <row r="1697" spans="1:9" x14ac:dyDescent="0.3">
      <c r="A1697">
        <v>1696</v>
      </c>
      <c r="B1697">
        <v>2016</v>
      </c>
      <c r="C1697">
        <v>3</v>
      </c>
      <c r="D1697">
        <v>2</v>
      </c>
      <c r="E1697" s="1">
        <v>-1.3560000000000001</v>
      </c>
      <c r="F1697" t="s">
        <v>26</v>
      </c>
      <c r="G1697" t="str">
        <f>_xlfn.XLOOKUP(transakcje[[#This Row],[podkategoria]],parametr[podkategoria],parametr[kategoria])</f>
        <v>życie</v>
      </c>
      <c r="H1697" t="str">
        <f>_xlfn.XLOOKUP(transakcje[[#This Row],[kategoria]],parametr[kategoria],parametr[typ])</f>
        <v>wydatki</v>
      </c>
      <c r="I1697" s="1">
        <f>ABS(transakcje[[#This Row],[kwota]])</f>
        <v>1.3560000000000001</v>
      </c>
    </row>
    <row r="1698" spans="1:9" x14ac:dyDescent="0.3">
      <c r="A1698">
        <v>1697</v>
      </c>
      <c r="B1698">
        <v>2016</v>
      </c>
      <c r="C1698">
        <v>3</v>
      </c>
      <c r="D1698">
        <v>3</v>
      </c>
      <c r="E1698" s="1">
        <v>-4.54</v>
      </c>
      <c r="F1698" t="s">
        <v>37</v>
      </c>
      <c r="G1698" t="str">
        <f>_xlfn.XLOOKUP(transakcje[[#This Row],[podkategoria]],parametr[podkategoria],parametr[kategoria])</f>
        <v>opłaty stałe</v>
      </c>
      <c r="H1698" t="str">
        <f>_xlfn.XLOOKUP(transakcje[[#This Row],[kategoria]],parametr[kategoria],parametr[typ])</f>
        <v>wydatki</v>
      </c>
      <c r="I1698" s="1">
        <f>ABS(transakcje[[#This Row],[kwota]])</f>
        <v>4.54</v>
      </c>
    </row>
    <row r="1699" spans="1:9" x14ac:dyDescent="0.3">
      <c r="A1699">
        <v>1698</v>
      </c>
      <c r="B1699">
        <v>2016</v>
      </c>
      <c r="C1699">
        <v>3</v>
      </c>
      <c r="D1699">
        <v>4</v>
      </c>
      <c r="E1699" s="1">
        <v>-7.24</v>
      </c>
      <c r="F1699" t="s">
        <v>26</v>
      </c>
      <c r="G1699" t="str">
        <f>_xlfn.XLOOKUP(transakcje[[#This Row],[podkategoria]],parametr[podkategoria],parametr[kategoria])</f>
        <v>życie</v>
      </c>
      <c r="H1699" t="str">
        <f>_xlfn.XLOOKUP(transakcje[[#This Row],[kategoria]],parametr[kategoria],parametr[typ])</f>
        <v>wydatki</v>
      </c>
      <c r="I1699" s="1">
        <f>ABS(transakcje[[#This Row],[kwota]])</f>
        <v>7.24</v>
      </c>
    </row>
    <row r="1700" spans="1:9" x14ac:dyDescent="0.3">
      <c r="A1700">
        <v>1699</v>
      </c>
      <c r="B1700">
        <v>2016</v>
      </c>
      <c r="C1700">
        <v>3</v>
      </c>
      <c r="D1700">
        <v>8</v>
      </c>
      <c r="E1700" s="1">
        <v>-478.03999999999996</v>
      </c>
      <c r="F1700" t="s">
        <v>33</v>
      </c>
      <c r="G1700" t="str">
        <f>_xlfn.XLOOKUP(transakcje[[#This Row],[podkategoria]],parametr[podkategoria],parametr[kategoria])</f>
        <v>trwałe</v>
      </c>
      <c r="H1700" t="str">
        <f>_xlfn.XLOOKUP(transakcje[[#This Row],[kategoria]],parametr[kategoria],parametr[typ])</f>
        <v>wydatki</v>
      </c>
      <c r="I1700" s="1">
        <f>ABS(transakcje[[#This Row],[kwota]])</f>
        <v>478.03999999999996</v>
      </c>
    </row>
    <row r="1701" spans="1:9" x14ac:dyDescent="0.3">
      <c r="A1701">
        <v>1700</v>
      </c>
      <c r="B1701">
        <v>2016</v>
      </c>
      <c r="C1701">
        <v>3</v>
      </c>
      <c r="D1701">
        <v>9</v>
      </c>
      <c r="E1701" s="1">
        <v>-16.312000000000001</v>
      </c>
      <c r="F1701" t="s">
        <v>34</v>
      </c>
      <c r="G1701" t="str">
        <f>_xlfn.XLOOKUP(transakcje[[#This Row],[podkategoria]],parametr[podkategoria],parametr[kategoria])</f>
        <v>opłaty stałe</v>
      </c>
      <c r="H1701" t="str">
        <f>_xlfn.XLOOKUP(transakcje[[#This Row],[kategoria]],parametr[kategoria],parametr[typ])</f>
        <v>wydatki</v>
      </c>
      <c r="I1701" s="1">
        <f>ABS(transakcje[[#This Row],[kwota]])</f>
        <v>16.312000000000001</v>
      </c>
    </row>
    <row r="1702" spans="1:9" x14ac:dyDescent="0.3">
      <c r="A1702">
        <v>1701</v>
      </c>
      <c r="B1702">
        <v>2016</v>
      </c>
      <c r="C1702">
        <v>3</v>
      </c>
      <c r="D1702">
        <v>9</v>
      </c>
      <c r="E1702" s="1">
        <v>-0.8</v>
      </c>
      <c r="F1702" t="s">
        <v>11</v>
      </c>
      <c r="G1702" t="str">
        <f>_xlfn.XLOOKUP(transakcje[[#This Row],[podkategoria]],parametr[podkategoria],parametr[kategoria])</f>
        <v>wydatki inne</v>
      </c>
      <c r="H1702" t="str">
        <f>_xlfn.XLOOKUP(transakcje[[#This Row],[kategoria]],parametr[kategoria],parametr[typ])</f>
        <v>wydatki</v>
      </c>
      <c r="I1702" s="1">
        <f>ABS(transakcje[[#This Row],[kwota]])</f>
        <v>0.8</v>
      </c>
    </row>
    <row r="1703" spans="1:9" x14ac:dyDescent="0.3">
      <c r="A1703">
        <v>1702</v>
      </c>
      <c r="B1703">
        <v>2016</v>
      </c>
      <c r="C1703">
        <v>3</v>
      </c>
      <c r="D1703">
        <v>9</v>
      </c>
      <c r="E1703" s="1">
        <v>-7.4719999999999995</v>
      </c>
      <c r="F1703" t="s">
        <v>26</v>
      </c>
      <c r="G1703" t="str">
        <f>_xlfn.XLOOKUP(transakcje[[#This Row],[podkategoria]],parametr[podkategoria],parametr[kategoria])</f>
        <v>życie</v>
      </c>
      <c r="H1703" t="str">
        <f>_xlfn.XLOOKUP(transakcje[[#This Row],[kategoria]],parametr[kategoria],parametr[typ])</f>
        <v>wydatki</v>
      </c>
      <c r="I1703" s="1">
        <f>ABS(transakcje[[#This Row],[kwota]])</f>
        <v>7.4719999999999995</v>
      </c>
    </row>
    <row r="1704" spans="1:9" x14ac:dyDescent="0.3">
      <c r="A1704">
        <v>1703</v>
      </c>
      <c r="B1704">
        <v>2016</v>
      </c>
      <c r="C1704">
        <v>3</v>
      </c>
      <c r="D1704">
        <v>11</v>
      </c>
      <c r="E1704" s="1">
        <v>-0.48</v>
      </c>
      <c r="F1704" t="s">
        <v>26</v>
      </c>
      <c r="G1704" t="str">
        <f>_xlfn.XLOOKUP(transakcje[[#This Row],[podkategoria]],parametr[podkategoria],parametr[kategoria])</f>
        <v>życie</v>
      </c>
      <c r="H1704" t="str">
        <f>_xlfn.XLOOKUP(transakcje[[#This Row],[kategoria]],parametr[kategoria],parametr[typ])</f>
        <v>wydatki</v>
      </c>
      <c r="I1704" s="1">
        <f>ABS(transakcje[[#This Row],[kwota]])</f>
        <v>0.48</v>
      </c>
    </row>
    <row r="1705" spans="1:9" x14ac:dyDescent="0.3">
      <c r="A1705">
        <v>1704</v>
      </c>
      <c r="B1705">
        <v>2016</v>
      </c>
      <c r="C1705">
        <v>3</v>
      </c>
      <c r="D1705">
        <v>11</v>
      </c>
      <c r="E1705" s="1">
        <v>-2.8899999999999997</v>
      </c>
      <c r="F1705" t="s">
        <v>26</v>
      </c>
      <c r="G1705" t="str">
        <f>_xlfn.XLOOKUP(transakcje[[#This Row],[podkategoria]],parametr[podkategoria],parametr[kategoria])</f>
        <v>życie</v>
      </c>
      <c r="H1705" t="str">
        <f>_xlfn.XLOOKUP(transakcje[[#This Row],[kategoria]],parametr[kategoria],parametr[typ])</f>
        <v>wydatki</v>
      </c>
      <c r="I1705" s="1">
        <f>ABS(transakcje[[#This Row],[kwota]])</f>
        <v>2.8899999999999997</v>
      </c>
    </row>
    <row r="1706" spans="1:9" x14ac:dyDescent="0.3">
      <c r="A1706">
        <v>1705</v>
      </c>
      <c r="B1706">
        <v>2016</v>
      </c>
      <c r="C1706">
        <v>3</v>
      </c>
      <c r="D1706">
        <v>12</v>
      </c>
      <c r="E1706" s="1">
        <v>-56.644000000000005</v>
      </c>
      <c r="F1706" t="s">
        <v>20</v>
      </c>
      <c r="G1706" t="str">
        <f>_xlfn.XLOOKUP(transakcje[[#This Row],[podkategoria]],parametr[podkategoria],parametr[kategoria])</f>
        <v>trwałe</v>
      </c>
      <c r="H1706" t="str">
        <f>_xlfn.XLOOKUP(transakcje[[#This Row],[kategoria]],parametr[kategoria],parametr[typ])</f>
        <v>wydatki</v>
      </c>
      <c r="I1706" s="1">
        <f>ABS(transakcje[[#This Row],[kwota]])</f>
        <v>56.644000000000005</v>
      </c>
    </row>
    <row r="1707" spans="1:9" x14ac:dyDescent="0.3">
      <c r="A1707">
        <v>1706</v>
      </c>
      <c r="B1707">
        <v>2016</v>
      </c>
      <c r="C1707">
        <v>3</v>
      </c>
      <c r="D1707">
        <v>16</v>
      </c>
      <c r="E1707" s="1">
        <v>-0.8</v>
      </c>
      <c r="F1707" t="s">
        <v>14</v>
      </c>
      <c r="G1707" t="str">
        <f>_xlfn.XLOOKUP(transakcje[[#This Row],[podkategoria]],parametr[podkategoria],parametr[kategoria])</f>
        <v>opłaty stałe</v>
      </c>
      <c r="H1707" t="str">
        <f>_xlfn.XLOOKUP(transakcje[[#This Row],[kategoria]],parametr[kategoria],parametr[typ])</f>
        <v>wydatki</v>
      </c>
      <c r="I1707" s="1">
        <f>ABS(transakcje[[#This Row],[kwota]])</f>
        <v>0.8</v>
      </c>
    </row>
    <row r="1708" spans="1:9" x14ac:dyDescent="0.3">
      <c r="A1708">
        <v>1707</v>
      </c>
      <c r="B1708">
        <v>2016</v>
      </c>
      <c r="C1708">
        <v>3</v>
      </c>
      <c r="D1708">
        <v>16</v>
      </c>
      <c r="E1708" s="1">
        <v>-0.39800000000000002</v>
      </c>
      <c r="F1708" t="s">
        <v>14</v>
      </c>
      <c r="G1708" t="str">
        <f>_xlfn.XLOOKUP(transakcje[[#This Row],[podkategoria]],parametr[podkategoria],parametr[kategoria])</f>
        <v>opłaty stałe</v>
      </c>
      <c r="H1708" t="str">
        <f>_xlfn.XLOOKUP(transakcje[[#This Row],[kategoria]],parametr[kategoria],parametr[typ])</f>
        <v>wydatki</v>
      </c>
      <c r="I1708" s="1">
        <f>ABS(transakcje[[#This Row],[kwota]])</f>
        <v>0.39800000000000002</v>
      </c>
    </row>
    <row r="1709" spans="1:9" x14ac:dyDescent="0.3">
      <c r="A1709">
        <v>1708</v>
      </c>
      <c r="B1709">
        <v>2016</v>
      </c>
      <c r="C1709">
        <v>3</v>
      </c>
      <c r="D1709">
        <v>16</v>
      </c>
      <c r="E1709" s="1">
        <v>-0.24</v>
      </c>
      <c r="F1709" t="s">
        <v>26</v>
      </c>
      <c r="G1709" t="str">
        <f>_xlfn.XLOOKUP(transakcje[[#This Row],[podkategoria]],parametr[podkategoria],parametr[kategoria])</f>
        <v>życie</v>
      </c>
      <c r="H1709" t="str">
        <f>_xlfn.XLOOKUP(transakcje[[#This Row],[kategoria]],parametr[kategoria],parametr[typ])</f>
        <v>wydatki</v>
      </c>
      <c r="I1709" s="1">
        <f>ABS(transakcje[[#This Row],[kwota]])</f>
        <v>0.24</v>
      </c>
    </row>
    <row r="1710" spans="1:9" x14ac:dyDescent="0.3">
      <c r="A1710">
        <v>1709</v>
      </c>
      <c r="B1710">
        <v>2016</v>
      </c>
      <c r="C1710">
        <v>3</v>
      </c>
      <c r="D1710">
        <v>16</v>
      </c>
      <c r="E1710" s="1">
        <v>-1.61</v>
      </c>
      <c r="F1710" t="s">
        <v>26</v>
      </c>
      <c r="G1710" t="str">
        <f>_xlfn.XLOOKUP(transakcje[[#This Row],[podkategoria]],parametr[podkategoria],parametr[kategoria])</f>
        <v>życie</v>
      </c>
      <c r="H1710" t="str">
        <f>_xlfn.XLOOKUP(transakcje[[#This Row],[kategoria]],parametr[kategoria],parametr[typ])</f>
        <v>wydatki</v>
      </c>
      <c r="I1710" s="1">
        <f>ABS(transakcje[[#This Row],[kwota]])</f>
        <v>1.61</v>
      </c>
    </row>
    <row r="1711" spans="1:9" x14ac:dyDescent="0.3">
      <c r="A1711">
        <v>1710</v>
      </c>
      <c r="B1711">
        <v>2016</v>
      </c>
      <c r="C1711">
        <v>3</v>
      </c>
      <c r="D1711">
        <v>16</v>
      </c>
      <c r="E1711" s="1">
        <v>-0.48399999999999999</v>
      </c>
      <c r="F1711" t="s">
        <v>26</v>
      </c>
      <c r="G1711" t="str">
        <f>_xlfn.XLOOKUP(transakcje[[#This Row],[podkategoria]],parametr[podkategoria],parametr[kategoria])</f>
        <v>życie</v>
      </c>
      <c r="H1711" t="str">
        <f>_xlfn.XLOOKUP(transakcje[[#This Row],[kategoria]],parametr[kategoria],parametr[typ])</f>
        <v>wydatki</v>
      </c>
      <c r="I1711" s="1">
        <f>ABS(transakcje[[#This Row],[kwota]])</f>
        <v>0.48399999999999999</v>
      </c>
    </row>
    <row r="1712" spans="1:9" x14ac:dyDescent="0.3">
      <c r="A1712">
        <v>1711</v>
      </c>
      <c r="B1712">
        <v>2016</v>
      </c>
      <c r="C1712">
        <v>3</v>
      </c>
      <c r="D1712">
        <v>17</v>
      </c>
      <c r="E1712" s="1">
        <v>-24</v>
      </c>
      <c r="F1712" t="s">
        <v>11</v>
      </c>
      <c r="G1712" t="str">
        <f>_xlfn.XLOOKUP(transakcje[[#This Row],[podkategoria]],parametr[podkategoria],parametr[kategoria])</f>
        <v>wydatki inne</v>
      </c>
      <c r="H1712" t="str">
        <f>_xlfn.XLOOKUP(transakcje[[#This Row],[kategoria]],parametr[kategoria],parametr[typ])</f>
        <v>wydatki</v>
      </c>
      <c r="I1712" s="1">
        <f>ABS(transakcje[[#This Row],[kwota]])</f>
        <v>24</v>
      </c>
    </row>
    <row r="1713" spans="1:9" x14ac:dyDescent="0.3">
      <c r="A1713">
        <v>1712</v>
      </c>
      <c r="B1713">
        <v>2016</v>
      </c>
      <c r="C1713">
        <v>3</v>
      </c>
      <c r="D1713">
        <v>17</v>
      </c>
      <c r="E1713" s="1">
        <v>-10.914</v>
      </c>
      <c r="F1713" t="s">
        <v>26</v>
      </c>
      <c r="G1713" t="str">
        <f>_xlfn.XLOOKUP(transakcje[[#This Row],[podkategoria]],parametr[podkategoria],parametr[kategoria])</f>
        <v>życie</v>
      </c>
      <c r="H1713" t="str">
        <f>_xlfn.XLOOKUP(transakcje[[#This Row],[kategoria]],parametr[kategoria],parametr[typ])</f>
        <v>wydatki</v>
      </c>
      <c r="I1713" s="1">
        <f>ABS(transakcje[[#This Row],[kwota]])</f>
        <v>10.914</v>
      </c>
    </row>
    <row r="1714" spans="1:9" x14ac:dyDescent="0.3">
      <c r="A1714">
        <v>1713</v>
      </c>
      <c r="B1714">
        <v>2016</v>
      </c>
      <c r="C1714">
        <v>3</v>
      </c>
      <c r="D1714">
        <v>18</v>
      </c>
      <c r="E1714" s="1">
        <v>-4.1040000000000001</v>
      </c>
      <c r="F1714" t="s">
        <v>26</v>
      </c>
      <c r="G1714" t="str">
        <f>_xlfn.XLOOKUP(transakcje[[#This Row],[podkategoria]],parametr[podkategoria],parametr[kategoria])</f>
        <v>życie</v>
      </c>
      <c r="H1714" t="str">
        <f>_xlfn.XLOOKUP(transakcje[[#This Row],[kategoria]],parametr[kategoria],parametr[typ])</f>
        <v>wydatki</v>
      </c>
      <c r="I1714" s="1">
        <f>ABS(transakcje[[#This Row],[kwota]])</f>
        <v>4.1040000000000001</v>
      </c>
    </row>
    <row r="1715" spans="1:9" x14ac:dyDescent="0.3">
      <c r="A1715">
        <v>1714</v>
      </c>
      <c r="B1715">
        <v>2016</v>
      </c>
      <c r="C1715">
        <v>3</v>
      </c>
      <c r="D1715">
        <v>19</v>
      </c>
      <c r="E1715" s="1">
        <v>-8.7940000000000005</v>
      </c>
      <c r="F1715" t="s">
        <v>20</v>
      </c>
      <c r="G1715" t="str">
        <f>_xlfn.XLOOKUP(transakcje[[#This Row],[podkategoria]],parametr[podkategoria],parametr[kategoria])</f>
        <v>trwałe</v>
      </c>
      <c r="H1715" t="str">
        <f>_xlfn.XLOOKUP(transakcje[[#This Row],[kategoria]],parametr[kategoria],parametr[typ])</f>
        <v>wydatki</v>
      </c>
      <c r="I1715" s="1">
        <f>ABS(transakcje[[#This Row],[kwota]])</f>
        <v>8.7940000000000005</v>
      </c>
    </row>
    <row r="1716" spans="1:9" x14ac:dyDescent="0.3">
      <c r="A1716">
        <v>1715</v>
      </c>
      <c r="B1716">
        <v>2016</v>
      </c>
      <c r="C1716">
        <v>3</v>
      </c>
      <c r="D1716">
        <v>21</v>
      </c>
      <c r="E1716" s="1">
        <v>-3.0219999999999998</v>
      </c>
      <c r="F1716" t="s">
        <v>26</v>
      </c>
      <c r="G1716" t="str">
        <f>_xlfn.XLOOKUP(transakcje[[#This Row],[podkategoria]],parametr[podkategoria],parametr[kategoria])</f>
        <v>życie</v>
      </c>
      <c r="H1716" t="str">
        <f>_xlfn.XLOOKUP(transakcje[[#This Row],[kategoria]],parametr[kategoria],parametr[typ])</f>
        <v>wydatki</v>
      </c>
      <c r="I1716" s="1">
        <f>ABS(transakcje[[#This Row],[kwota]])</f>
        <v>3.0219999999999998</v>
      </c>
    </row>
    <row r="1717" spans="1:9" x14ac:dyDescent="0.3">
      <c r="A1717">
        <v>1716</v>
      </c>
      <c r="B1717">
        <v>2016</v>
      </c>
      <c r="C1717">
        <v>3</v>
      </c>
      <c r="D1717">
        <v>23</v>
      </c>
      <c r="E1717" s="1">
        <v>-2.5979999999999999</v>
      </c>
      <c r="F1717" t="s">
        <v>11</v>
      </c>
      <c r="G1717" t="str">
        <f>_xlfn.XLOOKUP(transakcje[[#This Row],[podkategoria]],parametr[podkategoria],parametr[kategoria])</f>
        <v>wydatki inne</v>
      </c>
      <c r="H1717" t="str">
        <f>_xlfn.XLOOKUP(transakcje[[#This Row],[kategoria]],parametr[kategoria],parametr[typ])</f>
        <v>wydatki</v>
      </c>
      <c r="I1717" s="1">
        <f>ABS(transakcje[[#This Row],[kwota]])</f>
        <v>2.5979999999999999</v>
      </c>
    </row>
    <row r="1718" spans="1:9" x14ac:dyDescent="0.3">
      <c r="A1718">
        <v>1717</v>
      </c>
      <c r="B1718">
        <v>2016</v>
      </c>
      <c r="C1718">
        <v>3</v>
      </c>
      <c r="D1718">
        <v>23</v>
      </c>
      <c r="E1718" s="1">
        <v>478.61400000000003</v>
      </c>
      <c r="F1718" t="s">
        <v>8</v>
      </c>
      <c r="G1718" t="str">
        <f>_xlfn.XLOOKUP(transakcje[[#This Row],[podkategoria]],parametr[podkategoria],parametr[kategoria])</f>
        <v>dochody z pracy</v>
      </c>
      <c r="H1718" t="str">
        <f>_xlfn.XLOOKUP(transakcje[[#This Row],[kategoria]],parametr[kategoria],parametr[typ])</f>
        <v>dochody</v>
      </c>
      <c r="I1718" s="1">
        <f>ABS(transakcje[[#This Row],[kwota]])</f>
        <v>478.61400000000003</v>
      </c>
    </row>
    <row r="1719" spans="1:9" x14ac:dyDescent="0.3">
      <c r="A1719">
        <v>1718</v>
      </c>
      <c r="B1719">
        <v>2016</v>
      </c>
      <c r="C1719">
        <v>3</v>
      </c>
      <c r="D1719">
        <v>23</v>
      </c>
      <c r="E1719" s="1">
        <v>-3.1819999999999999</v>
      </c>
      <c r="F1719" t="s">
        <v>26</v>
      </c>
      <c r="G1719" t="str">
        <f>_xlfn.XLOOKUP(transakcje[[#This Row],[podkategoria]],parametr[podkategoria],parametr[kategoria])</f>
        <v>życie</v>
      </c>
      <c r="H1719" t="str">
        <f>_xlfn.XLOOKUP(transakcje[[#This Row],[kategoria]],parametr[kategoria],parametr[typ])</f>
        <v>wydatki</v>
      </c>
      <c r="I1719" s="1">
        <f>ABS(transakcje[[#This Row],[kwota]])</f>
        <v>3.1819999999999999</v>
      </c>
    </row>
    <row r="1720" spans="1:9" x14ac:dyDescent="0.3">
      <c r="A1720">
        <v>1719</v>
      </c>
      <c r="B1720">
        <v>2016</v>
      </c>
      <c r="C1720">
        <v>3</v>
      </c>
      <c r="D1720">
        <v>24</v>
      </c>
      <c r="E1720" s="1">
        <v>-1.6559999999999999</v>
      </c>
      <c r="F1720" t="s">
        <v>26</v>
      </c>
      <c r="G1720" t="str">
        <f>_xlfn.XLOOKUP(transakcje[[#This Row],[podkategoria]],parametr[podkategoria],parametr[kategoria])</f>
        <v>życie</v>
      </c>
      <c r="H1720" t="str">
        <f>_xlfn.XLOOKUP(transakcje[[#This Row],[kategoria]],parametr[kategoria],parametr[typ])</f>
        <v>wydatki</v>
      </c>
      <c r="I1720" s="1">
        <f>ABS(transakcje[[#This Row],[kwota]])</f>
        <v>1.6559999999999999</v>
      </c>
    </row>
    <row r="1721" spans="1:9" x14ac:dyDescent="0.3">
      <c r="A1721">
        <v>1720</v>
      </c>
      <c r="B1721">
        <v>2016</v>
      </c>
      <c r="C1721">
        <v>3</v>
      </c>
      <c r="D1721">
        <v>27</v>
      </c>
      <c r="E1721" s="1">
        <v>11.618</v>
      </c>
      <c r="F1721" t="s">
        <v>17</v>
      </c>
      <c r="G1721" t="str">
        <f>_xlfn.XLOOKUP(transakcje[[#This Row],[podkategoria]],parametr[podkategoria],parametr[kategoria])</f>
        <v>dochody pozostałe</v>
      </c>
      <c r="H1721" t="str">
        <f>_xlfn.XLOOKUP(transakcje[[#This Row],[kategoria]],parametr[kategoria],parametr[typ])</f>
        <v>dochody</v>
      </c>
      <c r="I1721" s="1">
        <f>ABS(transakcje[[#This Row],[kwota]])</f>
        <v>11.618</v>
      </c>
    </row>
    <row r="1722" spans="1:9" x14ac:dyDescent="0.3">
      <c r="A1722">
        <v>1721</v>
      </c>
      <c r="B1722">
        <v>2016</v>
      </c>
      <c r="C1722">
        <v>3</v>
      </c>
      <c r="D1722">
        <v>29</v>
      </c>
      <c r="E1722" s="1">
        <v>-251.77800000000002</v>
      </c>
      <c r="F1722" t="s">
        <v>24</v>
      </c>
      <c r="G1722" t="str">
        <f>_xlfn.XLOOKUP(transakcje[[#This Row],[podkategoria]],parametr[podkategoria],parametr[kategoria])</f>
        <v>trwałe</v>
      </c>
      <c r="H1722" t="str">
        <f>_xlfn.XLOOKUP(transakcje[[#This Row],[kategoria]],parametr[kategoria],parametr[typ])</f>
        <v>wydatki</v>
      </c>
      <c r="I1722" s="1">
        <f>ABS(transakcje[[#This Row],[kwota]])</f>
        <v>251.77800000000002</v>
      </c>
    </row>
    <row r="1723" spans="1:9" x14ac:dyDescent="0.3">
      <c r="A1723">
        <v>1722</v>
      </c>
      <c r="B1723">
        <v>2016</v>
      </c>
      <c r="C1723">
        <v>3</v>
      </c>
      <c r="D1723">
        <v>30</v>
      </c>
      <c r="E1723" s="1">
        <v>-19.8</v>
      </c>
      <c r="F1723" t="s">
        <v>32</v>
      </c>
      <c r="G1723" t="str">
        <f>_xlfn.XLOOKUP(transakcje[[#This Row],[podkategoria]],parametr[podkategoria],parametr[kategoria])</f>
        <v>opłaty stałe</v>
      </c>
      <c r="H1723" t="str">
        <f>_xlfn.XLOOKUP(transakcje[[#This Row],[kategoria]],parametr[kategoria],parametr[typ])</f>
        <v>wydatki</v>
      </c>
      <c r="I1723" s="1">
        <f>ABS(transakcje[[#This Row],[kwota]])</f>
        <v>19.8</v>
      </c>
    </row>
    <row r="1724" spans="1:9" x14ac:dyDescent="0.3">
      <c r="A1724">
        <v>1723</v>
      </c>
      <c r="B1724">
        <v>2016</v>
      </c>
      <c r="C1724">
        <v>3</v>
      </c>
      <c r="D1724">
        <v>30</v>
      </c>
      <c r="E1724" s="1">
        <v>-81.188000000000002</v>
      </c>
      <c r="F1724" t="s">
        <v>20</v>
      </c>
      <c r="G1724" t="str">
        <f>_xlfn.XLOOKUP(transakcje[[#This Row],[podkategoria]],parametr[podkategoria],parametr[kategoria])</f>
        <v>trwałe</v>
      </c>
      <c r="H1724" t="str">
        <f>_xlfn.XLOOKUP(transakcje[[#This Row],[kategoria]],parametr[kategoria],parametr[typ])</f>
        <v>wydatki</v>
      </c>
      <c r="I1724" s="1">
        <f>ABS(transakcje[[#This Row],[kwota]])</f>
        <v>81.188000000000002</v>
      </c>
    </row>
    <row r="1725" spans="1:9" x14ac:dyDescent="0.3">
      <c r="A1725">
        <v>1724</v>
      </c>
      <c r="B1725">
        <v>2016</v>
      </c>
      <c r="C1725">
        <v>3</v>
      </c>
      <c r="D1725">
        <v>31</v>
      </c>
      <c r="E1725" s="1">
        <v>-49.230000000000004</v>
      </c>
      <c r="F1725" t="s">
        <v>20</v>
      </c>
      <c r="G1725" t="str">
        <f>_xlfn.XLOOKUP(transakcje[[#This Row],[podkategoria]],parametr[podkategoria],parametr[kategoria])</f>
        <v>trwałe</v>
      </c>
      <c r="H1725" t="str">
        <f>_xlfn.XLOOKUP(transakcje[[#This Row],[kategoria]],parametr[kategoria],parametr[typ])</f>
        <v>wydatki</v>
      </c>
      <c r="I1725" s="1">
        <f>ABS(transakcje[[#This Row],[kwota]])</f>
        <v>49.230000000000004</v>
      </c>
    </row>
    <row r="1726" spans="1:9" x14ac:dyDescent="0.3">
      <c r="A1726">
        <v>1725</v>
      </c>
      <c r="B1726">
        <v>2016</v>
      </c>
      <c r="C1726">
        <v>3</v>
      </c>
      <c r="D1726">
        <v>31</v>
      </c>
      <c r="E1726" s="1">
        <v>6.0000000000000001E-3</v>
      </c>
      <c r="F1726" t="s">
        <v>17</v>
      </c>
      <c r="G1726" t="str">
        <f>_xlfn.XLOOKUP(transakcje[[#This Row],[podkategoria]],parametr[podkategoria],parametr[kategoria])</f>
        <v>dochody pozostałe</v>
      </c>
      <c r="H1726" t="str">
        <f>_xlfn.XLOOKUP(transakcje[[#This Row],[kategoria]],parametr[kategoria],parametr[typ])</f>
        <v>dochody</v>
      </c>
      <c r="I1726" s="1">
        <f>ABS(transakcje[[#This Row],[kwota]])</f>
        <v>6.0000000000000001E-3</v>
      </c>
    </row>
    <row r="1727" spans="1:9" x14ac:dyDescent="0.3">
      <c r="A1727">
        <v>1726</v>
      </c>
      <c r="B1727">
        <v>2016</v>
      </c>
      <c r="C1727">
        <v>3</v>
      </c>
      <c r="D1727">
        <v>31</v>
      </c>
      <c r="E1727" s="1">
        <v>-1.198</v>
      </c>
      <c r="F1727" t="s">
        <v>14</v>
      </c>
      <c r="G1727" t="str">
        <f>_xlfn.XLOOKUP(transakcje[[#This Row],[podkategoria]],parametr[podkategoria],parametr[kategoria])</f>
        <v>opłaty stałe</v>
      </c>
      <c r="H1727" t="str">
        <f>_xlfn.XLOOKUP(transakcje[[#This Row],[kategoria]],parametr[kategoria],parametr[typ])</f>
        <v>wydatki</v>
      </c>
      <c r="I1727" s="1">
        <f>ABS(transakcje[[#This Row],[kwota]])</f>
        <v>1.198</v>
      </c>
    </row>
    <row r="1728" spans="1:9" x14ac:dyDescent="0.3">
      <c r="A1728">
        <v>1727</v>
      </c>
      <c r="B1728">
        <v>2016</v>
      </c>
      <c r="C1728">
        <v>3</v>
      </c>
      <c r="D1728">
        <v>31</v>
      </c>
      <c r="E1728" s="1">
        <v>-0.4</v>
      </c>
      <c r="F1728" t="s">
        <v>14</v>
      </c>
      <c r="G1728" t="str">
        <f>_xlfn.XLOOKUP(transakcje[[#This Row],[podkategoria]],parametr[podkategoria],parametr[kategoria])</f>
        <v>opłaty stałe</v>
      </c>
      <c r="H1728" t="str">
        <f>_xlfn.XLOOKUP(transakcje[[#This Row],[kategoria]],parametr[kategoria],parametr[typ])</f>
        <v>wydatki</v>
      </c>
      <c r="I1728" s="1">
        <f>ABS(transakcje[[#This Row],[kwota]])</f>
        <v>0.4</v>
      </c>
    </row>
    <row r="1729" spans="1:9" x14ac:dyDescent="0.3">
      <c r="A1729">
        <v>1728</v>
      </c>
      <c r="B1729">
        <v>2016</v>
      </c>
      <c r="C1729">
        <v>3</v>
      </c>
      <c r="D1729">
        <v>31</v>
      </c>
      <c r="E1729" s="1">
        <v>-2E-3</v>
      </c>
      <c r="F1729" t="s">
        <v>14</v>
      </c>
      <c r="G1729" t="str">
        <f>_xlfn.XLOOKUP(transakcje[[#This Row],[podkategoria]],parametr[podkategoria],parametr[kategoria])</f>
        <v>opłaty stałe</v>
      </c>
      <c r="H1729" t="str">
        <f>_xlfn.XLOOKUP(transakcje[[#This Row],[kategoria]],parametr[kategoria],parametr[typ])</f>
        <v>wydatki</v>
      </c>
      <c r="I1729" s="1">
        <f>ABS(transakcje[[#This Row],[kwota]])</f>
        <v>2E-3</v>
      </c>
    </row>
    <row r="1730" spans="1:9" x14ac:dyDescent="0.3">
      <c r="A1730">
        <v>1729</v>
      </c>
      <c r="B1730">
        <v>2016</v>
      </c>
      <c r="C1730">
        <v>4</v>
      </c>
      <c r="D1730">
        <v>1</v>
      </c>
      <c r="E1730" s="1">
        <v>-2</v>
      </c>
      <c r="F1730" t="s">
        <v>11</v>
      </c>
      <c r="G1730" t="str">
        <f>_xlfn.XLOOKUP(transakcje[[#This Row],[podkategoria]],parametr[podkategoria],parametr[kategoria])</f>
        <v>wydatki inne</v>
      </c>
      <c r="H1730" t="str">
        <f>_xlfn.XLOOKUP(transakcje[[#This Row],[kategoria]],parametr[kategoria],parametr[typ])</f>
        <v>wydatki</v>
      </c>
      <c r="I1730" s="1">
        <f>ABS(transakcje[[#This Row],[kwota]])</f>
        <v>2</v>
      </c>
    </row>
    <row r="1731" spans="1:9" x14ac:dyDescent="0.3">
      <c r="A1731">
        <v>1730</v>
      </c>
      <c r="B1731">
        <v>2016</v>
      </c>
      <c r="C1731">
        <v>4</v>
      </c>
      <c r="D1731">
        <v>2</v>
      </c>
      <c r="E1731" s="1">
        <v>-4.54</v>
      </c>
      <c r="F1731" t="s">
        <v>37</v>
      </c>
      <c r="G1731" t="str">
        <f>_xlfn.XLOOKUP(transakcje[[#This Row],[podkategoria]],parametr[podkategoria],parametr[kategoria])</f>
        <v>opłaty stałe</v>
      </c>
      <c r="H1731" t="str">
        <f>_xlfn.XLOOKUP(transakcje[[#This Row],[kategoria]],parametr[kategoria],parametr[typ])</f>
        <v>wydatki</v>
      </c>
      <c r="I1731" s="1">
        <f>ABS(transakcje[[#This Row],[kwota]])</f>
        <v>4.54</v>
      </c>
    </row>
    <row r="1732" spans="1:9" x14ac:dyDescent="0.3">
      <c r="A1732">
        <v>1731</v>
      </c>
      <c r="B1732">
        <v>2016</v>
      </c>
      <c r="C1732">
        <v>4</v>
      </c>
      <c r="D1732">
        <v>2</v>
      </c>
      <c r="E1732" s="1">
        <v>-25.158000000000001</v>
      </c>
      <c r="F1732" t="s">
        <v>20</v>
      </c>
      <c r="G1732" t="str">
        <f>_xlfn.XLOOKUP(transakcje[[#This Row],[podkategoria]],parametr[podkategoria],parametr[kategoria])</f>
        <v>trwałe</v>
      </c>
      <c r="H1732" t="str">
        <f>_xlfn.XLOOKUP(transakcje[[#This Row],[kategoria]],parametr[kategoria],parametr[typ])</f>
        <v>wydatki</v>
      </c>
      <c r="I1732" s="1">
        <f>ABS(transakcje[[#This Row],[kwota]])</f>
        <v>25.158000000000001</v>
      </c>
    </row>
    <row r="1733" spans="1:9" x14ac:dyDescent="0.3">
      <c r="A1733">
        <v>1732</v>
      </c>
      <c r="B1733">
        <v>2016</v>
      </c>
      <c r="C1733">
        <v>4</v>
      </c>
      <c r="D1733">
        <v>2</v>
      </c>
      <c r="E1733" s="1">
        <v>-61.69</v>
      </c>
      <c r="F1733" t="s">
        <v>31</v>
      </c>
      <c r="G1733" t="str">
        <f>_xlfn.XLOOKUP(transakcje[[#This Row],[podkategoria]],parametr[podkategoria],parametr[kategoria])</f>
        <v>opłaty stałe</v>
      </c>
      <c r="H1733" t="str">
        <f>_xlfn.XLOOKUP(transakcje[[#This Row],[kategoria]],parametr[kategoria],parametr[typ])</f>
        <v>wydatki</v>
      </c>
      <c r="I1733" s="1">
        <f>ABS(transakcje[[#This Row],[kwota]])</f>
        <v>61.69</v>
      </c>
    </row>
    <row r="1734" spans="1:9" x14ac:dyDescent="0.3">
      <c r="A1734">
        <v>1733</v>
      </c>
      <c r="B1734">
        <v>2016</v>
      </c>
      <c r="C1734">
        <v>4</v>
      </c>
      <c r="D1734">
        <v>2</v>
      </c>
      <c r="E1734" s="1">
        <v>-7.38</v>
      </c>
      <c r="F1734" t="s">
        <v>23</v>
      </c>
      <c r="G1734" t="str">
        <f>_xlfn.XLOOKUP(transakcje[[#This Row],[podkategoria]],parametr[podkategoria],parametr[kategoria])</f>
        <v>opłaty stałe</v>
      </c>
      <c r="H1734" t="str">
        <f>_xlfn.XLOOKUP(transakcje[[#This Row],[kategoria]],parametr[kategoria],parametr[typ])</f>
        <v>wydatki</v>
      </c>
      <c r="I1734" s="1">
        <f>ABS(transakcje[[#This Row],[kwota]])</f>
        <v>7.38</v>
      </c>
    </row>
    <row r="1735" spans="1:9" x14ac:dyDescent="0.3">
      <c r="A1735">
        <v>1734</v>
      </c>
      <c r="B1735">
        <v>2016</v>
      </c>
      <c r="C1735">
        <v>4</v>
      </c>
      <c r="D1735">
        <v>2</v>
      </c>
      <c r="E1735" s="1">
        <v>-5.9979999999999993</v>
      </c>
      <c r="F1735" t="s">
        <v>25</v>
      </c>
      <c r="G1735" t="str">
        <f>_xlfn.XLOOKUP(transakcje[[#This Row],[podkategoria]],parametr[podkategoria],parametr[kategoria])</f>
        <v>opłaty stałe</v>
      </c>
      <c r="H1735" t="str">
        <f>_xlfn.XLOOKUP(transakcje[[#This Row],[kategoria]],parametr[kategoria],parametr[typ])</f>
        <v>wydatki</v>
      </c>
      <c r="I1735" s="1">
        <f>ABS(transakcje[[#This Row],[kwota]])</f>
        <v>5.9979999999999993</v>
      </c>
    </row>
    <row r="1736" spans="1:9" x14ac:dyDescent="0.3">
      <c r="A1736">
        <v>1735</v>
      </c>
      <c r="B1736">
        <v>2016</v>
      </c>
      <c r="C1736">
        <v>4</v>
      </c>
      <c r="D1736">
        <v>2</v>
      </c>
      <c r="E1736" s="1">
        <v>-4.7720000000000002</v>
      </c>
      <c r="F1736" t="s">
        <v>26</v>
      </c>
      <c r="G1736" t="str">
        <f>_xlfn.XLOOKUP(transakcje[[#This Row],[podkategoria]],parametr[podkategoria],parametr[kategoria])</f>
        <v>życie</v>
      </c>
      <c r="H1736" t="str">
        <f>_xlfn.XLOOKUP(transakcje[[#This Row],[kategoria]],parametr[kategoria],parametr[typ])</f>
        <v>wydatki</v>
      </c>
      <c r="I1736" s="1">
        <f>ABS(transakcje[[#This Row],[kwota]])</f>
        <v>4.7720000000000002</v>
      </c>
    </row>
    <row r="1737" spans="1:9" x14ac:dyDescent="0.3">
      <c r="A1737">
        <v>1736</v>
      </c>
      <c r="B1737">
        <v>2016</v>
      </c>
      <c r="C1737">
        <v>4</v>
      </c>
      <c r="D1737">
        <v>3</v>
      </c>
      <c r="E1737" s="1">
        <v>-5.2919999999999998</v>
      </c>
      <c r="F1737" t="s">
        <v>26</v>
      </c>
      <c r="G1737" t="str">
        <f>_xlfn.XLOOKUP(transakcje[[#This Row],[podkategoria]],parametr[podkategoria],parametr[kategoria])</f>
        <v>życie</v>
      </c>
      <c r="H1737" t="str">
        <f>_xlfn.XLOOKUP(transakcje[[#This Row],[kategoria]],parametr[kategoria],parametr[typ])</f>
        <v>wydatki</v>
      </c>
      <c r="I1737" s="1">
        <f>ABS(transakcje[[#This Row],[kwota]])</f>
        <v>5.2919999999999998</v>
      </c>
    </row>
    <row r="1738" spans="1:9" x14ac:dyDescent="0.3">
      <c r="A1738">
        <v>1737</v>
      </c>
      <c r="B1738">
        <v>2016</v>
      </c>
      <c r="C1738">
        <v>4</v>
      </c>
      <c r="D1738">
        <v>9</v>
      </c>
      <c r="E1738" s="1">
        <v>-2</v>
      </c>
      <c r="F1738" t="s">
        <v>11</v>
      </c>
      <c r="G1738" t="str">
        <f>_xlfn.XLOOKUP(transakcje[[#This Row],[podkategoria]],parametr[podkategoria],parametr[kategoria])</f>
        <v>wydatki inne</v>
      </c>
      <c r="H1738" t="str">
        <f>_xlfn.XLOOKUP(transakcje[[#This Row],[kategoria]],parametr[kategoria],parametr[typ])</f>
        <v>wydatki</v>
      </c>
      <c r="I1738" s="1">
        <f>ABS(transakcje[[#This Row],[kwota]])</f>
        <v>2</v>
      </c>
    </row>
    <row r="1739" spans="1:9" x14ac:dyDescent="0.3">
      <c r="A1739">
        <v>1738</v>
      </c>
      <c r="B1739">
        <v>2016</v>
      </c>
      <c r="C1739">
        <v>4</v>
      </c>
      <c r="D1739">
        <v>12</v>
      </c>
      <c r="E1739" s="1">
        <v>-6.9799999999999995</v>
      </c>
      <c r="F1739" t="s">
        <v>11</v>
      </c>
      <c r="G1739" t="str">
        <f>_xlfn.XLOOKUP(transakcje[[#This Row],[podkategoria]],parametr[podkategoria],parametr[kategoria])</f>
        <v>wydatki inne</v>
      </c>
      <c r="H1739" t="str">
        <f>_xlfn.XLOOKUP(transakcje[[#This Row],[kategoria]],parametr[kategoria],parametr[typ])</f>
        <v>wydatki</v>
      </c>
      <c r="I1739" s="1">
        <f>ABS(transakcje[[#This Row],[kwota]])</f>
        <v>6.9799999999999995</v>
      </c>
    </row>
    <row r="1740" spans="1:9" x14ac:dyDescent="0.3">
      <c r="A1740">
        <v>1739</v>
      </c>
      <c r="B1740">
        <v>2016</v>
      </c>
      <c r="C1740">
        <v>4</v>
      </c>
      <c r="D1740">
        <v>13</v>
      </c>
      <c r="E1740" s="1">
        <v>-0.24</v>
      </c>
      <c r="F1740" t="s">
        <v>26</v>
      </c>
      <c r="G1740" t="str">
        <f>_xlfn.XLOOKUP(transakcje[[#This Row],[podkategoria]],parametr[podkategoria],parametr[kategoria])</f>
        <v>życie</v>
      </c>
      <c r="H1740" t="str">
        <f>_xlfn.XLOOKUP(transakcje[[#This Row],[kategoria]],parametr[kategoria],parametr[typ])</f>
        <v>wydatki</v>
      </c>
      <c r="I1740" s="1">
        <f>ABS(transakcje[[#This Row],[kwota]])</f>
        <v>0.24</v>
      </c>
    </row>
    <row r="1741" spans="1:9" x14ac:dyDescent="0.3">
      <c r="A1741">
        <v>1740</v>
      </c>
      <c r="B1741">
        <v>2016</v>
      </c>
      <c r="C1741">
        <v>4</v>
      </c>
      <c r="D1741">
        <v>13</v>
      </c>
      <c r="E1741" s="1">
        <v>-5.524</v>
      </c>
      <c r="F1741" t="s">
        <v>26</v>
      </c>
      <c r="G1741" t="str">
        <f>_xlfn.XLOOKUP(transakcje[[#This Row],[podkategoria]],parametr[podkategoria],parametr[kategoria])</f>
        <v>życie</v>
      </c>
      <c r="H1741" t="str">
        <f>_xlfn.XLOOKUP(transakcje[[#This Row],[kategoria]],parametr[kategoria],parametr[typ])</f>
        <v>wydatki</v>
      </c>
      <c r="I1741" s="1">
        <f>ABS(transakcje[[#This Row],[kwota]])</f>
        <v>5.524</v>
      </c>
    </row>
    <row r="1742" spans="1:9" x14ac:dyDescent="0.3">
      <c r="A1742">
        <v>1741</v>
      </c>
      <c r="B1742">
        <v>2016</v>
      </c>
      <c r="C1742">
        <v>4</v>
      </c>
      <c r="D1742">
        <v>13</v>
      </c>
      <c r="E1742" s="1">
        <v>-1.3460000000000001</v>
      </c>
      <c r="F1742" t="s">
        <v>26</v>
      </c>
      <c r="G1742" t="str">
        <f>_xlfn.XLOOKUP(transakcje[[#This Row],[podkategoria]],parametr[podkategoria],parametr[kategoria])</f>
        <v>życie</v>
      </c>
      <c r="H1742" t="str">
        <f>_xlfn.XLOOKUP(transakcje[[#This Row],[kategoria]],parametr[kategoria],parametr[typ])</f>
        <v>wydatki</v>
      </c>
      <c r="I1742" s="1">
        <f>ABS(transakcje[[#This Row],[kwota]])</f>
        <v>1.3460000000000001</v>
      </c>
    </row>
    <row r="1743" spans="1:9" x14ac:dyDescent="0.3">
      <c r="A1743">
        <v>1742</v>
      </c>
      <c r="B1743">
        <v>2016</v>
      </c>
      <c r="C1743">
        <v>4</v>
      </c>
      <c r="D1743">
        <v>14</v>
      </c>
      <c r="E1743" s="1">
        <v>-0.39800000000000002</v>
      </c>
      <c r="F1743" t="s">
        <v>14</v>
      </c>
      <c r="G1743" t="str">
        <f>_xlfn.XLOOKUP(transakcje[[#This Row],[podkategoria]],parametr[podkategoria],parametr[kategoria])</f>
        <v>opłaty stałe</v>
      </c>
      <c r="H1743" t="str">
        <f>_xlfn.XLOOKUP(transakcje[[#This Row],[kategoria]],parametr[kategoria],parametr[typ])</f>
        <v>wydatki</v>
      </c>
      <c r="I1743" s="1">
        <f>ABS(transakcje[[#This Row],[kwota]])</f>
        <v>0.39800000000000002</v>
      </c>
    </row>
    <row r="1744" spans="1:9" x14ac:dyDescent="0.3">
      <c r="A1744">
        <v>1743</v>
      </c>
      <c r="B1744">
        <v>2016</v>
      </c>
      <c r="C1744">
        <v>4</v>
      </c>
      <c r="D1744">
        <v>15</v>
      </c>
      <c r="E1744" s="1">
        <v>-3.3880000000000003</v>
      </c>
      <c r="F1744" t="s">
        <v>26</v>
      </c>
      <c r="G1744" t="str">
        <f>_xlfn.XLOOKUP(transakcje[[#This Row],[podkategoria]],parametr[podkategoria],parametr[kategoria])</f>
        <v>życie</v>
      </c>
      <c r="H1744" t="str">
        <f>_xlfn.XLOOKUP(transakcje[[#This Row],[kategoria]],parametr[kategoria],parametr[typ])</f>
        <v>wydatki</v>
      </c>
      <c r="I1744" s="1">
        <f>ABS(transakcje[[#This Row],[kwota]])</f>
        <v>3.3880000000000003</v>
      </c>
    </row>
    <row r="1745" spans="1:9" x14ac:dyDescent="0.3">
      <c r="A1745">
        <v>1744</v>
      </c>
      <c r="B1745">
        <v>2016</v>
      </c>
      <c r="C1745">
        <v>4</v>
      </c>
      <c r="D1745">
        <v>16</v>
      </c>
      <c r="E1745" s="1">
        <v>-0.8</v>
      </c>
      <c r="F1745" t="s">
        <v>14</v>
      </c>
      <c r="G1745" t="str">
        <f>_xlfn.XLOOKUP(transakcje[[#This Row],[podkategoria]],parametr[podkategoria],parametr[kategoria])</f>
        <v>opłaty stałe</v>
      </c>
      <c r="H1745" t="str">
        <f>_xlfn.XLOOKUP(transakcje[[#This Row],[kategoria]],parametr[kategoria],parametr[typ])</f>
        <v>wydatki</v>
      </c>
      <c r="I1745" s="1">
        <f>ABS(transakcje[[#This Row],[kwota]])</f>
        <v>0.8</v>
      </c>
    </row>
    <row r="1746" spans="1:9" x14ac:dyDescent="0.3">
      <c r="A1746">
        <v>1745</v>
      </c>
      <c r="B1746">
        <v>2016</v>
      </c>
      <c r="C1746">
        <v>4</v>
      </c>
      <c r="D1746">
        <v>21</v>
      </c>
      <c r="E1746" s="1">
        <v>-13.656000000000001</v>
      </c>
      <c r="F1746" t="s">
        <v>26</v>
      </c>
      <c r="G1746" t="str">
        <f>_xlfn.XLOOKUP(transakcje[[#This Row],[podkategoria]],parametr[podkategoria],parametr[kategoria])</f>
        <v>życie</v>
      </c>
      <c r="H1746" t="str">
        <f>_xlfn.XLOOKUP(transakcje[[#This Row],[kategoria]],parametr[kategoria],parametr[typ])</f>
        <v>wydatki</v>
      </c>
      <c r="I1746" s="1">
        <f>ABS(transakcje[[#This Row],[kwota]])</f>
        <v>13.656000000000001</v>
      </c>
    </row>
    <row r="1747" spans="1:9" x14ac:dyDescent="0.3">
      <c r="A1747">
        <v>1746</v>
      </c>
      <c r="B1747">
        <v>2016</v>
      </c>
      <c r="C1747">
        <v>4</v>
      </c>
      <c r="D1747">
        <v>25</v>
      </c>
      <c r="E1747" s="1">
        <v>478.61400000000003</v>
      </c>
      <c r="F1747" t="s">
        <v>8</v>
      </c>
      <c r="G1747" t="str">
        <f>_xlfn.XLOOKUP(transakcje[[#This Row],[podkategoria]],parametr[podkategoria],parametr[kategoria])</f>
        <v>dochody z pracy</v>
      </c>
      <c r="H1747" t="str">
        <f>_xlfn.XLOOKUP(transakcje[[#This Row],[kategoria]],parametr[kategoria],parametr[typ])</f>
        <v>dochody</v>
      </c>
      <c r="I1747" s="1">
        <f>ABS(transakcje[[#This Row],[kwota]])</f>
        <v>478.61400000000003</v>
      </c>
    </row>
    <row r="1748" spans="1:9" x14ac:dyDescent="0.3">
      <c r="A1748">
        <v>1747</v>
      </c>
      <c r="B1748">
        <v>2016</v>
      </c>
      <c r="C1748">
        <v>4</v>
      </c>
      <c r="D1748">
        <v>25</v>
      </c>
      <c r="E1748" s="1">
        <v>-4.1280000000000001</v>
      </c>
      <c r="F1748" t="s">
        <v>26</v>
      </c>
      <c r="G1748" t="str">
        <f>_xlfn.XLOOKUP(transakcje[[#This Row],[podkategoria]],parametr[podkategoria],parametr[kategoria])</f>
        <v>życie</v>
      </c>
      <c r="H1748" t="str">
        <f>_xlfn.XLOOKUP(transakcje[[#This Row],[kategoria]],parametr[kategoria],parametr[typ])</f>
        <v>wydatki</v>
      </c>
      <c r="I1748" s="1">
        <f>ABS(transakcje[[#This Row],[kwota]])</f>
        <v>4.1280000000000001</v>
      </c>
    </row>
    <row r="1749" spans="1:9" x14ac:dyDescent="0.3">
      <c r="A1749">
        <v>1748</v>
      </c>
      <c r="B1749">
        <v>2016</v>
      </c>
      <c r="C1749">
        <v>4</v>
      </c>
      <c r="D1749">
        <v>27</v>
      </c>
      <c r="E1749" s="1">
        <v>-0.48</v>
      </c>
      <c r="F1749" t="s">
        <v>26</v>
      </c>
      <c r="G1749" t="str">
        <f>_xlfn.XLOOKUP(transakcje[[#This Row],[podkategoria]],parametr[podkategoria],parametr[kategoria])</f>
        <v>życie</v>
      </c>
      <c r="H1749" t="str">
        <f>_xlfn.XLOOKUP(transakcje[[#This Row],[kategoria]],parametr[kategoria],parametr[typ])</f>
        <v>wydatki</v>
      </c>
      <c r="I1749" s="1">
        <f>ABS(transakcje[[#This Row],[kwota]])</f>
        <v>0.48</v>
      </c>
    </row>
    <row r="1750" spans="1:9" x14ac:dyDescent="0.3">
      <c r="A1750">
        <v>1749</v>
      </c>
      <c r="B1750">
        <v>2016</v>
      </c>
      <c r="C1750">
        <v>4</v>
      </c>
      <c r="D1750">
        <v>29</v>
      </c>
      <c r="E1750" s="1">
        <v>-19.8</v>
      </c>
      <c r="F1750" t="s">
        <v>32</v>
      </c>
      <c r="G1750" t="str">
        <f>_xlfn.XLOOKUP(transakcje[[#This Row],[podkategoria]],parametr[podkategoria],parametr[kategoria])</f>
        <v>opłaty stałe</v>
      </c>
      <c r="H1750" t="str">
        <f>_xlfn.XLOOKUP(transakcje[[#This Row],[kategoria]],parametr[kategoria],parametr[typ])</f>
        <v>wydatki</v>
      </c>
      <c r="I1750" s="1">
        <f>ABS(transakcje[[#This Row],[kwota]])</f>
        <v>19.8</v>
      </c>
    </row>
    <row r="1751" spans="1:9" x14ac:dyDescent="0.3">
      <c r="A1751">
        <v>1750</v>
      </c>
      <c r="B1751">
        <v>2016</v>
      </c>
      <c r="C1751">
        <v>4</v>
      </c>
      <c r="D1751">
        <v>29</v>
      </c>
      <c r="E1751" s="1">
        <v>-2.0100000000000002</v>
      </c>
      <c r="F1751" t="s">
        <v>26</v>
      </c>
      <c r="G1751" t="str">
        <f>_xlfn.XLOOKUP(transakcje[[#This Row],[podkategoria]],parametr[podkategoria],parametr[kategoria])</f>
        <v>życie</v>
      </c>
      <c r="H1751" t="str">
        <f>_xlfn.XLOOKUP(transakcje[[#This Row],[kategoria]],parametr[kategoria],parametr[typ])</f>
        <v>wydatki</v>
      </c>
      <c r="I1751" s="1">
        <f>ABS(transakcje[[#This Row],[kwota]])</f>
        <v>2.0100000000000002</v>
      </c>
    </row>
    <row r="1752" spans="1:9" x14ac:dyDescent="0.3">
      <c r="A1752">
        <v>1751</v>
      </c>
      <c r="B1752">
        <v>2016</v>
      </c>
      <c r="C1752">
        <v>4</v>
      </c>
      <c r="D1752">
        <v>29</v>
      </c>
      <c r="E1752" s="1">
        <v>-0.96</v>
      </c>
      <c r="F1752" t="s">
        <v>26</v>
      </c>
      <c r="G1752" t="str">
        <f>_xlfn.XLOOKUP(transakcje[[#This Row],[podkategoria]],parametr[podkategoria],parametr[kategoria])</f>
        <v>życie</v>
      </c>
      <c r="H1752" t="str">
        <f>_xlfn.XLOOKUP(transakcje[[#This Row],[kategoria]],parametr[kategoria],parametr[typ])</f>
        <v>wydatki</v>
      </c>
      <c r="I1752" s="1">
        <f>ABS(transakcje[[#This Row],[kwota]])</f>
        <v>0.96</v>
      </c>
    </row>
    <row r="1753" spans="1:9" x14ac:dyDescent="0.3">
      <c r="A1753">
        <v>1752</v>
      </c>
      <c r="B1753">
        <v>2016</v>
      </c>
      <c r="C1753">
        <v>4</v>
      </c>
      <c r="D1753">
        <v>29</v>
      </c>
      <c r="E1753" s="1">
        <v>-5.4659999999999993</v>
      </c>
      <c r="F1753" t="s">
        <v>26</v>
      </c>
      <c r="G1753" t="str">
        <f>_xlfn.XLOOKUP(transakcje[[#This Row],[podkategoria]],parametr[podkategoria],parametr[kategoria])</f>
        <v>życie</v>
      </c>
      <c r="H1753" t="str">
        <f>_xlfn.XLOOKUP(transakcje[[#This Row],[kategoria]],parametr[kategoria],parametr[typ])</f>
        <v>wydatki</v>
      </c>
      <c r="I1753" s="1">
        <f>ABS(transakcje[[#This Row],[kwota]])</f>
        <v>5.4659999999999993</v>
      </c>
    </row>
    <row r="1754" spans="1:9" x14ac:dyDescent="0.3">
      <c r="A1754">
        <v>1753</v>
      </c>
      <c r="B1754">
        <v>2016</v>
      </c>
      <c r="C1754">
        <v>4</v>
      </c>
      <c r="D1754">
        <v>30</v>
      </c>
      <c r="E1754" s="1">
        <v>-34.69</v>
      </c>
      <c r="F1754" t="s">
        <v>37</v>
      </c>
      <c r="G1754" t="str">
        <f>_xlfn.XLOOKUP(transakcje[[#This Row],[podkategoria]],parametr[podkategoria],parametr[kategoria])</f>
        <v>opłaty stałe</v>
      </c>
      <c r="H1754" t="str">
        <f>_xlfn.XLOOKUP(transakcje[[#This Row],[kategoria]],parametr[kategoria],parametr[typ])</f>
        <v>wydatki</v>
      </c>
      <c r="I1754" s="1">
        <f>ABS(transakcje[[#This Row],[kwota]])</f>
        <v>34.69</v>
      </c>
    </row>
    <row r="1755" spans="1:9" x14ac:dyDescent="0.3">
      <c r="A1755">
        <v>1754</v>
      </c>
      <c r="B1755">
        <v>2016</v>
      </c>
      <c r="C1755">
        <v>4</v>
      </c>
      <c r="D1755">
        <v>30</v>
      </c>
      <c r="E1755" s="1">
        <v>5.4479999999999995</v>
      </c>
      <c r="F1755" t="s">
        <v>17</v>
      </c>
      <c r="G1755" t="str">
        <f>_xlfn.XLOOKUP(transakcje[[#This Row],[podkategoria]],parametr[podkategoria],parametr[kategoria])</f>
        <v>dochody pozostałe</v>
      </c>
      <c r="H1755" t="str">
        <f>_xlfn.XLOOKUP(transakcje[[#This Row],[kategoria]],parametr[kategoria],parametr[typ])</f>
        <v>dochody</v>
      </c>
      <c r="I1755" s="1">
        <f>ABS(transakcje[[#This Row],[kwota]])</f>
        <v>5.4479999999999995</v>
      </c>
    </row>
    <row r="1756" spans="1:9" x14ac:dyDescent="0.3">
      <c r="A1756">
        <v>1755</v>
      </c>
      <c r="B1756">
        <v>2016</v>
      </c>
      <c r="C1756">
        <v>4</v>
      </c>
      <c r="D1756">
        <v>30</v>
      </c>
      <c r="E1756" s="1">
        <v>2E-3</v>
      </c>
      <c r="F1756" t="s">
        <v>17</v>
      </c>
      <c r="G1756" t="str">
        <f>_xlfn.XLOOKUP(transakcje[[#This Row],[podkategoria]],parametr[podkategoria],parametr[kategoria])</f>
        <v>dochody pozostałe</v>
      </c>
      <c r="H1756" t="str">
        <f>_xlfn.XLOOKUP(transakcje[[#This Row],[kategoria]],parametr[kategoria],parametr[typ])</f>
        <v>dochody</v>
      </c>
      <c r="I1756" s="1">
        <f>ABS(transakcje[[#This Row],[kwota]])</f>
        <v>2E-3</v>
      </c>
    </row>
    <row r="1757" spans="1:9" x14ac:dyDescent="0.3">
      <c r="A1757">
        <v>1756</v>
      </c>
      <c r="B1757">
        <v>2016</v>
      </c>
      <c r="C1757">
        <v>4</v>
      </c>
      <c r="D1757">
        <v>30</v>
      </c>
      <c r="E1757" s="1">
        <v>-1.198</v>
      </c>
      <c r="F1757" t="s">
        <v>14</v>
      </c>
      <c r="G1757" t="str">
        <f>_xlfn.XLOOKUP(transakcje[[#This Row],[podkategoria]],parametr[podkategoria],parametr[kategoria])</f>
        <v>opłaty stałe</v>
      </c>
      <c r="H1757" t="str">
        <f>_xlfn.XLOOKUP(transakcje[[#This Row],[kategoria]],parametr[kategoria],parametr[typ])</f>
        <v>wydatki</v>
      </c>
      <c r="I1757" s="1">
        <f>ABS(transakcje[[#This Row],[kwota]])</f>
        <v>1.198</v>
      </c>
    </row>
    <row r="1758" spans="1:9" x14ac:dyDescent="0.3">
      <c r="A1758">
        <v>1757</v>
      </c>
      <c r="B1758">
        <v>2016</v>
      </c>
      <c r="C1758">
        <v>4</v>
      </c>
      <c r="D1758">
        <v>30</v>
      </c>
      <c r="E1758" s="1">
        <v>-0.7</v>
      </c>
      <c r="F1758" t="s">
        <v>14</v>
      </c>
      <c r="G1758" t="str">
        <f>_xlfn.XLOOKUP(transakcje[[#This Row],[podkategoria]],parametr[podkategoria],parametr[kategoria])</f>
        <v>opłaty stałe</v>
      </c>
      <c r="H1758" t="str">
        <f>_xlfn.XLOOKUP(transakcje[[#This Row],[kategoria]],parametr[kategoria],parametr[typ])</f>
        <v>wydatki</v>
      </c>
      <c r="I1758" s="1">
        <f>ABS(transakcje[[#This Row],[kwota]])</f>
        <v>0.7</v>
      </c>
    </row>
    <row r="1759" spans="1:9" x14ac:dyDescent="0.3">
      <c r="A1759">
        <v>1758</v>
      </c>
      <c r="B1759">
        <v>2016</v>
      </c>
      <c r="C1759">
        <v>4</v>
      </c>
      <c r="D1759">
        <v>30</v>
      </c>
      <c r="E1759" s="1">
        <v>-2E-3</v>
      </c>
      <c r="F1759" t="s">
        <v>14</v>
      </c>
      <c r="G1759" t="str">
        <f>_xlfn.XLOOKUP(transakcje[[#This Row],[podkategoria]],parametr[podkategoria],parametr[kategoria])</f>
        <v>opłaty stałe</v>
      </c>
      <c r="H1759" t="str">
        <f>_xlfn.XLOOKUP(transakcje[[#This Row],[kategoria]],parametr[kategoria],parametr[typ])</f>
        <v>wydatki</v>
      </c>
      <c r="I1759" s="1">
        <f>ABS(transakcje[[#This Row],[kwota]])</f>
        <v>2E-3</v>
      </c>
    </row>
    <row r="1760" spans="1:9" x14ac:dyDescent="0.3">
      <c r="A1760">
        <v>1759</v>
      </c>
      <c r="B1760">
        <v>2016</v>
      </c>
      <c r="C1760">
        <v>4</v>
      </c>
      <c r="D1760">
        <v>30</v>
      </c>
      <c r="E1760" s="1">
        <v>-46.4</v>
      </c>
      <c r="F1760" t="s">
        <v>30</v>
      </c>
      <c r="G1760" t="str">
        <f>_xlfn.XLOOKUP(transakcje[[#This Row],[podkategoria]],parametr[podkategoria],parametr[kategoria])</f>
        <v>opłaty stałe</v>
      </c>
      <c r="H1760" t="str">
        <f>_xlfn.XLOOKUP(transakcje[[#This Row],[kategoria]],parametr[kategoria],parametr[typ])</f>
        <v>wydatki</v>
      </c>
      <c r="I1760" s="1">
        <f>ABS(transakcje[[#This Row],[kwota]])</f>
        <v>46.4</v>
      </c>
    </row>
    <row r="1761" spans="1:9" x14ac:dyDescent="0.3">
      <c r="A1761">
        <v>1760</v>
      </c>
      <c r="B1761">
        <v>2016</v>
      </c>
      <c r="C1761">
        <v>5</v>
      </c>
      <c r="D1761">
        <v>1</v>
      </c>
      <c r="E1761" s="1">
        <v>-6.0840000000000005</v>
      </c>
      <c r="F1761" t="s">
        <v>25</v>
      </c>
      <c r="G1761" t="str">
        <f>_xlfn.XLOOKUP(transakcje[[#This Row],[podkategoria]],parametr[podkategoria],parametr[kategoria])</f>
        <v>opłaty stałe</v>
      </c>
      <c r="H1761" t="str">
        <f>_xlfn.XLOOKUP(transakcje[[#This Row],[kategoria]],parametr[kategoria],parametr[typ])</f>
        <v>wydatki</v>
      </c>
      <c r="I1761" s="1">
        <f>ABS(transakcje[[#This Row],[kwota]])</f>
        <v>6.0840000000000005</v>
      </c>
    </row>
    <row r="1762" spans="1:9" x14ac:dyDescent="0.3">
      <c r="A1762">
        <v>1761</v>
      </c>
      <c r="B1762">
        <v>2016</v>
      </c>
      <c r="C1762">
        <v>5</v>
      </c>
      <c r="D1762">
        <v>1</v>
      </c>
      <c r="E1762" s="1">
        <v>-61.69</v>
      </c>
      <c r="F1762" t="s">
        <v>31</v>
      </c>
      <c r="G1762" t="str">
        <f>_xlfn.XLOOKUP(transakcje[[#This Row],[podkategoria]],parametr[podkategoria],parametr[kategoria])</f>
        <v>opłaty stałe</v>
      </c>
      <c r="H1762" t="str">
        <f>_xlfn.XLOOKUP(transakcje[[#This Row],[kategoria]],parametr[kategoria],parametr[typ])</f>
        <v>wydatki</v>
      </c>
      <c r="I1762" s="1">
        <f>ABS(transakcje[[#This Row],[kwota]])</f>
        <v>61.69</v>
      </c>
    </row>
    <row r="1763" spans="1:9" x14ac:dyDescent="0.3">
      <c r="A1763">
        <v>1762</v>
      </c>
      <c r="B1763">
        <v>2016</v>
      </c>
      <c r="C1763">
        <v>5</v>
      </c>
      <c r="D1763">
        <v>1</v>
      </c>
      <c r="E1763" s="1">
        <v>-6.15</v>
      </c>
      <c r="F1763" t="s">
        <v>35</v>
      </c>
      <c r="G1763" t="str">
        <f>_xlfn.XLOOKUP(transakcje[[#This Row],[podkategoria]],parametr[podkategoria],parametr[kategoria])</f>
        <v>opłaty stałe</v>
      </c>
      <c r="H1763" t="str">
        <f>_xlfn.XLOOKUP(transakcje[[#This Row],[kategoria]],parametr[kategoria],parametr[typ])</f>
        <v>wydatki</v>
      </c>
      <c r="I1763" s="1">
        <f>ABS(transakcje[[#This Row],[kwota]])</f>
        <v>6.15</v>
      </c>
    </row>
    <row r="1764" spans="1:9" x14ac:dyDescent="0.3">
      <c r="A1764">
        <v>1763</v>
      </c>
      <c r="B1764">
        <v>2016</v>
      </c>
      <c r="C1764">
        <v>5</v>
      </c>
      <c r="D1764">
        <v>1</v>
      </c>
      <c r="E1764" s="1">
        <v>-7.38</v>
      </c>
      <c r="F1764" t="s">
        <v>23</v>
      </c>
      <c r="G1764" t="str">
        <f>_xlfn.XLOOKUP(transakcje[[#This Row],[podkategoria]],parametr[podkategoria],parametr[kategoria])</f>
        <v>opłaty stałe</v>
      </c>
      <c r="H1764" t="str">
        <f>_xlfn.XLOOKUP(transakcje[[#This Row],[kategoria]],parametr[kategoria],parametr[typ])</f>
        <v>wydatki</v>
      </c>
      <c r="I1764" s="1">
        <f>ABS(transakcje[[#This Row],[kwota]])</f>
        <v>7.38</v>
      </c>
    </row>
    <row r="1765" spans="1:9" x14ac:dyDescent="0.3">
      <c r="A1765">
        <v>1764</v>
      </c>
      <c r="B1765">
        <v>2016</v>
      </c>
      <c r="C1765">
        <v>5</v>
      </c>
      <c r="D1765">
        <v>1</v>
      </c>
      <c r="E1765" s="1">
        <v>-11.616</v>
      </c>
      <c r="F1765" t="s">
        <v>34</v>
      </c>
      <c r="G1765" t="str">
        <f>_xlfn.XLOOKUP(transakcje[[#This Row],[podkategoria]],parametr[podkategoria],parametr[kategoria])</f>
        <v>opłaty stałe</v>
      </c>
      <c r="H1765" t="str">
        <f>_xlfn.XLOOKUP(transakcje[[#This Row],[kategoria]],parametr[kategoria],parametr[typ])</f>
        <v>wydatki</v>
      </c>
      <c r="I1765" s="1">
        <f>ABS(transakcje[[#This Row],[kwota]])</f>
        <v>11.616</v>
      </c>
    </row>
    <row r="1766" spans="1:9" x14ac:dyDescent="0.3">
      <c r="A1766">
        <v>1765</v>
      </c>
      <c r="B1766">
        <v>2016</v>
      </c>
      <c r="C1766">
        <v>5</v>
      </c>
      <c r="D1766">
        <v>2</v>
      </c>
      <c r="E1766" s="1">
        <v>125.34200000000001</v>
      </c>
      <c r="F1766" t="s">
        <v>19</v>
      </c>
      <c r="G1766" t="str">
        <f>_xlfn.XLOOKUP(transakcje[[#This Row],[podkategoria]],parametr[podkategoria],parametr[kategoria])</f>
        <v>dochody z pracy</v>
      </c>
      <c r="H1766" t="str">
        <f>_xlfn.XLOOKUP(transakcje[[#This Row],[kategoria]],parametr[kategoria],parametr[typ])</f>
        <v>dochody</v>
      </c>
      <c r="I1766" s="1">
        <f>ABS(transakcje[[#This Row],[kwota]])</f>
        <v>125.34200000000001</v>
      </c>
    </row>
    <row r="1767" spans="1:9" x14ac:dyDescent="0.3">
      <c r="A1767">
        <v>1766</v>
      </c>
      <c r="B1767">
        <v>2016</v>
      </c>
      <c r="C1767">
        <v>5</v>
      </c>
      <c r="D1767">
        <v>6</v>
      </c>
      <c r="E1767" s="1">
        <v>-23.137999999999998</v>
      </c>
      <c r="F1767" t="s">
        <v>26</v>
      </c>
      <c r="G1767" t="str">
        <f>_xlfn.XLOOKUP(transakcje[[#This Row],[podkategoria]],parametr[podkategoria],parametr[kategoria])</f>
        <v>życie</v>
      </c>
      <c r="H1767" t="str">
        <f>_xlfn.XLOOKUP(transakcje[[#This Row],[kategoria]],parametr[kategoria],parametr[typ])</f>
        <v>wydatki</v>
      </c>
      <c r="I1767" s="1">
        <f>ABS(transakcje[[#This Row],[kwota]])</f>
        <v>23.137999999999998</v>
      </c>
    </row>
    <row r="1768" spans="1:9" x14ac:dyDescent="0.3">
      <c r="A1768">
        <v>1767</v>
      </c>
      <c r="B1768">
        <v>2016</v>
      </c>
      <c r="C1768">
        <v>5</v>
      </c>
      <c r="D1768">
        <v>7</v>
      </c>
      <c r="E1768" s="1">
        <v>-12.504000000000001</v>
      </c>
      <c r="F1768" t="s">
        <v>11</v>
      </c>
      <c r="G1768" t="str">
        <f>_xlfn.XLOOKUP(transakcje[[#This Row],[podkategoria]],parametr[podkategoria],parametr[kategoria])</f>
        <v>wydatki inne</v>
      </c>
      <c r="H1768" t="str">
        <f>_xlfn.XLOOKUP(transakcje[[#This Row],[kategoria]],parametr[kategoria],parametr[typ])</f>
        <v>wydatki</v>
      </c>
      <c r="I1768" s="1">
        <f>ABS(transakcje[[#This Row],[kwota]])</f>
        <v>12.504000000000001</v>
      </c>
    </row>
    <row r="1769" spans="1:9" x14ac:dyDescent="0.3">
      <c r="A1769">
        <v>1768</v>
      </c>
      <c r="B1769">
        <v>2016</v>
      </c>
      <c r="C1769">
        <v>5</v>
      </c>
      <c r="D1769">
        <v>9</v>
      </c>
      <c r="E1769" s="1">
        <v>-33.4</v>
      </c>
      <c r="F1769" t="s">
        <v>29</v>
      </c>
      <c r="G1769" t="str">
        <f>_xlfn.XLOOKUP(transakcje[[#This Row],[podkategoria]],parametr[podkategoria],parametr[kategoria])</f>
        <v>opłaty stałe</v>
      </c>
      <c r="H1769" t="str">
        <f>_xlfn.XLOOKUP(transakcje[[#This Row],[kategoria]],parametr[kategoria],parametr[typ])</f>
        <v>wydatki</v>
      </c>
      <c r="I1769" s="1">
        <f>ABS(transakcje[[#This Row],[kwota]])</f>
        <v>33.4</v>
      </c>
    </row>
    <row r="1770" spans="1:9" x14ac:dyDescent="0.3">
      <c r="A1770">
        <v>1769</v>
      </c>
      <c r="B1770">
        <v>2016</v>
      </c>
      <c r="C1770">
        <v>5</v>
      </c>
      <c r="D1770">
        <v>10</v>
      </c>
      <c r="E1770" s="1">
        <v>-1.1460000000000001</v>
      </c>
      <c r="F1770" t="s">
        <v>26</v>
      </c>
      <c r="G1770" t="str">
        <f>_xlfn.XLOOKUP(transakcje[[#This Row],[podkategoria]],parametr[podkategoria],parametr[kategoria])</f>
        <v>życie</v>
      </c>
      <c r="H1770" t="str">
        <f>_xlfn.XLOOKUP(transakcje[[#This Row],[kategoria]],parametr[kategoria],parametr[typ])</f>
        <v>wydatki</v>
      </c>
      <c r="I1770" s="1">
        <f>ABS(transakcje[[#This Row],[kwota]])</f>
        <v>1.1460000000000001</v>
      </c>
    </row>
    <row r="1771" spans="1:9" x14ac:dyDescent="0.3">
      <c r="A1771">
        <v>1770</v>
      </c>
      <c r="B1771">
        <v>2016</v>
      </c>
      <c r="C1771">
        <v>5</v>
      </c>
      <c r="D1771">
        <v>11</v>
      </c>
      <c r="E1771" s="1">
        <v>-4.492</v>
      </c>
      <c r="F1771" t="s">
        <v>26</v>
      </c>
      <c r="G1771" t="str">
        <f>_xlfn.XLOOKUP(transakcje[[#This Row],[podkategoria]],parametr[podkategoria],parametr[kategoria])</f>
        <v>życie</v>
      </c>
      <c r="H1771" t="str">
        <f>_xlfn.XLOOKUP(transakcje[[#This Row],[kategoria]],parametr[kategoria],parametr[typ])</f>
        <v>wydatki</v>
      </c>
      <c r="I1771" s="1">
        <f>ABS(transakcje[[#This Row],[kwota]])</f>
        <v>4.492</v>
      </c>
    </row>
    <row r="1772" spans="1:9" x14ac:dyDescent="0.3">
      <c r="A1772">
        <v>1771</v>
      </c>
      <c r="B1772">
        <v>2016</v>
      </c>
      <c r="C1772">
        <v>5</v>
      </c>
      <c r="D1772">
        <v>13</v>
      </c>
      <c r="E1772" s="1">
        <v>-1.1499999999999999</v>
      </c>
      <c r="F1772" t="s">
        <v>11</v>
      </c>
      <c r="G1772" t="str">
        <f>_xlfn.XLOOKUP(transakcje[[#This Row],[podkategoria]],parametr[podkategoria],parametr[kategoria])</f>
        <v>wydatki inne</v>
      </c>
      <c r="H1772" t="str">
        <f>_xlfn.XLOOKUP(transakcje[[#This Row],[kategoria]],parametr[kategoria],parametr[typ])</f>
        <v>wydatki</v>
      </c>
      <c r="I1772" s="1">
        <f>ABS(transakcje[[#This Row],[kwota]])</f>
        <v>1.1499999999999999</v>
      </c>
    </row>
    <row r="1773" spans="1:9" x14ac:dyDescent="0.3">
      <c r="A1773">
        <v>1772</v>
      </c>
      <c r="B1773">
        <v>2016</v>
      </c>
      <c r="C1773">
        <v>5</v>
      </c>
      <c r="D1773">
        <v>13</v>
      </c>
      <c r="E1773" s="1">
        <v>-0.39800000000000002</v>
      </c>
      <c r="F1773" t="s">
        <v>14</v>
      </c>
      <c r="G1773" t="str">
        <f>_xlfn.XLOOKUP(transakcje[[#This Row],[podkategoria]],parametr[podkategoria],parametr[kategoria])</f>
        <v>opłaty stałe</v>
      </c>
      <c r="H1773" t="str">
        <f>_xlfn.XLOOKUP(transakcje[[#This Row],[kategoria]],parametr[kategoria],parametr[typ])</f>
        <v>wydatki</v>
      </c>
      <c r="I1773" s="1">
        <f>ABS(transakcje[[#This Row],[kwota]])</f>
        <v>0.39800000000000002</v>
      </c>
    </row>
    <row r="1774" spans="1:9" x14ac:dyDescent="0.3">
      <c r="A1774">
        <v>1773</v>
      </c>
      <c r="B1774">
        <v>2016</v>
      </c>
      <c r="C1774">
        <v>5</v>
      </c>
      <c r="D1774">
        <v>13</v>
      </c>
      <c r="E1774" s="1">
        <v>-0.48</v>
      </c>
      <c r="F1774" t="s">
        <v>26</v>
      </c>
      <c r="G1774" t="str">
        <f>_xlfn.XLOOKUP(transakcje[[#This Row],[podkategoria]],parametr[podkategoria],parametr[kategoria])</f>
        <v>życie</v>
      </c>
      <c r="H1774" t="str">
        <f>_xlfn.XLOOKUP(transakcje[[#This Row],[kategoria]],parametr[kategoria],parametr[typ])</f>
        <v>wydatki</v>
      </c>
      <c r="I1774" s="1">
        <f>ABS(transakcje[[#This Row],[kwota]])</f>
        <v>0.48</v>
      </c>
    </row>
    <row r="1775" spans="1:9" x14ac:dyDescent="0.3">
      <c r="A1775">
        <v>1774</v>
      </c>
      <c r="B1775">
        <v>2016</v>
      </c>
      <c r="C1775">
        <v>5</v>
      </c>
      <c r="D1775">
        <v>13</v>
      </c>
      <c r="E1775" s="1">
        <v>-7.0720000000000001</v>
      </c>
      <c r="F1775" t="s">
        <v>26</v>
      </c>
      <c r="G1775" t="str">
        <f>_xlfn.XLOOKUP(transakcje[[#This Row],[podkategoria]],parametr[podkategoria],parametr[kategoria])</f>
        <v>życie</v>
      </c>
      <c r="H1775" t="str">
        <f>_xlfn.XLOOKUP(transakcje[[#This Row],[kategoria]],parametr[kategoria],parametr[typ])</f>
        <v>wydatki</v>
      </c>
      <c r="I1775" s="1">
        <f>ABS(transakcje[[#This Row],[kwota]])</f>
        <v>7.0720000000000001</v>
      </c>
    </row>
    <row r="1776" spans="1:9" x14ac:dyDescent="0.3">
      <c r="A1776">
        <v>1775</v>
      </c>
      <c r="B1776">
        <v>2016</v>
      </c>
      <c r="C1776">
        <v>5</v>
      </c>
      <c r="D1776">
        <v>16</v>
      </c>
      <c r="E1776" s="1">
        <v>-0.8</v>
      </c>
      <c r="F1776" t="s">
        <v>14</v>
      </c>
      <c r="G1776" t="str">
        <f>_xlfn.XLOOKUP(transakcje[[#This Row],[podkategoria]],parametr[podkategoria],parametr[kategoria])</f>
        <v>opłaty stałe</v>
      </c>
      <c r="H1776" t="str">
        <f>_xlfn.XLOOKUP(transakcje[[#This Row],[kategoria]],parametr[kategoria],parametr[typ])</f>
        <v>wydatki</v>
      </c>
      <c r="I1776" s="1">
        <f>ABS(transakcje[[#This Row],[kwota]])</f>
        <v>0.8</v>
      </c>
    </row>
    <row r="1777" spans="1:9" x14ac:dyDescent="0.3">
      <c r="A1777">
        <v>1776</v>
      </c>
      <c r="B1777">
        <v>2016</v>
      </c>
      <c r="C1777">
        <v>5</v>
      </c>
      <c r="D1777">
        <v>18</v>
      </c>
      <c r="E1777" s="1">
        <v>-1.47</v>
      </c>
      <c r="F1777" t="s">
        <v>26</v>
      </c>
      <c r="G1777" t="str">
        <f>_xlfn.XLOOKUP(transakcje[[#This Row],[podkategoria]],parametr[podkategoria],parametr[kategoria])</f>
        <v>życie</v>
      </c>
      <c r="H1777" t="str">
        <f>_xlfn.XLOOKUP(transakcje[[#This Row],[kategoria]],parametr[kategoria],parametr[typ])</f>
        <v>wydatki</v>
      </c>
      <c r="I1777" s="1">
        <f>ABS(transakcje[[#This Row],[kwota]])</f>
        <v>1.47</v>
      </c>
    </row>
    <row r="1778" spans="1:9" x14ac:dyDescent="0.3">
      <c r="A1778">
        <v>1777</v>
      </c>
      <c r="B1778">
        <v>2016</v>
      </c>
      <c r="C1778">
        <v>5</v>
      </c>
      <c r="D1778">
        <v>20</v>
      </c>
      <c r="E1778" s="1">
        <v>-10.736000000000001</v>
      </c>
      <c r="F1778" t="s">
        <v>26</v>
      </c>
      <c r="G1778" t="str">
        <f>_xlfn.XLOOKUP(transakcje[[#This Row],[podkategoria]],parametr[podkategoria],parametr[kategoria])</f>
        <v>życie</v>
      </c>
      <c r="H1778" t="str">
        <f>_xlfn.XLOOKUP(transakcje[[#This Row],[kategoria]],parametr[kategoria],parametr[typ])</f>
        <v>wydatki</v>
      </c>
      <c r="I1778" s="1">
        <f>ABS(transakcje[[#This Row],[kwota]])</f>
        <v>10.736000000000001</v>
      </c>
    </row>
    <row r="1779" spans="1:9" x14ac:dyDescent="0.3">
      <c r="A1779">
        <v>1778</v>
      </c>
      <c r="B1779">
        <v>2016</v>
      </c>
      <c r="C1779">
        <v>5</v>
      </c>
      <c r="D1779">
        <v>24</v>
      </c>
      <c r="E1779" s="1">
        <v>-3.1160000000000001</v>
      </c>
      <c r="F1779" t="s">
        <v>26</v>
      </c>
      <c r="G1779" t="str">
        <f>_xlfn.XLOOKUP(transakcje[[#This Row],[podkategoria]],parametr[podkategoria],parametr[kategoria])</f>
        <v>życie</v>
      </c>
      <c r="H1779" t="str">
        <f>_xlfn.XLOOKUP(transakcje[[#This Row],[kategoria]],parametr[kategoria],parametr[typ])</f>
        <v>wydatki</v>
      </c>
      <c r="I1779" s="1">
        <f>ABS(transakcje[[#This Row],[kwota]])</f>
        <v>3.1160000000000001</v>
      </c>
    </row>
    <row r="1780" spans="1:9" x14ac:dyDescent="0.3">
      <c r="A1780">
        <v>1779</v>
      </c>
      <c r="B1780">
        <v>2016</v>
      </c>
      <c r="C1780">
        <v>5</v>
      </c>
      <c r="D1780">
        <v>24</v>
      </c>
      <c r="E1780" s="1">
        <v>-1.234</v>
      </c>
      <c r="F1780" t="s">
        <v>26</v>
      </c>
      <c r="G1780" t="str">
        <f>_xlfn.XLOOKUP(transakcje[[#This Row],[podkategoria]],parametr[podkategoria],parametr[kategoria])</f>
        <v>życie</v>
      </c>
      <c r="H1780" t="str">
        <f>_xlfn.XLOOKUP(transakcje[[#This Row],[kategoria]],parametr[kategoria],parametr[typ])</f>
        <v>wydatki</v>
      </c>
      <c r="I1780" s="1">
        <f>ABS(transakcje[[#This Row],[kwota]])</f>
        <v>1.234</v>
      </c>
    </row>
    <row r="1781" spans="1:9" x14ac:dyDescent="0.3">
      <c r="A1781">
        <v>1780</v>
      </c>
      <c r="B1781">
        <v>2016</v>
      </c>
      <c r="C1781">
        <v>5</v>
      </c>
      <c r="D1781">
        <v>25</v>
      </c>
      <c r="E1781" s="1">
        <v>478.61400000000003</v>
      </c>
      <c r="F1781" t="s">
        <v>8</v>
      </c>
      <c r="G1781" t="str">
        <f>_xlfn.XLOOKUP(transakcje[[#This Row],[podkategoria]],parametr[podkategoria],parametr[kategoria])</f>
        <v>dochody z pracy</v>
      </c>
      <c r="H1781" t="str">
        <f>_xlfn.XLOOKUP(transakcje[[#This Row],[kategoria]],parametr[kategoria],parametr[typ])</f>
        <v>dochody</v>
      </c>
      <c r="I1781" s="1">
        <f>ABS(transakcje[[#This Row],[kwota]])</f>
        <v>478.61400000000003</v>
      </c>
    </row>
    <row r="1782" spans="1:9" x14ac:dyDescent="0.3">
      <c r="A1782">
        <v>1781</v>
      </c>
      <c r="B1782">
        <v>2016</v>
      </c>
      <c r="C1782">
        <v>5</v>
      </c>
      <c r="D1782">
        <v>25</v>
      </c>
      <c r="E1782" s="1">
        <v>-0.87200000000000011</v>
      </c>
      <c r="F1782" t="s">
        <v>26</v>
      </c>
      <c r="G1782" t="str">
        <f>_xlfn.XLOOKUP(transakcje[[#This Row],[podkategoria]],parametr[podkategoria],parametr[kategoria])</f>
        <v>życie</v>
      </c>
      <c r="H1782" t="str">
        <f>_xlfn.XLOOKUP(transakcje[[#This Row],[kategoria]],parametr[kategoria],parametr[typ])</f>
        <v>wydatki</v>
      </c>
      <c r="I1782" s="1">
        <f>ABS(transakcje[[#This Row],[kwota]])</f>
        <v>0.87200000000000011</v>
      </c>
    </row>
    <row r="1783" spans="1:9" x14ac:dyDescent="0.3">
      <c r="A1783">
        <v>1782</v>
      </c>
      <c r="B1783">
        <v>2016</v>
      </c>
      <c r="C1783">
        <v>5</v>
      </c>
      <c r="D1783">
        <v>25</v>
      </c>
      <c r="E1783" s="1">
        <v>-27.582000000000001</v>
      </c>
      <c r="F1783" t="s">
        <v>26</v>
      </c>
      <c r="G1783" t="str">
        <f>_xlfn.XLOOKUP(transakcje[[#This Row],[podkategoria]],parametr[podkategoria],parametr[kategoria])</f>
        <v>życie</v>
      </c>
      <c r="H1783" t="str">
        <f>_xlfn.XLOOKUP(transakcje[[#This Row],[kategoria]],parametr[kategoria],parametr[typ])</f>
        <v>wydatki</v>
      </c>
      <c r="I1783" s="1">
        <f>ABS(transakcje[[#This Row],[kwota]])</f>
        <v>27.582000000000001</v>
      </c>
    </row>
    <row r="1784" spans="1:9" x14ac:dyDescent="0.3">
      <c r="A1784">
        <v>1783</v>
      </c>
      <c r="B1784">
        <v>2016</v>
      </c>
      <c r="C1784">
        <v>5</v>
      </c>
      <c r="D1784">
        <v>27</v>
      </c>
      <c r="E1784" s="1">
        <v>-19.8</v>
      </c>
      <c r="F1784" t="s">
        <v>32</v>
      </c>
      <c r="G1784" t="str">
        <f>_xlfn.XLOOKUP(transakcje[[#This Row],[podkategoria]],parametr[podkategoria],parametr[kategoria])</f>
        <v>opłaty stałe</v>
      </c>
      <c r="H1784" t="str">
        <f>_xlfn.XLOOKUP(transakcje[[#This Row],[kategoria]],parametr[kategoria],parametr[typ])</f>
        <v>wydatki</v>
      </c>
      <c r="I1784" s="1">
        <f>ABS(transakcje[[#This Row],[kwota]])</f>
        <v>19.8</v>
      </c>
    </row>
    <row r="1785" spans="1:9" x14ac:dyDescent="0.3">
      <c r="A1785">
        <v>1784</v>
      </c>
      <c r="B1785">
        <v>2016</v>
      </c>
      <c r="C1785">
        <v>5</v>
      </c>
      <c r="D1785">
        <v>27</v>
      </c>
      <c r="E1785" s="1">
        <v>-14.790000000000001</v>
      </c>
      <c r="F1785" t="s">
        <v>26</v>
      </c>
      <c r="G1785" t="str">
        <f>_xlfn.XLOOKUP(transakcje[[#This Row],[podkategoria]],parametr[podkategoria],parametr[kategoria])</f>
        <v>życie</v>
      </c>
      <c r="H1785" t="str">
        <f>_xlfn.XLOOKUP(transakcje[[#This Row],[kategoria]],parametr[kategoria],parametr[typ])</f>
        <v>wydatki</v>
      </c>
      <c r="I1785" s="1">
        <f>ABS(transakcje[[#This Row],[kwota]])</f>
        <v>14.790000000000001</v>
      </c>
    </row>
    <row r="1786" spans="1:9" x14ac:dyDescent="0.3">
      <c r="A1786">
        <v>1785</v>
      </c>
      <c r="B1786">
        <v>2016</v>
      </c>
      <c r="C1786">
        <v>5</v>
      </c>
      <c r="D1786">
        <v>31</v>
      </c>
      <c r="E1786" s="1">
        <v>4.0000000000000001E-3</v>
      </c>
      <c r="F1786" t="s">
        <v>17</v>
      </c>
      <c r="G1786" t="str">
        <f>_xlfn.XLOOKUP(transakcje[[#This Row],[podkategoria]],parametr[podkategoria],parametr[kategoria])</f>
        <v>dochody pozostałe</v>
      </c>
      <c r="H1786" t="str">
        <f>_xlfn.XLOOKUP(transakcje[[#This Row],[kategoria]],parametr[kategoria],parametr[typ])</f>
        <v>dochody</v>
      </c>
      <c r="I1786" s="1">
        <f>ABS(transakcje[[#This Row],[kwota]])</f>
        <v>4.0000000000000001E-3</v>
      </c>
    </row>
    <row r="1787" spans="1:9" x14ac:dyDescent="0.3">
      <c r="A1787">
        <v>1786</v>
      </c>
      <c r="B1787">
        <v>2016</v>
      </c>
      <c r="C1787">
        <v>5</v>
      </c>
      <c r="D1787">
        <v>31</v>
      </c>
      <c r="E1787" s="1">
        <v>-1.198</v>
      </c>
      <c r="F1787" t="s">
        <v>14</v>
      </c>
      <c r="G1787" t="str">
        <f>_xlfn.XLOOKUP(transakcje[[#This Row],[podkategoria]],parametr[podkategoria],parametr[kategoria])</f>
        <v>opłaty stałe</v>
      </c>
      <c r="H1787" t="str">
        <f>_xlfn.XLOOKUP(transakcje[[#This Row],[kategoria]],parametr[kategoria],parametr[typ])</f>
        <v>wydatki</v>
      </c>
      <c r="I1787" s="1">
        <f>ABS(transakcje[[#This Row],[kwota]])</f>
        <v>1.198</v>
      </c>
    </row>
    <row r="1788" spans="1:9" x14ac:dyDescent="0.3">
      <c r="A1788">
        <v>1787</v>
      </c>
      <c r="B1788">
        <v>2016</v>
      </c>
      <c r="C1788">
        <v>5</v>
      </c>
      <c r="D1788">
        <v>31</v>
      </c>
      <c r="E1788" s="1">
        <v>-0.1</v>
      </c>
      <c r="F1788" t="s">
        <v>14</v>
      </c>
      <c r="G1788" t="str">
        <f>_xlfn.XLOOKUP(transakcje[[#This Row],[podkategoria]],parametr[podkategoria],parametr[kategoria])</f>
        <v>opłaty stałe</v>
      </c>
      <c r="H1788" t="str">
        <f>_xlfn.XLOOKUP(transakcje[[#This Row],[kategoria]],parametr[kategoria],parametr[typ])</f>
        <v>wydatki</v>
      </c>
      <c r="I1788" s="1">
        <f>ABS(transakcje[[#This Row],[kwota]])</f>
        <v>0.1</v>
      </c>
    </row>
    <row r="1789" spans="1:9" x14ac:dyDescent="0.3">
      <c r="A1789">
        <v>1788</v>
      </c>
      <c r="B1789">
        <v>2016</v>
      </c>
      <c r="C1789">
        <v>5</v>
      </c>
      <c r="D1789">
        <v>31</v>
      </c>
      <c r="E1789" s="1">
        <v>-2E-3</v>
      </c>
      <c r="F1789" t="s">
        <v>14</v>
      </c>
      <c r="G1789" t="str">
        <f>_xlfn.XLOOKUP(transakcje[[#This Row],[podkategoria]],parametr[podkategoria],parametr[kategoria])</f>
        <v>opłaty stałe</v>
      </c>
      <c r="H1789" t="str">
        <f>_xlfn.XLOOKUP(transakcje[[#This Row],[kategoria]],parametr[kategoria],parametr[typ])</f>
        <v>wydatki</v>
      </c>
      <c r="I1789" s="1">
        <f>ABS(transakcje[[#This Row],[kwota]])</f>
        <v>2E-3</v>
      </c>
    </row>
    <row r="1790" spans="1:9" x14ac:dyDescent="0.3">
      <c r="A1790">
        <v>1789</v>
      </c>
      <c r="B1790">
        <v>2016</v>
      </c>
      <c r="C1790">
        <v>6</v>
      </c>
      <c r="D1790">
        <v>1</v>
      </c>
      <c r="E1790" s="1">
        <v>0.30199999999999999</v>
      </c>
      <c r="F1790" t="s">
        <v>17</v>
      </c>
      <c r="G1790" t="str">
        <f>_xlfn.XLOOKUP(transakcje[[#This Row],[podkategoria]],parametr[podkategoria],parametr[kategoria])</f>
        <v>dochody pozostałe</v>
      </c>
      <c r="H1790" t="str">
        <f>_xlfn.XLOOKUP(transakcje[[#This Row],[kategoria]],parametr[kategoria],parametr[typ])</f>
        <v>dochody</v>
      </c>
      <c r="I1790" s="1">
        <f>ABS(transakcje[[#This Row],[kwota]])</f>
        <v>0.30199999999999999</v>
      </c>
    </row>
    <row r="1791" spans="1:9" x14ac:dyDescent="0.3">
      <c r="A1791">
        <v>1790</v>
      </c>
      <c r="B1791">
        <v>2016</v>
      </c>
      <c r="C1791">
        <v>6</v>
      </c>
      <c r="D1791">
        <v>3</v>
      </c>
      <c r="E1791" s="1">
        <v>-0.48</v>
      </c>
      <c r="F1791" t="s">
        <v>26</v>
      </c>
      <c r="G1791" t="str">
        <f>_xlfn.XLOOKUP(transakcje[[#This Row],[podkategoria]],parametr[podkategoria],parametr[kategoria])</f>
        <v>życie</v>
      </c>
      <c r="H1791" t="str">
        <f>_xlfn.XLOOKUP(transakcje[[#This Row],[kategoria]],parametr[kategoria],parametr[typ])</f>
        <v>wydatki</v>
      </c>
      <c r="I1791" s="1">
        <f>ABS(transakcje[[#This Row],[kwota]])</f>
        <v>0.48</v>
      </c>
    </row>
    <row r="1792" spans="1:9" x14ac:dyDescent="0.3">
      <c r="A1792">
        <v>1791</v>
      </c>
      <c r="B1792">
        <v>2016</v>
      </c>
      <c r="C1792">
        <v>6</v>
      </c>
      <c r="D1792">
        <v>3</v>
      </c>
      <c r="E1792" s="1">
        <v>-5.9880000000000004</v>
      </c>
      <c r="F1792" t="s">
        <v>26</v>
      </c>
      <c r="G1792" t="str">
        <f>_xlfn.XLOOKUP(transakcje[[#This Row],[podkategoria]],parametr[podkategoria],parametr[kategoria])</f>
        <v>życie</v>
      </c>
      <c r="H1792" t="str">
        <f>_xlfn.XLOOKUP(transakcje[[#This Row],[kategoria]],parametr[kategoria],parametr[typ])</f>
        <v>wydatki</v>
      </c>
      <c r="I1792" s="1">
        <f>ABS(transakcje[[#This Row],[kwota]])</f>
        <v>5.9880000000000004</v>
      </c>
    </row>
    <row r="1793" spans="1:9" x14ac:dyDescent="0.3">
      <c r="A1793">
        <v>1792</v>
      </c>
      <c r="B1793">
        <v>2016</v>
      </c>
      <c r="C1793">
        <v>6</v>
      </c>
      <c r="D1793">
        <v>3</v>
      </c>
      <c r="E1793" s="1">
        <v>-2.4219999999999997</v>
      </c>
      <c r="F1793" t="s">
        <v>26</v>
      </c>
      <c r="G1793" t="str">
        <f>_xlfn.XLOOKUP(transakcje[[#This Row],[podkategoria]],parametr[podkategoria],parametr[kategoria])</f>
        <v>życie</v>
      </c>
      <c r="H1793" t="str">
        <f>_xlfn.XLOOKUP(transakcje[[#This Row],[kategoria]],parametr[kategoria],parametr[typ])</f>
        <v>wydatki</v>
      </c>
      <c r="I1793" s="1">
        <f>ABS(transakcje[[#This Row],[kwota]])</f>
        <v>2.4219999999999997</v>
      </c>
    </row>
    <row r="1794" spans="1:9" x14ac:dyDescent="0.3">
      <c r="A1794">
        <v>1793</v>
      </c>
      <c r="B1794">
        <v>2016</v>
      </c>
      <c r="C1794">
        <v>6</v>
      </c>
      <c r="D1794">
        <v>4</v>
      </c>
      <c r="E1794" s="1">
        <v>-61.69</v>
      </c>
      <c r="F1794" t="s">
        <v>31</v>
      </c>
      <c r="G1794" t="str">
        <f>_xlfn.XLOOKUP(transakcje[[#This Row],[podkategoria]],parametr[podkategoria],parametr[kategoria])</f>
        <v>opłaty stałe</v>
      </c>
      <c r="H1794" t="str">
        <f>_xlfn.XLOOKUP(transakcje[[#This Row],[kategoria]],parametr[kategoria],parametr[typ])</f>
        <v>wydatki</v>
      </c>
      <c r="I1794" s="1">
        <f>ABS(transakcje[[#This Row],[kwota]])</f>
        <v>61.69</v>
      </c>
    </row>
    <row r="1795" spans="1:9" x14ac:dyDescent="0.3">
      <c r="A1795">
        <v>1794</v>
      </c>
      <c r="B1795">
        <v>2016</v>
      </c>
      <c r="C1795">
        <v>6</v>
      </c>
      <c r="D1795">
        <v>4</v>
      </c>
      <c r="E1795" s="1">
        <v>-7.38</v>
      </c>
      <c r="F1795" t="s">
        <v>23</v>
      </c>
      <c r="G1795" t="str">
        <f>_xlfn.XLOOKUP(transakcje[[#This Row],[podkategoria]],parametr[podkategoria],parametr[kategoria])</f>
        <v>opłaty stałe</v>
      </c>
      <c r="H1795" t="str">
        <f>_xlfn.XLOOKUP(transakcje[[#This Row],[kategoria]],parametr[kategoria],parametr[typ])</f>
        <v>wydatki</v>
      </c>
      <c r="I1795" s="1">
        <f>ABS(transakcje[[#This Row],[kwota]])</f>
        <v>7.38</v>
      </c>
    </row>
    <row r="1796" spans="1:9" x14ac:dyDescent="0.3">
      <c r="A1796">
        <v>1795</v>
      </c>
      <c r="B1796">
        <v>2016</v>
      </c>
      <c r="C1796">
        <v>6</v>
      </c>
      <c r="D1796">
        <v>4</v>
      </c>
      <c r="E1796" s="1">
        <v>-6.0359999999999996</v>
      </c>
      <c r="F1796" t="s">
        <v>25</v>
      </c>
      <c r="G1796" t="str">
        <f>_xlfn.XLOOKUP(transakcje[[#This Row],[podkategoria]],parametr[podkategoria],parametr[kategoria])</f>
        <v>opłaty stałe</v>
      </c>
      <c r="H1796" t="str">
        <f>_xlfn.XLOOKUP(transakcje[[#This Row],[kategoria]],parametr[kategoria],parametr[typ])</f>
        <v>wydatki</v>
      </c>
      <c r="I1796" s="1">
        <f>ABS(transakcje[[#This Row],[kwota]])</f>
        <v>6.0359999999999996</v>
      </c>
    </row>
    <row r="1797" spans="1:9" x14ac:dyDescent="0.3">
      <c r="A1797">
        <v>1796</v>
      </c>
      <c r="B1797">
        <v>2016</v>
      </c>
      <c r="C1797">
        <v>6</v>
      </c>
      <c r="D1797">
        <v>10</v>
      </c>
      <c r="E1797" s="1">
        <v>-5.3079999999999998</v>
      </c>
      <c r="F1797" t="s">
        <v>26</v>
      </c>
      <c r="G1797" t="str">
        <f>_xlfn.XLOOKUP(transakcje[[#This Row],[podkategoria]],parametr[podkategoria],parametr[kategoria])</f>
        <v>życie</v>
      </c>
      <c r="H1797" t="str">
        <f>_xlfn.XLOOKUP(transakcje[[#This Row],[kategoria]],parametr[kategoria],parametr[typ])</f>
        <v>wydatki</v>
      </c>
      <c r="I1797" s="1">
        <f>ABS(transakcje[[#This Row],[kwota]])</f>
        <v>5.3079999999999998</v>
      </c>
    </row>
    <row r="1798" spans="1:9" x14ac:dyDescent="0.3">
      <c r="A1798">
        <v>1797</v>
      </c>
      <c r="B1798">
        <v>2016</v>
      </c>
      <c r="C1798">
        <v>6</v>
      </c>
      <c r="D1798">
        <v>14</v>
      </c>
      <c r="E1798" s="1">
        <v>-8.0560000000000009</v>
      </c>
      <c r="F1798" t="s">
        <v>26</v>
      </c>
      <c r="G1798" t="str">
        <f>_xlfn.XLOOKUP(transakcje[[#This Row],[podkategoria]],parametr[podkategoria],parametr[kategoria])</f>
        <v>życie</v>
      </c>
      <c r="H1798" t="str">
        <f>_xlfn.XLOOKUP(transakcje[[#This Row],[kategoria]],parametr[kategoria],parametr[typ])</f>
        <v>wydatki</v>
      </c>
      <c r="I1798" s="1">
        <f>ABS(transakcje[[#This Row],[kwota]])</f>
        <v>8.0560000000000009</v>
      </c>
    </row>
    <row r="1799" spans="1:9" x14ac:dyDescent="0.3">
      <c r="A1799">
        <v>1798</v>
      </c>
      <c r="B1799">
        <v>2016</v>
      </c>
      <c r="C1799">
        <v>6</v>
      </c>
      <c r="D1799">
        <v>14</v>
      </c>
      <c r="E1799" s="1">
        <v>-2.6920000000000002</v>
      </c>
      <c r="F1799" t="s">
        <v>26</v>
      </c>
      <c r="G1799" t="str">
        <f>_xlfn.XLOOKUP(transakcje[[#This Row],[podkategoria]],parametr[podkategoria],parametr[kategoria])</f>
        <v>życie</v>
      </c>
      <c r="H1799" t="str">
        <f>_xlfn.XLOOKUP(transakcje[[#This Row],[kategoria]],parametr[kategoria],parametr[typ])</f>
        <v>wydatki</v>
      </c>
      <c r="I1799" s="1">
        <f>ABS(transakcje[[#This Row],[kwota]])</f>
        <v>2.6920000000000002</v>
      </c>
    </row>
    <row r="1800" spans="1:9" x14ac:dyDescent="0.3">
      <c r="A1800">
        <v>1799</v>
      </c>
      <c r="B1800">
        <v>2016</v>
      </c>
      <c r="C1800">
        <v>6</v>
      </c>
      <c r="D1800">
        <v>15</v>
      </c>
      <c r="E1800" s="1">
        <v>-0.39800000000000002</v>
      </c>
      <c r="F1800" t="s">
        <v>14</v>
      </c>
      <c r="G1800" t="str">
        <f>_xlfn.XLOOKUP(transakcje[[#This Row],[podkategoria]],parametr[podkategoria],parametr[kategoria])</f>
        <v>opłaty stałe</v>
      </c>
      <c r="H1800" t="str">
        <f>_xlfn.XLOOKUP(transakcje[[#This Row],[kategoria]],parametr[kategoria],parametr[typ])</f>
        <v>wydatki</v>
      </c>
      <c r="I1800" s="1">
        <f>ABS(transakcje[[#This Row],[kwota]])</f>
        <v>0.39800000000000002</v>
      </c>
    </row>
    <row r="1801" spans="1:9" x14ac:dyDescent="0.3">
      <c r="A1801">
        <v>1800</v>
      </c>
      <c r="B1801">
        <v>2016</v>
      </c>
      <c r="C1801">
        <v>6</v>
      </c>
      <c r="D1801">
        <v>15</v>
      </c>
      <c r="E1801" s="1">
        <v>-0.54600000000000004</v>
      </c>
      <c r="F1801" t="s">
        <v>26</v>
      </c>
      <c r="G1801" t="str">
        <f>_xlfn.XLOOKUP(transakcje[[#This Row],[podkategoria]],parametr[podkategoria],parametr[kategoria])</f>
        <v>życie</v>
      </c>
      <c r="H1801" t="str">
        <f>_xlfn.XLOOKUP(transakcje[[#This Row],[kategoria]],parametr[kategoria],parametr[typ])</f>
        <v>wydatki</v>
      </c>
      <c r="I1801" s="1">
        <f>ABS(transakcje[[#This Row],[kwota]])</f>
        <v>0.54600000000000004</v>
      </c>
    </row>
    <row r="1802" spans="1:9" x14ac:dyDescent="0.3">
      <c r="A1802">
        <v>1801</v>
      </c>
      <c r="B1802">
        <v>2016</v>
      </c>
      <c r="C1802">
        <v>6</v>
      </c>
      <c r="D1802">
        <v>16</v>
      </c>
      <c r="E1802" s="1">
        <v>-0.8</v>
      </c>
      <c r="F1802" t="s">
        <v>14</v>
      </c>
      <c r="G1802" t="str">
        <f>_xlfn.XLOOKUP(transakcje[[#This Row],[podkategoria]],parametr[podkategoria],parametr[kategoria])</f>
        <v>opłaty stałe</v>
      </c>
      <c r="H1802" t="str">
        <f>_xlfn.XLOOKUP(transakcje[[#This Row],[kategoria]],parametr[kategoria],parametr[typ])</f>
        <v>wydatki</v>
      </c>
      <c r="I1802" s="1">
        <f>ABS(transakcje[[#This Row],[kwota]])</f>
        <v>0.8</v>
      </c>
    </row>
    <row r="1803" spans="1:9" x14ac:dyDescent="0.3">
      <c r="A1803">
        <v>1802</v>
      </c>
      <c r="B1803">
        <v>2016</v>
      </c>
      <c r="C1803">
        <v>6</v>
      </c>
      <c r="D1803">
        <v>16</v>
      </c>
      <c r="E1803" s="1">
        <v>-9.4879999999999995</v>
      </c>
      <c r="F1803" t="s">
        <v>26</v>
      </c>
      <c r="G1803" t="str">
        <f>_xlfn.XLOOKUP(transakcje[[#This Row],[podkategoria]],parametr[podkategoria],parametr[kategoria])</f>
        <v>życie</v>
      </c>
      <c r="H1803" t="str">
        <f>_xlfn.XLOOKUP(transakcje[[#This Row],[kategoria]],parametr[kategoria],parametr[typ])</f>
        <v>wydatki</v>
      </c>
      <c r="I1803" s="1">
        <f>ABS(transakcje[[#This Row],[kwota]])</f>
        <v>9.4879999999999995</v>
      </c>
    </row>
    <row r="1804" spans="1:9" x14ac:dyDescent="0.3">
      <c r="A1804">
        <v>1803</v>
      </c>
      <c r="B1804">
        <v>2016</v>
      </c>
      <c r="C1804">
        <v>6</v>
      </c>
      <c r="D1804">
        <v>20</v>
      </c>
      <c r="E1804" s="1">
        <v>-4.0739999999999998</v>
      </c>
      <c r="F1804" t="s">
        <v>26</v>
      </c>
      <c r="G1804" t="str">
        <f>_xlfn.XLOOKUP(transakcje[[#This Row],[podkategoria]],parametr[podkategoria],parametr[kategoria])</f>
        <v>życie</v>
      </c>
      <c r="H1804" t="str">
        <f>_xlfn.XLOOKUP(transakcje[[#This Row],[kategoria]],parametr[kategoria],parametr[typ])</f>
        <v>wydatki</v>
      </c>
      <c r="I1804" s="1">
        <f>ABS(transakcje[[#This Row],[kwota]])</f>
        <v>4.0739999999999998</v>
      </c>
    </row>
    <row r="1805" spans="1:9" x14ac:dyDescent="0.3">
      <c r="A1805">
        <v>1804</v>
      </c>
      <c r="B1805">
        <v>2016</v>
      </c>
      <c r="C1805">
        <v>6</v>
      </c>
      <c r="D1805">
        <v>21</v>
      </c>
      <c r="E1805" s="1">
        <v>-3.044</v>
      </c>
      <c r="F1805" t="s">
        <v>26</v>
      </c>
      <c r="G1805" t="str">
        <f>_xlfn.XLOOKUP(transakcje[[#This Row],[podkategoria]],parametr[podkategoria],parametr[kategoria])</f>
        <v>życie</v>
      </c>
      <c r="H1805" t="str">
        <f>_xlfn.XLOOKUP(transakcje[[#This Row],[kategoria]],parametr[kategoria],parametr[typ])</f>
        <v>wydatki</v>
      </c>
      <c r="I1805" s="1">
        <f>ABS(transakcje[[#This Row],[kwota]])</f>
        <v>3.044</v>
      </c>
    </row>
    <row r="1806" spans="1:9" x14ac:dyDescent="0.3">
      <c r="A1806">
        <v>1805</v>
      </c>
      <c r="B1806">
        <v>2016</v>
      </c>
      <c r="C1806">
        <v>6</v>
      </c>
      <c r="D1806">
        <v>24</v>
      </c>
      <c r="E1806" s="1">
        <v>478.61400000000003</v>
      </c>
      <c r="F1806" t="s">
        <v>8</v>
      </c>
      <c r="G1806" t="str">
        <f>_xlfn.XLOOKUP(transakcje[[#This Row],[podkategoria]],parametr[podkategoria],parametr[kategoria])</f>
        <v>dochody z pracy</v>
      </c>
      <c r="H1806" t="str">
        <f>_xlfn.XLOOKUP(transakcje[[#This Row],[kategoria]],parametr[kategoria],parametr[typ])</f>
        <v>dochody</v>
      </c>
      <c r="I1806" s="1">
        <f>ABS(transakcje[[#This Row],[kwota]])</f>
        <v>478.61400000000003</v>
      </c>
    </row>
    <row r="1807" spans="1:9" x14ac:dyDescent="0.3">
      <c r="A1807">
        <v>1806</v>
      </c>
      <c r="B1807">
        <v>2016</v>
      </c>
      <c r="C1807">
        <v>6</v>
      </c>
      <c r="D1807">
        <v>26</v>
      </c>
      <c r="E1807" s="1">
        <v>-8.6</v>
      </c>
      <c r="F1807" t="s">
        <v>11</v>
      </c>
      <c r="G1807" t="str">
        <f>_xlfn.XLOOKUP(transakcje[[#This Row],[podkategoria]],parametr[podkategoria],parametr[kategoria])</f>
        <v>wydatki inne</v>
      </c>
      <c r="H1807" t="str">
        <f>_xlfn.XLOOKUP(transakcje[[#This Row],[kategoria]],parametr[kategoria],parametr[typ])</f>
        <v>wydatki</v>
      </c>
      <c r="I1807" s="1">
        <f>ABS(transakcje[[#This Row],[kwota]])</f>
        <v>8.6</v>
      </c>
    </row>
    <row r="1808" spans="1:9" x14ac:dyDescent="0.3">
      <c r="A1808">
        <v>1807</v>
      </c>
      <c r="B1808">
        <v>2016</v>
      </c>
      <c r="C1808">
        <v>6</v>
      </c>
      <c r="D1808">
        <v>28</v>
      </c>
      <c r="E1808" s="1">
        <v>-19.8</v>
      </c>
      <c r="F1808" t="s">
        <v>32</v>
      </c>
      <c r="G1808" t="str">
        <f>_xlfn.XLOOKUP(transakcje[[#This Row],[podkategoria]],parametr[podkategoria],parametr[kategoria])</f>
        <v>opłaty stałe</v>
      </c>
      <c r="H1808" t="str">
        <f>_xlfn.XLOOKUP(transakcje[[#This Row],[kategoria]],parametr[kategoria],parametr[typ])</f>
        <v>wydatki</v>
      </c>
      <c r="I1808" s="1">
        <f>ABS(transakcje[[#This Row],[kwota]])</f>
        <v>19.8</v>
      </c>
    </row>
    <row r="1809" spans="1:9" x14ac:dyDescent="0.3">
      <c r="A1809">
        <v>1808</v>
      </c>
      <c r="B1809">
        <v>2016</v>
      </c>
      <c r="C1809">
        <v>6</v>
      </c>
      <c r="D1809">
        <v>28</v>
      </c>
      <c r="E1809" s="1">
        <v>-3.13</v>
      </c>
      <c r="F1809" t="s">
        <v>26</v>
      </c>
      <c r="G1809" t="str">
        <f>_xlfn.XLOOKUP(transakcje[[#This Row],[podkategoria]],parametr[podkategoria],parametr[kategoria])</f>
        <v>życie</v>
      </c>
      <c r="H1809" t="str">
        <f>_xlfn.XLOOKUP(transakcje[[#This Row],[kategoria]],parametr[kategoria],parametr[typ])</f>
        <v>wydatki</v>
      </c>
      <c r="I1809" s="1">
        <f>ABS(transakcje[[#This Row],[kwota]])</f>
        <v>3.13</v>
      </c>
    </row>
    <row r="1810" spans="1:9" x14ac:dyDescent="0.3">
      <c r="A1810">
        <v>1809</v>
      </c>
      <c r="B1810">
        <v>2016</v>
      </c>
      <c r="C1810">
        <v>6</v>
      </c>
      <c r="D1810">
        <v>29</v>
      </c>
      <c r="E1810" s="1">
        <v>-7.1440000000000001</v>
      </c>
      <c r="F1810" t="s">
        <v>26</v>
      </c>
      <c r="G1810" t="str">
        <f>_xlfn.XLOOKUP(transakcje[[#This Row],[podkategoria]],parametr[podkategoria],parametr[kategoria])</f>
        <v>życie</v>
      </c>
      <c r="H1810" t="str">
        <f>_xlfn.XLOOKUP(transakcje[[#This Row],[kategoria]],parametr[kategoria],parametr[typ])</f>
        <v>wydatki</v>
      </c>
      <c r="I1810" s="1">
        <f>ABS(transakcje[[#This Row],[kwota]])</f>
        <v>7.1440000000000001</v>
      </c>
    </row>
    <row r="1811" spans="1:9" x14ac:dyDescent="0.3">
      <c r="A1811">
        <v>1810</v>
      </c>
      <c r="B1811">
        <v>2016</v>
      </c>
      <c r="C1811">
        <v>6</v>
      </c>
      <c r="D1811">
        <v>29</v>
      </c>
      <c r="E1811" s="1">
        <v>-1.51</v>
      </c>
      <c r="F1811" t="s">
        <v>26</v>
      </c>
      <c r="G1811" t="str">
        <f>_xlfn.XLOOKUP(transakcje[[#This Row],[podkategoria]],parametr[podkategoria],parametr[kategoria])</f>
        <v>życie</v>
      </c>
      <c r="H1811" t="str">
        <f>_xlfn.XLOOKUP(transakcje[[#This Row],[kategoria]],parametr[kategoria],parametr[typ])</f>
        <v>wydatki</v>
      </c>
      <c r="I1811" s="1">
        <f>ABS(transakcje[[#This Row],[kwota]])</f>
        <v>1.51</v>
      </c>
    </row>
    <row r="1812" spans="1:9" x14ac:dyDescent="0.3">
      <c r="A1812">
        <v>1811</v>
      </c>
      <c r="B1812">
        <v>2016</v>
      </c>
      <c r="C1812">
        <v>6</v>
      </c>
      <c r="D1812">
        <v>30</v>
      </c>
      <c r="E1812" s="1">
        <v>6.0000000000000001E-3</v>
      </c>
      <c r="F1812" t="s">
        <v>17</v>
      </c>
      <c r="G1812" t="str">
        <f>_xlfn.XLOOKUP(transakcje[[#This Row],[podkategoria]],parametr[podkategoria],parametr[kategoria])</f>
        <v>dochody pozostałe</v>
      </c>
      <c r="H1812" t="str">
        <f>_xlfn.XLOOKUP(transakcje[[#This Row],[kategoria]],parametr[kategoria],parametr[typ])</f>
        <v>dochody</v>
      </c>
      <c r="I1812" s="1">
        <f>ABS(transakcje[[#This Row],[kwota]])</f>
        <v>6.0000000000000001E-3</v>
      </c>
    </row>
    <row r="1813" spans="1:9" x14ac:dyDescent="0.3">
      <c r="A1813">
        <v>1812</v>
      </c>
      <c r="B1813">
        <v>2016</v>
      </c>
      <c r="C1813">
        <v>6</v>
      </c>
      <c r="D1813">
        <v>30</v>
      </c>
      <c r="E1813" s="1">
        <v>-1.198</v>
      </c>
      <c r="F1813" t="s">
        <v>14</v>
      </c>
      <c r="G1813" t="str">
        <f>_xlfn.XLOOKUP(transakcje[[#This Row],[podkategoria]],parametr[podkategoria],parametr[kategoria])</f>
        <v>opłaty stałe</v>
      </c>
      <c r="H1813" t="str">
        <f>_xlfn.XLOOKUP(transakcje[[#This Row],[kategoria]],parametr[kategoria],parametr[typ])</f>
        <v>wydatki</v>
      </c>
      <c r="I1813" s="1">
        <f>ABS(transakcje[[#This Row],[kwota]])</f>
        <v>1.198</v>
      </c>
    </row>
    <row r="1814" spans="1:9" x14ac:dyDescent="0.3">
      <c r="A1814">
        <v>1813</v>
      </c>
      <c r="B1814">
        <v>2016</v>
      </c>
      <c r="C1814">
        <v>6</v>
      </c>
      <c r="D1814">
        <v>30</v>
      </c>
      <c r="E1814" s="1">
        <v>-0.3</v>
      </c>
      <c r="F1814" t="s">
        <v>14</v>
      </c>
      <c r="G1814" t="str">
        <f>_xlfn.XLOOKUP(transakcje[[#This Row],[podkategoria]],parametr[podkategoria],parametr[kategoria])</f>
        <v>opłaty stałe</v>
      </c>
      <c r="H1814" t="str">
        <f>_xlfn.XLOOKUP(transakcje[[#This Row],[kategoria]],parametr[kategoria],parametr[typ])</f>
        <v>wydatki</v>
      </c>
      <c r="I1814" s="1">
        <f>ABS(transakcje[[#This Row],[kwota]])</f>
        <v>0.3</v>
      </c>
    </row>
    <row r="1815" spans="1:9" x14ac:dyDescent="0.3">
      <c r="A1815">
        <v>1814</v>
      </c>
      <c r="B1815">
        <v>2016</v>
      </c>
      <c r="C1815">
        <v>6</v>
      </c>
      <c r="D1815">
        <v>30</v>
      </c>
      <c r="E1815" s="1">
        <v>-2E-3</v>
      </c>
      <c r="F1815" t="s">
        <v>14</v>
      </c>
      <c r="G1815" t="str">
        <f>_xlfn.XLOOKUP(transakcje[[#This Row],[podkategoria]],parametr[podkategoria],parametr[kategoria])</f>
        <v>opłaty stałe</v>
      </c>
      <c r="H1815" t="str">
        <f>_xlfn.XLOOKUP(transakcje[[#This Row],[kategoria]],parametr[kategoria],parametr[typ])</f>
        <v>wydatki</v>
      </c>
      <c r="I1815" s="1">
        <f>ABS(transakcje[[#This Row],[kwota]])</f>
        <v>2E-3</v>
      </c>
    </row>
    <row r="1816" spans="1:9" x14ac:dyDescent="0.3">
      <c r="A1816">
        <v>1815</v>
      </c>
      <c r="B1816">
        <v>2016</v>
      </c>
      <c r="C1816">
        <v>6</v>
      </c>
      <c r="D1816">
        <v>30</v>
      </c>
      <c r="E1816" s="1">
        <v>-5.4560000000000004</v>
      </c>
      <c r="F1816" t="s">
        <v>26</v>
      </c>
      <c r="G1816" t="str">
        <f>_xlfn.XLOOKUP(transakcje[[#This Row],[podkategoria]],parametr[podkategoria],parametr[kategoria])</f>
        <v>życie</v>
      </c>
      <c r="H1816" t="str">
        <f>_xlfn.XLOOKUP(transakcje[[#This Row],[kategoria]],parametr[kategoria],parametr[typ])</f>
        <v>wydatki</v>
      </c>
      <c r="I1816" s="1">
        <f>ABS(transakcje[[#This Row],[kwota]])</f>
        <v>5.4560000000000004</v>
      </c>
    </row>
    <row r="1817" spans="1:9" x14ac:dyDescent="0.3">
      <c r="A1817">
        <v>1816</v>
      </c>
      <c r="B1817">
        <v>2016</v>
      </c>
      <c r="C1817">
        <v>7</v>
      </c>
      <c r="D1817">
        <v>1</v>
      </c>
      <c r="E1817" s="1">
        <v>-0.93</v>
      </c>
      <c r="F1817" t="s">
        <v>26</v>
      </c>
      <c r="G1817" t="str">
        <f>_xlfn.XLOOKUP(transakcje[[#This Row],[podkategoria]],parametr[podkategoria],parametr[kategoria])</f>
        <v>życie</v>
      </c>
      <c r="H1817" t="str">
        <f>_xlfn.XLOOKUP(transakcje[[#This Row],[kategoria]],parametr[kategoria],parametr[typ])</f>
        <v>wydatki</v>
      </c>
      <c r="I1817" s="1">
        <f>ABS(transakcje[[#This Row],[kwota]])</f>
        <v>0.93</v>
      </c>
    </row>
    <row r="1818" spans="1:9" x14ac:dyDescent="0.3">
      <c r="A1818">
        <v>1817</v>
      </c>
      <c r="B1818">
        <v>2016</v>
      </c>
      <c r="C1818">
        <v>7</v>
      </c>
      <c r="D1818">
        <v>2</v>
      </c>
      <c r="E1818" s="1">
        <v>-61.69</v>
      </c>
      <c r="F1818" t="s">
        <v>31</v>
      </c>
      <c r="G1818" t="str">
        <f>_xlfn.XLOOKUP(transakcje[[#This Row],[podkategoria]],parametr[podkategoria],parametr[kategoria])</f>
        <v>opłaty stałe</v>
      </c>
      <c r="H1818" t="str">
        <f>_xlfn.XLOOKUP(transakcje[[#This Row],[kategoria]],parametr[kategoria],parametr[typ])</f>
        <v>wydatki</v>
      </c>
      <c r="I1818" s="1">
        <f>ABS(transakcje[[#This Row],[kwota]])</f>
        <v>61.69</v>
      </c>
    </row>
    <row r="1819" spans="1:9" x14ac:dyDescent="0.3">
      <c r="A1819">
        <v>1818</v>
      </c>
      <c r="B1819">
        <v>2016</v>
      </c>
      <c r="C1819">
        <v>7</v>
      </c>
      <c r="D1819">
        <v>2</v>
      </c>
      <c r="E1819" s="1">
        <v>-8.9</v>
      </c>
      <c r="F1819" t="s">
        <v>35</v>
      </c>
      <c r="G1819" t="str">
        <f>_xlfn.XLOOKUP(transakcje[[#This Row],[podkategoria]],parametr[podkategoria],parametr[kategoria])</f>
        <v>opłaty stałe</v>
      </c>
      <c r="H1819" t="str">
        <f>_xlfn.XLOOKUP(transakcje[[#This Row],[kategoria]],parametr[kategoria],parametr[typ])</f>
        <v>wydatki</v>
      </c>
      <c r="I1819" s="1">
        <f>ABS(transakcje[[#This Row],[kwota]])</f>
        <v>8.9</v>
      </c>
    </row>
    <row r="1820" spans="1:9" x14ac:dyDescent="0.3">
      <c r="A1820">
        <v>1819</v>
      </c>
      <c r="B1820">
        <v>2016</v>
      </c>
      <c r="C1820">
        <v>7</v>
      </c>
      <c r="D1820">
        <v>2</v>
      </c>
      <c r="E1820" s="1">
        <v>-7.38</v>
      </c>
      <c r="F1820" t="s">
        <v>23</v>
      </c>
      <c r="G1820" t="str">
        <f>_xlfn.XLOOKUP(transakcje[[#This Row],[podkategoria]],parametr[podkategoria],parametr[kategoria])</f>
        <v>opłaty stałe</v>
      </c>
      <c r="H1820" t="str">
        <f>_xlfn.XLOOKUP(transakcje[[#This Row],[kategoria]],parametr[kategoria],parametr[typ])</f>
        <v>wydatki</v>
      </c>
      <c r="I1820" s="1">
        <f>ABS(transakcje[[#This Row],[kwota]])</f>
        <v>7.38</v>
      </c>
    </row>
    <row r="1821" spans="1:9" x14ac:dyDescent="0.3">
      <c r="A1821">
        <v>1820</v>
      </c>
      <c r="B1821">
        <v>2016</v>
      </c>
      <c r="C1821">
        <v>7</v>
      </c>
      <c r="D1821">
        <v>2</v>
      </c>
      <c r="E1821" s="1">
        <v>-12.874000000000001</v>
      </c>
      <c r="F1821" t="s">
        <v>34</v>
      </c>
      <c r="G1821" t="str">
        <f>_xlfn.XLOOKUP(transakcje[[#This Row],[podkategoria]],parametr[podkategoria],parametr[kategoria])</f>
        <v>opłaty stałe</v>
      </c>
      <c r="H1821" t="str">
        <f>_xlfn.XLOOKUP(transakcje[[#This Row],[kategoria]],parametr[kategoria],parametr[typ])</f>
        <v>wydatki</v>
      </c>
      <c r="I1821" s="1">
        <f>ABS(transakcje[[#This Row],[kwota]])</f>
        <v>12.874000000000001</v>
      </c>
    </row>
    <row r="1822" spans="1:9" x14ac:dyDescent="0.3">
      <c r="A1822">
        <v>1821</v>
      </c>
      <c r="B1822">
        <v>2016</v>
      </c>
      <c r="C1822">
        <v>7</v>
      </c>
      <c r="D1822">
        <v>2</v>
      </c>
      <c r="E1822" s="1">
        <v>-5.9979999999999993</v>
      </c>
      <c r="F1822" t="s">
        <v>25</v>
      </c>
      <c r="G1822" t="str">
        <f>_xlfn.XLOOKUP(transakcje[[#This Row],[podkategoria]],parametr[podkategoria],parametr[kategoria])</f>
        <v>opłaty stałe</v>
      </c>
      <c r="H1822" t="str">
        <f>_xlfn.XLOOKUP(transakcje[[#This Row],[kategoria]],parametr[kategoria],parametr[typ])</f>
        <v>wydatki</v>
      </c>
      <c r="I1822" s="1">
        <f>ABS(transakcje[[#This Row],[kwota]])</f>
        <v>5.9979999999999993</v>
      </c>
    </row>
    <row r="1823" spans="1:9" x14ac:dyDescent="0.3">
      <c r="A1823">
        <v>1822</v>
      </c>
      <c r="B1823">
        <v>2016</v>
      </c>
      <c r="C1823">
        <v>7</v>
      </c>
      <c r="D1823">
        <v>4</v>
      </c>
      <c r="E1823" s="1">
        <v>0.29199999999999998</v>
      </c>
      <c r="F1823" t="s">
        <v>17</v>
      </c>
      <c r="G1823" t="str">
        <f>_xlfn.XLOOKUP(transakcje[[#This Row],[podkategoria]],parametr[podkategoria],parametr[kategoria])</f>
        <v>dochody pozostałe</v>
      </c>
      <c r="H1823" t="str">
        <f>_xlfn.XLOOKUP(transakcje[[#This Row],[kategoria]],parametr[kategoria],parametr[typ])</f>
        <v>dochody</v>
      </c>
      <c r="I1823" s="1">
        <f>ABS(transakcje[[#This Row],[kwota]])</f>
        <v>0.29199999999999998</v>
      </c>
    </row>
    <row r="1824" spans="1:9" x14ac:dyDescent="0.3">
      <c r="A1824">
        <v>1823</v>
      </c>
      <c r="B1824">
        <v>2016</v>
      </c>
      <c r="C1824">
        <v>7</v>
      </c>
      <c r="D1824">
        <v>5</v>
      </c>
      <c r="E1824" s="1">
        <v>-29.225999999999999</v>
      </c>
      <c r="F1824" t="s">
        <v>26</v>
      </c>
      <c r="G1824" t="str">
        <f>_xlfn.XLOOKUP(transakcje[[#This Row],[podkategoria]],parametr[podkategoria],parametr[kategoria])</f>
        <v>życie</v>
      </c>
      <c r="H1824" t="str">
        <f>_xlfn.XLOOKUP(transakcje[[#This Row],[kategoria]],parametr[kategoria],parametr[typ])</f>
        <v>wydatki</v>
      </c>
      <c r="I1824" s="1">
        <f>ABS(transakcje[[#This Row],[kwota]])</f>
        <v>29.225999999999999</v>
      </c>
    </row>
    <row r="1825" spans="1:9" x14ac:dyDescent="0.3">
      <c r="A1825">
        <v>1824</v>
      </c>
      <c r="B1825">
        <v>2016</v>
      </c>
      <c r="C1825">
        <v>7</v>
      </c>
      <c r="D1825">
        <v>6</v>
      </c>
      <c r="E1825" s="1">
        <v>-4.6459999999999999</v>
      </c>
      <c r="F1825" t="s">
        <v>26</v>
      </c>
      <c r="G1825" t="str">
        <f>_xlfn.XLOOKUP(transakcje[[#This Row],[podkategoria]],parametr[podkategoria],parametr[kategoria])</f>
        <v>życie</v>
      </c>
      <c r="H1825" t="str">
        <f>_xlfn.XLOOKUP(transakcje[[#This Row],[kategoria]],parametr[kategoria],parametr[typ])</f>
        <v>wydatki</v>
      </c>
      <c r="I1825" s="1">
        <f>ABS(transakcje[[#This Row],[kwota]])</f>
        <v>4.6459999999999999</v>
      </c>
    </row>
    <row r="1826" spans="1:9" x14ac:dyDescent="0.3">
      <c r="A1826">
        <v>1825</v>
      </c>
      <c r="B1826">
        <v>2016</v>
      </c>
      <c r="C1826">
        <v>7</v>
      </c>
      <c r="D1826">
        <v>6</v>
      </c>
      <c r="E1826" s="1">
        <v>-1.7440000000000002</v>
      </c>
      <c r="F1826" t="s">
        <v>26</v>
      </c>
      <c r="G1826" t="str">
        <f>_xlfn.XLOOKUP(transakcje[[#This Row],[podkategoria]],parametr[podkategoria],parametr[kategoria])</f>
        <v>życie</v>
      </c>
      <c r="H1826" t="str">
        <f>_xlfn.XLOOKUP(transakcje[[#This Row],[kategoria]],parametr[kategoria],parametr[typ])</f>
        <v>wydatki</v>
      </c>
      <c r="I1826" s="1">
        <f>ABS(transakcje[[#This Row],[kwota]])</f>
        <v>1.7440000000000002</v>
      </c>
    </row>
    <row r="1827" spans="1:9" x14ac:dyDescent="0.3">
      <c r="A1827">
        <v>1826</v>
      </c>
      <c r="B1827">
        <v>2016</v>
      </c>
      <c r="C1827">
        <v>7</v>
      </c>
      <c r="D1827">
        <v>8</v>
      </c>
      <c r="E1827" s="1">
        <v>-30</v>
      </c>
      <c r="F1827" t="s">
        <v>11</v>
      </c>
      <c r="G1827" t="str">
        <f>_xlfn.XLOOKUP(transakcje[[#This Row],[podkategoria]],parametr[podkategoria],parametr[kategoria])</f>
        <v>wydatki inne</v>
      </c>
      <c r="H1827" t="str">
        <f>_xlfn.XLOOKUP(transakcje[[#This Row],[kategoria]],parametr[kategoria],parametr[typ])</f>
        <v>wydatki</v>
      </c>
      <c r="I1827" s="1">
        <f>ABS(transakcje[[#This Row],[kwota]])</f>
        <v>30</v>
      </c>
    </row>
    <row r="1828" spans="1:9" x14ac:dyDescent="0.3">
      <c r="A1828">
        <v>1827</v>
      </c>
      <c r="B1828">
        <v>2016</v>
      </c>
      <c r="C1828">
        <v>7</v>
      </c>
      <c r="D1828">
        <v>8</v>
      </c>
      <c r="E1828" s="1">
        <v>-4.3319999999999999</v>
      </c>
      <c r="F1828" t="s">
        <v>26</v>
      </c>
      <c r="G1828" t="str">
        <f>_xlfn.XLOOKUP(transakcje[[#This Row],[podkategoria]],parametr[podkategoria],parametr[kategoria])</f>
        <v>życie</v>
      </c>
      <c r="H1828" t="str">
        <f>_xlfn.XLOOKUP(transakcje[[#This Row],[kategoria]],parametr[kategoria],parametr[typ])</f>
        <v>wydatki</v>
      </c>
      <c r="I1828" s="1">
        <f>ABS(transakcje[[#This Row],[kwota]])</f>
        <v>4.3319999999999999</v>
      </c>
    </row>
    <row r="1829" spans="1:9" x14ac:dyDescent="0.3">
      <c r="A1829">
        <v>1828</v>
      </c>
      <c r="B1829">
        <v>2016</v>
      </c>
      <c r="C1829">
        <v>7</v>
      </c>
      <c r="D1829">
        <v>9</v>
      </c>
      <c r="E1829" s="1">
        <v>-12.17</v>
      </c>
      <c r="F1829" t="s">
        <v>26</v>
      </c>
      <c r="G1829" t="str">
        <f>_xlfn.XLOOKUP(transakcje[[#This Row],[podkategoria]],parametr[podkategoria],parametr[kategoria])</f>
        <v>życie</v>
      </c>
      <c r="H1829" t="str">
        <f>_xlfn.XLOOKUP(transakcje[[#This Row],[kategoria]],parametr[kategoria],parametr[typ])</f>
        <v>wydatki</v>
      </c>
      <c r="I1829" s="1">
        <f>ABS(transakcje[[#This Row],[kwota]])</f>
        <v>12.17</v>
      </c>
    </row>
    <row r="1830" spans="1:9" x14ac:dyDescent="0.3">
      <c r="A1830">
        <v>1829</v>
      </c>
      <c r="B1830">
        <v>2016</v>
      </c>
      <c r="C1830">
        <v>7</v>
      </c>
      <c r="D1830">
        <v>15</v>
      </c>
      <c r="E1830" s="1">
        <v>-0.39800000000000002</v>
      </c>
      <c r="F1830" t="s">
        <v>14</v>
      </c>
      <c r="G1830" t="str">
        <f>_xlfn.XLOOKUP(transakcje[[#This Row],[podkategoria]],parametr[podkategoria],parametr[kategoria])</f>
        <v>opłaty stałe</v>
      </c>
      <c r="H1830" t="str">
        <f>_xlfn.XLOOKUP(transakcje[[#This Row],[kategoria]],parametr[kategoria],parametr[typ])</f>
        <v>wydatki</v>
      </c>
      <c r="I1830" s="1">
        <f>ABS(transakcje[[#This Row],[kwota]])</f>
        <v>0.39800000000000002</v>
      </c>
    </row>
    <row r="1831" spans="1:9" x14ac:dyDescent="0.3">
      <c r="A1831">
        <v>1830</v>
      </c>
      <c r="B1831">
        <v>2016</v>
      </c>
      <c r="C1831">
        <v>7</v>
      </c>
      <c r="D1831">
        <v>15</v>
      </c>
      <c r="E1831" s="1">
        <v>-8</v>
      </c>
      <c r="F1831" t="s">
        <v>26</v>
      </c>
      <c r="G1831" t="str">
        <f>_xlfn.XLOOKUP(transakcje[[#This Row],[podkategoria]],parametr[podkategoria],parametr[kategoria])</f>
        <v>życie</v>
      </c>
      <c r="H1831" t="str">
        <f>_xlfn.XLOOKUP(transakcje[[#This Row],[kategoria]],parametr[kategoria],parametr[typ])</f>
        <v>wydatki</v>
      </c>
      <c r="I1831" s="1">
        <f>ABS(transakcje[[#This Row],[kwota]])</f>
        <v>8</v>
      </c>
    </row>
    <row r="1832" spans="1:9" x14ac:dyDescent="0.3">
      <c r="A1832">
        <v>1831</v>
      </c>
      <c r="B1832">
        <v>2016</v>
      </c>
      <c r="C1832">
        <v>7</v>
      </c>
      <c r="D1832">
        <v>15</v>
      </c>
      <c r="E1832" s="1">
        <v>-5.0179999999999998</v>
      </c>
      <c r="F1832" t="s">
        <v>26</v>
      </c>
      <c r="G1832" t="str">
        <f>_xlfn.XLOOKUP(transakcje[[#This Row],[podkategoria]],parametr[podkategoria],parametr[kategoria])</f>
        <v>życie</v>
      </c>
      <c r="H1832" t="str">
        <f>_xlfn.XLOOKUP(transakcje[[#This Row],[kategoria]],parametr[kategoria],parametr[typ])</f>
        <v>wydatki</v>
      </c>
      <c r="I1832" s="1">
        <f>ABS(transakcje[[#This Row],[kwota]])</f>
        <v>5.0179999999999998</v>
      </c>
    </row>
    <row r="1833" spans="1:9" x14ac:dyDescent="0.3">
      <c r="A1833">
        <v>1832</v>
      </c>
      <c r="B1833">
        <v>2016</v>
      </c>
      <c r="C1833">
        <v>7</v>
      </c>
      <c r="D1833">
        <v>16</v>
      </c>
      <c r="E1833" s="1">
        <v>-0.8</v>
      </c>
      <c r="F1833" t="s">
        <v>14</v>
      </c>
      <c r="G1833" t="str">
        <f>_xlfn.XLOOKUP(transakcje[[#This Row],[podkategoria]],parametr[podkategoria],parametr[kategoria])</f>
        <v>opłaty stałe</v>
      </c>
      <c r="H1833" t="str">
        <f>_xlfn.XLOOKUP(transakcje[[#This Row],[kategoria]],parametr[kategoria],parametr[typ])</f>
        <v>wydatki</v>
      </c>
      <c r="I1833" s="1">
        <f>ABS(transakcje[[#This Row],[kwota]])</f>
        <v>0.8</v>
      </c>
    </row>
    <row r="1834" spans="1:9" x14ac:dyDescent="0.3">
      <c r="A1834">
        <v>1833</v>
      </c>
      <c r="B1834">
        <v>2016</v>
      </c>
      <c r="C1834">
        <v>7</v>
      </c>
      <c r="D1834">
        <v>18</v>
      </c>
      <c r="E1834" s="1">
        <v>-10.736000000000001</v>
      </c>
      <c r="F1834" t="s">
        <v>26</v>
      </c>
      <c r="G1834" t="str">
        <f>_xlfn.XLOOKUP(transakcje[[#This Row],[podkategoria]],parametr[podkategoria],parametr[kategoria])</f>
        <v>życie</v>
      </c>
      <c r="H1834" t="str">
        <f>_xlfn.XLOOKUP(transakcje[[#This Row],[kategoria]],parametr[kategoria],parametr[typ])</f>
        <v>wydatki</v>
      </c>
      <c r="I1834" s="1">
        <f>ABS(transakcje[[#This Row],[kwota]])</f>
        <v>10.736000000000001</v>
      </c>
    </row>
    <row r="1835" spans="1:9" x14ac:dyDescent="0.3">
      <c r="A1835">
        <v>1834</v>
      </c>
      <c r="B1835">
        <v>2016</v>
      </c>
      <c r="C1835">
        <v>7</v>
      </c>
      <c r="D1835">
        <v>22</v>
      </c>
      <c r="E1835" s="1">
        <v>-20</v>
      </c>
      <c r="F1835" t="s">
        <v>11</v>
      </c>
      <c r="G1835" t="str">
        <f>_xlfn.XLOOKUP(transakcje[[#This Row],[podkategoria]],parametr[podkategoria],parametr[kategoria])</f>
        <v>wydatki inne</v>
      </c>
      <c r="H1835" t="str">
        <f>_xlfn.XLOOKUP(transakcje[[#This Row],[kategoria]],parametr[kategoria],parametr[typ])</f>
        <v>wydatki</v>
      </c>
      <c r="I1835" s="1">
        <f>ABS(transakcje[[#This Row],[kwota]])</f>
        <v>20</v>
      </c>
    </row>
    <row r="1836" spans="1:9" x14ac:dyDescent="0.3">
      <c r="A1836">
        <v>1835</v>
      </c>
      <c r="B1836">
        <v>2016</v>
      </c>
      <c r="C1836">
        <v>7</v>
      </c>
      <c r="D1836">
        <v>25</v>
      </c>
      <c r="E1836" s="1">
        <v>478.61400000000003</v>
      </c>
      <c r="F1836" t="s">
        <v>8</v>
      </c>
      <c r="G1836" t="str">
        <f>_xlfn.XLOOKUP(transakcje[[#This Row],[podkategoria]],parametr[podkategoria],parametr[kategoria])</f>
        <v>dochody z pracy</v>
      </c>
      <c r="H1836" t="str">
        <f>_xlfn.XLOOKUP(transakcje[[#This Row],[kategoria]],parametr[kategoria],parametr[typ])</f>
        <v>dochody</v>
      </c>
      <c r="I1836" s="1">
        <f>ABS(transakcje[[#This Row],[kwota]])</f>
        <v>478.61400000000003</v>
      </c>
    </row>
    <row r="1837" spans="1:9" x14ac:dyDescent="0.3">
      <c r="A1837">
        <v>1836</v>
      </c>
      <c r="B1837">
        <v>2016</v>
      </c>
      <c r="C1837">
        <v>7</v>
      </c>
      <c r="D1837">
        <v>25</v>
      </c>
      <c r="E1837" s="1">
        <v>-3.4</v>
      </c>
      <c r="F1837" t="s">
        <v>26</v>
      </c>
      <c r="G1837" t="str">
        <f>_xlfn.XLOOKUP(transakcje[[#This Row],[podkategoria]],parametr[podkategoria],parametr[kategoria])</f>
        <v>życie</v>
      </c>
      <c r="H1837" t="str">
        <f>_xlfn.XLOOKUP(transakcje[[#This Row],[kategoria]],parametr[kategoria],parametr[typ])</f>
        <v>wydatki</v>
      </c>
      <c r="I1837" s="1">
        <f>ABS(transakcje[[#This Row],[kwota]])</f>
        <v>3.4</v>
      </c>
    </row>
    <row r="1838" spans="1:9" x14ac:dyDescent="0.3">
      <c r="A1838">
        <v>1837</v>
      </c>
      <c r="B1838">
        <v>2016</v>
      </c>
      <c r="C1838">
        <v>7</v>
      </c>
      <c r="D1838">
        <v>28</v>
      </c>
      <c r="E1838" s="1">
        <v>-3.5460000000000003</v>
      </c>
      <c r="F1838" t="s">
        <v>26</v>
      </c>
      <c r="G1838" t="str">
        <f>_xlfn.XLOOKUP(transakcje[[#This Row],[podkategoria]],parametr[podkategoria],parametr[kategoria])</f>
        <v>życie</v>
      </c>
      <c r="H1838" t="str">
        <f>_xlfn.XLOOKUP(transakcje[[#This Row],[kategoria]],parametr[kategoria],parametr[typ])</f>
        <v>wydatki</v>
      </c>
      <c r="I1838" s="1">
        <f>ABS(transakcje[[#This Row],[kwota]])</f>
        <v>3.5460000000000003</v>
      </c>
    </row>
    <row r="1839" spans="1:9" x14ac:dyDescent="0.3">
      <c r="A1839">
        <v>1838</v>
      </c>
      <c r="B1839">
        <v>2016</v>
      </c>
      <c r="C1839">
        <v>7</v>
      </c>
      <c r="D1839">
        <v>29</v>
      </c>
      <c r="E1839" s="1">
        <v>-19.8</v>
      </c>
      <c r="F1839" t="s">
        <v>32</v>
      </c>
      <c r="G1839" t="str">
        <f>_xlfn.XLOOKUP(transakcje[[#This Row],[podkategoria]],parametr[podkategoria],parametr[kategoria])</f>
        <v>opłaty stałe</v>
      </c>
      <c r="H1839" t="str">
        <f>_xlfn.XLOOKUP(transakcje[[#This Row],[kategoria]],parametr[kategoria],parametr[typ])</f>
        <v>wydatki</v>
      </c>
      <c r="I1839" s="1">
        <f>ABS(transakcje[[#This Row],[kwota]])</f>
        <v>19.8</v>
      </c>
    </row>
    <row r="1840" spans="1:9" x14ac:dyDescent="0.3">
      <c r="A1840">
        <v>1839</v>
      </c>
      <c r="B1840">
        <v>2016</v>
      </c>
      <c r="C1840">
        <v>7</v>
      </c>
      <c r="D1840">
        <v>29</v>
      </c>
      <c r="E1840" s="1">
        <v>97.534000000000006</v>
      </c>
      <c r="F1840" t="s">
        <v>19</v>
      </c>
      <c r="G1840" t="str">
        <f>_xlfn.XLOOKUP(transakcje[[#This Row],[podkategoria]],parametr[podkategoria],parametr[kategoria])</f>
        <v>dochody z pracy</v>
      </c>
      <c r="H1840" t="str">
        <f>_xlfn.XLOOKUP(transakcje[[#This Row],[kategoria]],parametr[kategoria],parametr[typ])</f>
        <v>dochody</v>
      </c>
      <c r="I1840" s="1">
        <f>ABS(transakcje[[#This Row],[kwota]])</f>
        <v>97.534000000000006</v>
      </c>
    </row>
    <row r="1841" spans="1:9" x14ac:dyDescent="0.3">
      <c r="A1841">
        <v>1840</v>
      </c>
      <c r="B1841">
        <v>2016</v>
      </c>
      <c r="C1841">
        <v>7</v>
      </c>
      <c r="D1841">
        <v>29</v>
      </c>
      <c r="E1841" s="1">
        <v>-6.5060000000000002</v>
      </c>
      <c r="F1841" t="s">
        <v>26</v>
      </c>
      <c r="G1841" t="str">
        <f>_xlfn.XLOOKUP(transakcje[[#This Row],[podkategoria]],parametr[podkategoria],parametr[kategoria])</f>
        <v>życie</v>
      </c>
      <c r="H1841" t="str">
        <f>_xlfn.XLOOKUP(transakcje[[#This Row],[kategoria]],parametr[kategoria],parametr[typ])</f>
        <v>wydatki</v>
      </c>
      <c r="I1841" s="1">
        <f>ABS(transakcje[[#This Row],[kwota]])</f>
        <v>6.5060000000000002</v>
      </c>
    </row>
    <row r="1842" spans="1:9" x14ac:dyDescent="0.3">
      <c r="A1842">
        <v>1841</v>
      </c>
      <c r="B1842">
        <v>2016</v>
      </c>
      <c r="C1842">
        <v>7</v>
      </c>
      <c r="D1842">
        <v>29</v>
      </c>
      <c r="E1842" s="1">
        <v>-3.9979999999999998</v>
      </c>
      <c r="F1842" t="s">
        <v>26</v>
      </c>
      <c r="G1842" t="str">
        <f>_xlfn.XLOOKUP(transakcje[[#This Row],[podkategoria]],parametr[podkategoria],parametr[kategoria])</f>
        <v>życie</v>
      </c>
      <c r="H1842" t="str">
        <f>_xlfn.XLOOKUP(transakcje[[#This Row],[kategoria]],parametr[kategoria],parametr[typ])</f>
        <v>wydatki</v>
      </c>
      <c r="I1842" s="1">
        <f>ABS(transakcje[[#This Row],[kwota]])</f>
        <v>3.9979999999999998</v>
      </c>
    </row>
    <row r="1843" spans="1:9" x14ac:dyDescent="0.3">
      <c r="A1843">
        <v>1842</v>
      </c>
      <c r="B1843">
        <v>2016</v>
      </c>
      <c r="C1843">
        <v>7</v>
      </c>
      <c r="D1843">
        <v>30</v>
      </c>
      <c r="E1843" s="1">
        <v>-14.6</v>
      </c>
      <c r="F1843" t="s">
        <v>11</v>
      </c>
      <c r="G1843" t="str">
        <f>_xlfn.XLOOKUP(transakcje[[#This Row],[podkategoria]],parametr[podkategoria],parametr[kategoria])</f>
        <v>wydatki inne</v>
      </c>
      <c r="H1843" t="str">
        <f>_xlfn.XLOOKUP(transakcje[[#This Row],[kategoria]],parametr[kategoria],parametr[typ])</f>
        <v>wydatki</v>
      </c>
      <c r="I1843" s="1">
        <f>ABS(transakcje[[#This Row],[kwota]])</f>
        <v>14.6</v>
      </c>
    </row>
    <row r="1844" spans="1:9" x14ac:dyDescent="0.3">
      <c r="A1844">
        <v>1843</v>
      </c>
      <c r="B1844">
        <v>2016</v>
      </c>
      <c r="C1844">
        <v>7</v>
      </c>
      <c r="D1844">
        <v>31</v>
      </c>
      <c r="E1844" s="1">
        <v>4.0000000000000001E-3</v>
      </c>
      <c r="F1844" t="s">
        <v>17</v>
      </c>
      <c r="G1844" t="str">
        <f>_xlfn.XLOOKUP(transakcje[[#This Row],[podkategoria]],parametr[podkategoria],parametr[kategoria])</f>
        <v>dochody pozostałe</v>
      </c>
      <c r="H1844" t="str">
        <f>_xlfn.XLOOKUP(transakcje[[#This Row],[kategoria]],parametr[kategoria],parametr[typ])</f>
        <v>dochody</v>
      </c>
      <c r="I1844" s="1">
        <f>ABS(transakcje[[#This Row],[kwota]])</f>
        <v>4.0000000000000001E-3</v>
      </c>
    </row>
    <row r="1845" spans="1:9" x14ac:dyDescent="0.3">
      <c r="A1845">
        <v>1844</v>
      </c>
      <c r="B1845">
        <v>2016</v>
      </c>
      <c r="C1845">
        <v>7</v>
      </c>
      <c r="D1845">
        <v>31</v>
      </c>
      <c r="E1845" s="1">
        <v>-1.198</v>
      </c>
      <c r="F1845" t="s">
        <v>14</v>
      </c>
      <c r="G1845" t="str">
        <f>_xlfn.XLOOKUP(transakcje[[#This Row],[podkategoria]],parametr[podkategoria],parametr[kategoria])</f>
        <v>opłaty stałe</v>
      </c>
      <c r="H1845" t="str">
        <f>_xlfn.XLOOKUP(transakcje[[#This Row],[kategoria]],parametr[kategoria],parametr[typ])</f>
        <v>wydatki</v>
      </c>
      <c r="I1845" s="1">
        <f>ABS(transakcje[[#This Row],[kwota]])</f>
        <v>1.198</v>
      </c>
    </row>
    <row r="1846" spans="1:9" x14ac:dyDescent="0.3">
      <c r="A1846">
        <v>1845</v>
      </c>
      <c r="B1846">
        <v>2016</v>
      </c>
      <c r="C1846">
        <v>7</v>
      </c>
      <c r="D1846">
        <v>31</v>
      </c>
      <c r="E1846" s="1">
        <v>-0.7</v>
      </c>
      <c r="F1846" t="s">
        <v>14</v>
      </c>
      <c r="G1846" t="str">
        <f>_xlfn.XLOOKUP(transakcje[[#This Row],[podkategoria]],parametr[podkategoria],parametr[kategoria])</f>
        <v>opłaty stałe</v>
      </c>
      <c r="H1846" t="str">
        <f>_xlfn.XLOOKUP(transakcje[[#This Row],[kategoria]],parametr[kategoria],parametr[typ])</f>
        <v>wydatki</v>
      </c>
      <c r="I1846" s="1">
        <f>ABS(transakcje[[#This Row],[kwota]])</f>
        <v>0.7</v>
      </c>
    </row>
    <row r="1847" spans="1:9" x14ac:dyDescent="0.3">
      <c r="A1847">
        <v>1846</v>
      </c>
      <c r="B1847">
        <v>2016</v>
      </c>
      <c r="C1847">
        <v>7</v>
      </c>
      <c r="D1847">
        <v>31</v>
      </c>
      <c r="E1847" s="1">
        <v>-2E-3</v>
      </c>
      <c r="F1847" t="s">
        <v>14</v>
      </c>
      <c r="G1847" t="str">
        <f>_xlfn.XLOOKUP(transakcje[[#This Row],[podkategoria]],parametr[podkategoria],parametr[kategoria])</f>
        <v>opłaty stałe</v>
      </c>
      <c r="H1847" t="str">
        <f>_xlfn.XLOOKUP(transakcje[[#This Row],[kategoria]],parametr[kategoria],parametr[typ])</f>
        <v>wydatki</v>
      </c>
      <c r="I1847" s="1">
        <f>ABS(transakcje[[#This Row],[kwota]])</f>
        <v>2E-3</v>
      </c>
    </row>
    <row r="1848" spans="1:9" x14ac:dyDescent="0.3">
      <c r="A1848">
        <v>1847</v>
      </c>
      <c r="B1848">
        <v>2016</v>
      </c>
      <c r="C1848">
        <v>8</v>
      </c>
      <c r="D1848">
        <v>1</v>
      </c>
      <c r="E1848" s="1">
        <v>-6.16</v>
      </c>
      <c r="F1848" t="s">
        <v>25</v>
      </c>
      <c r="G1848" t="str">
        <f>_xlfn.XLOOKUP(transakcje[[#This Row],[podkategoria]],parametr[podkategoria],parametr[kategoria])</f>
        <v>opłaty stałe</v>
      </c>
      <c r="H1848" t="str">
        <f>_xlfn.XLOOKUP(transakcje[[#This Row],[kategoria]],parametr[kategoria],parametr[typ])</f>
        <v>wydatki</v>
      </c>
      <c r="I1848" s="1">
        <f>ABS(transakcje[[#This Row],[kwota]])</f>
        <v>6.16</v>
      </c>
    </row>
    <row r="1849" spans="1:9" x14ac:dyDescent="0.3">
      <c r="A1849">
        <v>1848</v>
      </c>
      <c r="B1849">
        <v>2016</v>
      </c>
      <c r="C1849">
        <v>8</v>
      </c>
      <c r="D1849">
        <v>1</v>
      </c>
      <c r="E1849" s="1">
        <v>-61.69</v>
      </c>
      <c r="F1849" t="s">
        <v>31</v>
      </c>
      <c r="G1849" t="str">
        <f>_xlfn.XLOOKUP(transakcje[[#This Row],[podkategoria]],parametr[podkategoria],parametr[kategoria])</f>
        <v>opłaty stałe</v>
      </c>
      <c r="H1849" t="str">
        <f>_xlfn.XLOOKUP(transakcje[[#This Row],[kategoria]],parametr[kategoria],parametr[typ])</f>
        <v>wydatki</v>
      </c>
      <c r="I1849" s="1">
        <f>ABS(transakcje[[#This Row],[kwota]])</f>
        <v>61.69</v>
      </c>
    </row>
    <row r="1850" spans="1:9" x14ac:dyDescent="0.3">
      <c r="A1850">
        <v>1849</v>
      </c>
      <c r="B1850">
        <v>2016</v>
      </c>
      <c r="C1850">
        <v>8</v>
      </c>
      <c r="D1850">
        <v>1</v>
      </c>
      <c r="E1850" s="1">
        <v>-7.38</v>
      </c>
      <c r="F1850" t="s">
        <v>23</v>
      </c>
      <c r="G1850" t="str">
        <f>_xlfn.XLOOKUP(transakcje[[#This Row],[podkategoria]],parametr[podkategoria],parametr[kategoria])</f>
        <v>opłaty stałe</v>
      </c>
      <c r="H1850" t="str">
        <f>_xlfn.XLOOKUP(transakcje[[#This Row],[kategoria]],parametr[kategoria],parametr[typ])</f>
        <v>wydatki</v>
      </c>
      <c r="I1850" s="1">
        <f>ABS(transakcje[[#This Row],[kwota]])</f>
        <v>7.38</v>
      </c>
    </row>
    <row r="1851" spans="1:9" x14ac:dyDescent="0.3">
      <c r="A1851">
        <v>1850</v>
      </c>
      <c r="B1851">
        <v>2016</v>
      </c>
      <c r="C1851">
        <v>8</v>
      </c>
      <c r="D1851">
        <v>2</v>
      </c>
      <c r="E1851" s="1">
        <v>-3.3979999999999997</v>
      </c>
      <c r="F1851" t="s">
        <v>26</v>
      </c>
      <c r="G1851" t="str">
        <f>_xlfn.XLOOKUP(transakcje[[#This Row],[podkategoria]],parametr[podkategoria],parametr[kategoria])</f>
        <v>życie</v>
      </c>
      <c r="H1851" t="str">
        <f>_xlfn.XLOOKUP(transakcje[[#This Row],[kategoria]],parametr[kategoria],parametr[typ])</f>
        <v>wydatki</v>
      </c>
      <c r="I1851" s="1">
        <f>ABS(transakcje[[#This Row],[kwota]])</f>
        <v>3.3979999999999997</v>
      </c>
    </row>
    <row r="1852" spans="1:9" x14ac:dyDescent="0.3">
      <c r="A1852">
        <v>1851</v>
      </c>
      <c r="B1852">
        <v>2016</v>
      </c>
      <c r="C1852">
        <v>8</v>
      </c>
      <c r="D1852">
        <v>3</v>
      </c>
      <c r="E1852" s="1">
        <v>-5.5679999999999996</v>
      </c>
      <c r="F1852" t="s">
        <v>26</v>
      </c>
      <c r="G1852" t="str">
        <f>_xlfn.XLOOKUP(transakcje[[#This Row],[podkategoria]],parametr[podkategoria],parametr[kategoria])</f>
        <v>życie</v>
      </c>
      <c r="H1852" t="str">
        <f>_xlfn.XLOOKUP(transakcje[[#This Row],[kategoria]],parametr[kategoria],parametr[typ])</f>
        <v>wydatki</v>
      </c>
      <c r="I1852" s="1">
        <f>ABS(transakcje[[#This Row],[kwota]])</f>
        <v>5.5679999999999996</v>
      </c>
    </row>
    <row r="1853" spans="1:9" x14ac:dyDescent="0.3">
      <c r="A1853">
        <v>1852</v>
      </c>
      <c r="B1853">
        <v>2016</v>
      </c>
      <c r="C1853">
        <v>8</v>
      </c>
      <c r="D1853">
        <v>3</v>
      </c>
      <c r="E1853" s="1">
        <v>-3.6399999999999997</v>
      </c>
      <c r="F1853" t="s">
        <v>26</v>
      </c>
      <c r="G1853" t="str">
        <f>_xlfn.XLOOKUP(transakcje[[#This Row],[podkategoria]],parametr[podkategoria],parametr[kategoria])</f>
        <v>życie</v>
      </c>
      <c r="H1853" t="str">
        <f>_xlfn.XLOOKUP(transakcje[[#This Row],[kategoria]],parametr[kategoria],parametr[typ])</f>
        <v>wydatki</v>
      </c>
      <c r="I1853" s="1">
        <f>ABS(transakcje[[#This Row],[kwota]])</f>
        <v>3.6399999999999997</v>
      </c>
    </row>
    <row r="1854" spans="1:9" x14ac:dyDescent="0.3">
      <c r="A1854">
        <v>1853</v>
      </c>
      <c r="B1854">
        <v>2016</v>
      </c>
      <c r="C1854">
        <v>8</v>
      </c>
      <c r="D1854">
        <v>3</v>
      </c>
      <c r="E1854" s="1">
        <v>-2.5179999999999998</v>
      </c>
      <c r="F1854" t="s">
        <v>26</v>
      </c>
      <c r="G1854" t="str">
        <f>_xlfn.XLOOKUP(transakcje[[#This Row],[podkategoria]],parametr[podkategoria],parametr[kategoria])</f>
        <v>życie</v>
      </c>
      <c r="H1854" t="str">
        <f>_xlfn.XLOOKUP(transakcje[[#This Row],[kategoria]],parametr[kategoria],parametr[typ])</f>
        <v>wydatki</v>
      </c>
      <c r="I1854" s="1">
        <f>ABS(transakcje[[#This Row],[kwota]])</f>
        <v>2.5179999999999998</v>
      </c>
    </row>
    <row r="1855" spans="1:9" x14ac:dyDescent="0.3">
      <c r="A1855">
        <v>1854</v>
      </c>
      <c r="B1855">
        <v>2016</v>
      </c>
      <c r="C1855">
        <v>8</v>
      </c>
      <c r="D1855">
        <v>4</v>
      </c>
      <c r="E1855" s="1">
        <v>-15.672000000000001</v>
      </c>
      <c r="F1855" t="s">
        <v>26</v>
      </c>
      <c r="G1855" t="str">
        <f>_xlfn.XLOOKUP(transakcje[[#This Row],[podkategoria]],parametr[podkategoria],parametr[kategoria])</f>
        <v>życie</v>
      </c>
      <c r="H1855" t="str">
        <f>_xlfn.XLOOKUP(transakcje[[#This Row],[kategoria]],parametr[kategoria],parametr[typ])</f>
        <v>wydatki</v>
      </c>
      <c r="I1855" s="1">
        <f>ABS(transakcje[[#This Row],[kwota]])</f>
        <v>15.672000000000001</v>
      </c>
    </row>
    <row r="1856" spans="1:9" x14ac:dyDescent="0.3">
      <c r="A1856">
        <v>1855</v>
      </c>
      <c r="B1856">
        <v>2016</v>
      </c>
      <c r="C1856">
        <v>8</v>
      </c>
      <c r="D1856">
        <v>6</v>
      </c>
      <c r="E1856" s="1">
        <v>-12.55</v>
      </c>
      <c r="F1856" t="s">
        <v>26</v>
      </c>
      <c r="G1856" t="str">
        <f>_xlfn.XLOOKUP(transakcje[[#This Row],[podkategoria]],parametr[podkategoria],parametr[kategoria])</f>
        <v>życie</v>
      </c>
      <c r="H1856" t="str">
        <f>_xlfn.XLOOKUP(transakcje[[#This Row],[kategoria]],parametr[kategoria],parametr[typ])</f>
        <v>wydatki</v>
      </c>
      <c r="I1856" s="1">
        <f>ABS(transakcje[[#This Row],[kwota]])</f>
        <v>12.55</v>
      </c>
    </row>
    <row r="1857" spans="1:9" x14ac:dyDescent="0.3">
      <c r="A1857">
        <v>1856</v>
      </c>
      <c r="B1857">
        <v>2016</v>
      </c>
      <c r="C1857">
        <v>8</v>
      </c>
      <c r="D1857">
        <v>12</v>
      </c>
      <c r="E1857" s="1">
        <v>-6.1240000000000006</v>
      </c>
      <c r="F1857" t="s">
        <v>26</v>
      </c>
      <c r="G1857" t="str">
        <f>_xlfn.XLOOKUP(transakcje[[#This Row],[podkategoria]],parametr[podkategoria],parametr[kategoria])</f>
        <v>życie</v>
      </c>
      <c r="H1857" t="str">
        <f>_xlfn.XLOOKUP(transakcje[[#This Row],[kategoria]],parametr[kategoria],parametr[typ])</f>
        <v>wydatki</v>
      </c>
      <c r="I1857" s="1">
        <f>ABS(transakcje[[#This Row],[kwota]])</f>
        <v>6.1240000000000006</v>
      </c>
    </row>
    <row r="1858" spans="1:9" x14ac:dyDescent="0.3">
      <c r="A1858">
        <v>1857</v>
      </c>
      <c r="B1858">
        <v>2016</v>
      </c>
      <c r="C1858">
        <v>8</v>
      </c>
      <c r="D1858">
        <v>12</v>
      </c>
      <c r="E1858" s="1">
        <v>-5.0640000000000001</v>
      </c>
      <c r="F1858" t="s">
        <v>26</v>
      </c>
      <c r="G1858" t="str">
        <f>_xlfn.XLOOKUP(transakcje[[#This Row],[podkategoria]],parametr[podkategoria],parametr[kategoria])</f>
        <v>życie</v>
      </c>
      <c r="H1858" t="str">
        <f>_xlfn.XLOOKUP(transakcje[[#This Row],[kategoria]],parametr[kategoria],parametr[typ])</f>
        <v>wydatki</v>
      </c>
      <c r="I1858" s="1">
        <f>ABS(transakcje[[#This Row],[kwota]])</f>
        <v>5.0640000000000001</v>
      </c>
    </row>
    <row r="1859" spans="1:9" x14ac:dyDescent="0.3">
      <c r="A1859">
        <v>1858</v>
      </c>
      <c r="B1859">
        <v>2016</v>
      </c>
      <c r="C1859">
        <v>8</v>
      </c>
      <c r="D1859">
        <v>18</v>
      </c>
      <c r="E1859" s="1">
        <v>-0.39800000000000002</v>
      </c>
      <c r="F1859" t="s">
        <v>14</v>
      </c>
      <c r="G1859" t="str">
        <f>_xlfn.XLOOKUP(transakcje[[#This Row],[podkategoria]],parametr[podkategoria],parametr[kategoria])</f>
        <v>opłaty stałe</v>
      </c>
      <c r="H1859" t="str">
        <f>_xlfn.XLOOKUP(transakcje[[#This Row],[kategoria]],parametr[kategoria],parametr[typ])</f>
        <v>wydatki</v>
      </c>
      <c r="I1859" s="1">
        <f>ABS(transakcje[[#This Row],[kwota]])</f>
        <v>0.39800000000000002</v>
      </c>
    </row>
    <row r="1860" spans="1:9" x14ac:dyDescent="0.3">
      <c r="A1860">
        <v>1859</v>
      </c>
      <c r="B1860">
        <v>2016</v>
      </c>
      <c r="C1860">
        <v>8</v>
      </c>
      <c r="D1860">
        <v>20</v>
      </c>
      <c r="E1860" s="1">
        <v>-17.66</v>
      </c>
      <c r="F1860" t="s">
        <v>26</v>
      </c>
      <c r="G1860" t="str">
        <f>_xlfn.XLOOKUP(transakcje[[#This Row],[podkategoria]],parametr[podkategoria],parametr[kategoria])</f>
        <v>życie</v>
      </c>
      <c r="H1860" t="str">
        <f>_xlfn.XLOOKUP(transakcje[[#This Row],[kategoria]],parametr[kategoria],parametr[typ])</f>
        <v>wydatki</v>
      </c>
      <c r="I1860" s="1">
        <f>ABS(transakcje[[#This Row],[kwota]])</f>
        <v>17.66</v>
      </c>
    </row>
    <row r="1861" spans="1:9" x14ac:dyDescent="0.3">
      <c r="A1861">
        <v>1860</v>
      </c>
      <c r="B1861">
        <v>2016</v>
      </c>
      <c r="C1861">
        <v>8</v>
      </c>
      <c r="D1861">
        <v>20</v>
      </c>
      <c r="E1861" s="1">
        <v>-26.612000000000002</v>
      </c>
      <c r="F1861" t="s">
        <v>26</v>
      </c>
      <c r="G1861" t="str">
        <f>_xlfn.XLOOKUP(transakcje[[#This Row],[podkategoria]],parametr[podkategoria],parametr[kategoria])</f>
        <v>życie</v>
      </c>
      <c r="H1861" t="str">
        <f>_xlfn.XLOOKUP(transakcje[[#This Row],[kategoria]],parametr[kategoria],parametr[typ])</f>
        <v>wydatki</v>
      </c>
      <c r="I1861" s="1">
        <f>ABS(transakcje[[#This Row],[kwota]])</f>
        <v>26.612000000000002</v>
      </c>
    </row>
    <row r="1862" spans="1:9" x14ac:dyDescent="0.3">
      <c r="A1862">
        <v>1861</v>
      </c>
      <c r="B1862">
        <v>2016</v>
      </c>
      <c r="C1862">
        <v>8</v>
      </c>
      <c r="D1862">
        <v>20</v>
      </c>
      <c r="E1862" s="1">
        <v>-2.8540000000000001</v>
      </c>
      <c r="F1862" t="s">
        <v>26</v>
      </c>
      <c r="G1862" t="str">
        <f>_xlfn.XLOOKUP(transakcje[[#This Row],[podkategoria]],parametr[podkategoria],parametr[kategoria])</f>
        <v>życie</v>
      </c>
      <c r="H1862" t="str">
        <f>_xlfn.XLOOKUP(transakcje[[#This Row],[kategoria]],parametr[kategoria],parametr[typ])</f>
        <v>wydatki</v>
      </c>
      <c r="I1862" s="1">
        <f>ABS(transakcje[[#This Row],[kwota]])</f>
        <v>2.8540000000000001</v>
      </c>
    </row>
    <row r="1863" spans="1:9" x14ac:dyDescent="0.3">
      <c r="A1863">
        <v>1862</v>
      </c>
      <c r="B1863">
        <v>2016</v>
      </c>
      <c r="C1863">
        <v>8</v>
      </c>
      <c r="D1863">
        <v>22</v>
      </c>
      <c r="E1863" s="1">
        <v>-31.881999999999998</v>
      </c>
      <c r="F1863" t="s">
        <v>11</v>
      </c>
      <c r="G1863" t="str">
        <f>_xlfn.XLOOKUP(transakcje[[#This Row],[podkategoria]],parametr[podkategoria],parametr[kategoria])</f>
        <v>wydatki inne</v>
      </c>
      <c r="H1863" t="str">
        <f>_xlfn.XLOOKUP(transakcje[[#This Row],[kategoria]],parametr[kategoria],parametr[typ])</f>
        <v>wydatki</v>
      </c>
      <c r="I1863" s="1">
        <f>ABS(transakcje[[#This Row],[kwota]])</f>
        <v>31.881999999999998</v>
      </c>
    </row>
    <row r="1864" spans="1:9" x14ac:dyDescent="0.3">
      <c r="A1864">
        <v>1863</v>
      </c>
      <c r="B1864">
        <v>2016</v>
      </c>
      <c r="C1864">
        <v>8</v>
      </c>
      <c r="D1864">
        <v>22</v>
      </c>
      <c r="E1864" s="1">
        <v>-2.6139999999999999</v>
      </c>
      <c r="F1864" t="s">
        <v>26</v>
      </c>
      <c r="G1864" t="str">
        <f>_xlfn.XLOOKUP(transakcje[[#This Row],[podkategoria]],parametr[podkategoria],parametr[kategoria])</f>
        <v>życie</v>
      </c>
      <c r="H1864" t="str">
        <f>_xlfn.XLOOKUP(transakcje[[#This Row],[kategoria]],parametr[kategoria],parametr[typ])</f>
        <v>wydatki</v>
      </c>
      <c r="I1864" s="1">
        <f>ABS(transakcje[[#This Row],[kwota]])</f>
        <v>2.6139999999999999</v>
      </c>
    </row>
    <row r="1865" spans="1:9" x14ac:dyDescent="0.3">
      <c r="A1865">
        <v>1864</v>
      </c>
      <c r="B1865">
        <v>2016</v>
      </c>
      <c r="C1865">
        <v>8</v>
      </c>
      <c r="D1865">
        <v>23</v>
      </c>
      <c r="E1865" s="1">
        <v>-1.0680000000000001</v>
      </c>
      <c r="F1865" t="s">
        <v>26</v>
      </c>
      <c r="G1865" t="str">
        <f>_xlfn.XLOOKUP(transakcje[[#This Row],[podkategoria]],parametr[podkategoria],parametr[kategoria])</f>
        <v>życie</v>
      </c>
      <c r="H1865" t="str">
        <f>_xlfn.XLOOKUP(transakcje[[#This Row],[kategoria]],parametr[kategoria],parametr[typ])</f>
        <v>wydatki</v>
      </c>
      <c r="I1865" s="1">
        <f>ABS(transakcje[[#This Row],[kwota]])</f>
        <v>1.0680000000000001</v>
      </c>
    </row>
    <row r="1866" spans="1:9" x14ac:dyDescent="0.3">
      <c r="A1866">
        <v>1865</v>
      </c>
      <c r="B1866">
        <v>2016</v>
      </c>
      <c r="C1866">
        <v>8</v>
      </c>
      <c r="D1866">
        <v>23</v>
      </c>
      <c r="E1866" s="1">
        <v>-10.148</v>
      </c>
      <c r="F1866" t="s">
        <v>26</v>
      </c>
      <c r="G1866" t="str">
        <f>_xlfn.XLOOKUP(transakcje[[#This Row],[podkategoria]],parametr[podkategoria],parametr[kategoria])</f>
        <v>życie</v>
      </c>
      <c r="H1866" t="str">
        <f>_xlfn.XLOOKUP(transakcje[[#This Row],[kategoria]],parametr[kategoria],parametr[typ])</f>
        <v>wydatki</v>
      </c>
      <c r="I1866" s="1">
        <f>ABS(transakcje[[#This Row],[kwota]])</f>
        <v>10.148</v>
      </c>
    </row>
    <row r="1867" spans="1:9" x14ac:dyDescent="0.3">
      <c r="A1867">
        <v>1866</v>
      </c>
      <c r="B1867">
        <v>2016</v>
      </c>
      <c r="C1867">
        <v>8</v>
      </c>
      <c r="D1867">
        <v>23</v>
      </c>
      <c r="E1867" s="1">
        <v>-1.9420000000000002</v>
      </c>
      <c r="F1867" t="s">
        <v>26</v>
      </c>
      <c r="G1867" t="str">
        <f>_xlfn.XLOOKUP(transakcje[[#This Row],[podkategoria]],parametr[podkategoria],parametr[kategoria])</f>
        <v>życie</v>
      </c>
      <c r="H1867" t="str">
        <f>_xlfn.XLOOKUP(transakcje[[#This Row],[kategoria]],parametr[kategoria],parametr[typ])</f>
        <v>wydatki</v>
      </c>
      <c r="I1867" s="1">
        <f>ABS(transakcje[[#This Row],[kwota]])</f>
        <v>1.9420000000000002</v>
      </c>
    </row>
    <row r="1868" spans="1:9" x14ac:dyDescent="0.3">
      <c r="A1868">
        <v>1867</v>
      </c>
      <c r="B1868">
        <v>2016</v>
      </c>
      <c r="C1868">
        <v>8</v>
      </c>
      <c r="D1868">
        <v>25</v>
      </c>
      <c r="E1868" s="1">
        <v>478.61400000000003</v>
      </c>
      <c r="F1868" t="s">
        <v>8</v>
      </c>
      <c r="G1868" t="str">
        <f>_xlfn.XLOOKUP(transakcje[[#This Row],[podkategoria]],parametr[podkategoria],parametr[kategoria])</f>
        <v>dochody z pracy</v>
      </c>
      <c r="H1868" t="str">
        <f>_xlfn.XLOOKUP(transakcje[[#This Row],[kategoria]],parametr[kategoria],parametr[typ])</f>
        <v>dochody</v>
      </c>
      <c r="I1868" s="1">
        <f>ABS(transakcje[[#This Row],[kwota]])</f>
        <v>478.61400000000003</v>
      </c>
    </row>
    <row r="1869" spans="1:9" x14ac:dyDescent="0.3">
      <c r="A1869">
        <v>1868</v>
      </c>
      <c r="B1869">
        <v>2016</v>
      </c>
      <c r="C1869">
        <v>8</v>
      </c>
      <c r="D1869">
        <v>26</v>
      </c>
      <c r="E1869" s="1">
        <v>-3.0940000000000003</v>
      </c>
      <c r="F1869" t="s">
        <v>26</v>
      </c>
      <c r="G1869" t="str">
        <f>_xlfn.XLOOKUP(transakcje[[#This Row],[podkategoria]],parametr[podkategoria],parametr[kategoria])</f>
        <v>życie</v>
      </c>
      <c r="H1869" t="str">
        <f>_xlfn.XLOOKUP(transakcje[[#This Row],[kategoria]],parametr[kategoria],parametr[typ])</f>
        <v>wydatki</v>
      </c>
      <c r="I1869" s="1">
        <f>ABS(transakcje[[#This Row],[kwota]])</f>
        <v>3.0940000000000003</v>
      </c>
    </row>
    <row r="1870" spans="1:9" x14ac:dyDescent="0.3">
      <c r="A1870">
        <v>1869</v>
      </c>
      <c r="B1870">
        <v>2016</v>
      </c>
      <c r="C1870">
        <v>8</v>
      </c>
      <c r="D1870">
        <v>26</v>
      </c>
      <c r="E1870" s="1">
        <v>-1.0680000000000001</v>
      </c>
      <c r="F1870" t="s">
        <v>26</v>
      </c>
      <c r="G1870" t="str">
        <f>_xlfn.XLOOKUP(transakcje[[#This Row],[podkategoria]],parametr[podkategoria],parametr[kategoria])</f>
        <v>życie</v>
      </c>
      <c r="H1870" t="str">
        <f>_xlfn.XLOOKUP(transakcje[[#This Row],[kategoria]],parametr[kategoria],parametr[typ])</f>
        <v>wydatki</v>
      </c>
      <c r="I1870" s="1">
        <f>ABS(transakcje[[#This Row],[kwota]])</f>
        <v>1.0680000000000001</v>
      </c>
    </row>
    <row r="1871" spans="1:9" x14ac:dyDescent="0.3">
      <c r="A1871">
        <v>1870</v>
      </c>
      <c r="B1871">
        <v>2016</v>
      </c>
      <c r="C1871">
        <v>8</v>
      </c>
      <c r="D1871">
        <v>26</v>
      </c>
      <c r="E1871" s="1">
        <v>-8.5760000000000005</v>
      </c>
      <c r="F1871" t="s">
        <v>26</v>
      </c>
      <c r="G1871" t="str">
        <f>_xlfn.XLOOKUP(transakcje[[#This Row],[podkategoria]],parametr[podkategoria],parametr[kategoria])</f>
        <v>życie</v>
      </c>
      <c r="H1871" t="str">
        <f>_xlfn.XLOOKUP(transakcje[[#This Row],[kategoria]],parametr[kategoria],parametr[typ])</f>
        <v>wydatki</v>
      </c>
      <c r="I1871" s="1">
        <f>ABS(transakcje[[#This Row],[kwota]])</f>
        <v>8.5760000000000005</v>
      </c>
    </row>
    <row r="1872" spans="1:9" x14ac:dyDescent="0.3">
      <c r="A1872">
        <v>1871</v>
      </c>
      <c r="B1872">
        <v>2016</v>
      </c>
      <c r="C1872">
        <v>8</v>
      </c>
      <c r="D1872">
        <v>28</v>
      </c>
      <c r="E1872" s="1">
        <v>-8.6</v>
      </c>
      <c r="F1872" t="s">
        <v>11</v>
      </c>
      <c r="G1872" t="str">
        <f>_xlfn.XLOOKUP(transakcje[[#This Row],[podkategoria]],parametr[podkategoria],parametr[kategoria])</f>
        <v>wydatki inne</v>
      </c>
      <c r="H1872" t="str">
        <f>_xlfn.XLOOKUP(transakcje[[#This Row],[kategoria]],parametr[kategoria],parametr[typ])</f>
        <v>wydatki</v>
      </c>
      <c r="I1872" s="1">
        <f>ABS(transakcje[[#This Row],[kwota]])</f>
        <v>8.6</v>
      </c>
    </row>
    <row r="1873" spans="1:9" x14ac:dyDescent="0.3">
      <c r="A1873">
        <v>1872</v>
      </c>
      <c r="B1873">
        <v>2016</v>
      </c>
      <c r="C1873">
        <v>8</v>
      </c>
      <c r="D1873">
        <v>28</v>
      </c>
      <c r="E1873" s="1">
        <v>5.0359999999999996</v>
      </c>
      <c r="F1873" t="s">
        <v>17</v>
      </c>
      <c r="G1873" t="str">
        <f>_xlfn.XLOOKUP(transakcje[[#This Row],[podkategoria]],parametr[podkategoria],parametr[kategoria])</f>
        <v>dochody pozostałe</v>
      </c>
      <c r="H1873" t="str">
        <f>_xlfn.XLOOKUP(transakcje[[#This Row],[kategoria]],parametr[kategoria],parametr[typ])</f>
        <v>dochody</v>
      </c>
      <c r="I1873" s="1">
        <f>ABS(transakcje[[#This Row],[kwota]])</f>
        <v>5.0359999999999996</v>
      </c>
    </row>
    <row r="1874" spans="1:9" x14ac:dyDescent="0.3">
      <c r="A1874">
        <v>1873</v>
      </c>
      <c r="B1874">
        <v>2016</v>
      </c>
      <c r="C1874">
        <v>8</v>
      </c>
      <c r="D1874">
        <v>29</v>
      </c>
      <c r="E1874" s="1">
        <v>-19.8</v>
      </c>
      <c r="F1874" t="s">
        <v>32</v>
      </c>
      <c r="G1874" t="str">
        <f>_xlfn.XLOOKUP(transakcje[[#This Row],[podkategoria]],parametr[podkategoria],parametr[kategoria])</f>
        <v>opłaty stałe</v>
      </c>
      <c r="H1874" t="str">
        <f>_xlfn.XLOOKUP(transakcje[[#This Row],[kategoria]],parametr[kategoria],parametr[typ])</f>
        <v>wydatki</v>
      </c>
      <c r="I1874" s="1">
        <f>ABS(transakcje[[#This Row],[kwota]])</f>
        <v>19.8</v>
      </c>
    </row>
    <row r="1875" spans="1:9" x14ac:dyDescent="0.3">
      <c r="A1875">
        <v>1874</v>
      </c>
      <c r="B1875">
        <v>2016</v>
      </c>
      <c r="C1875">
        <v>8</v>
      </c>
      <c r="D1875">
        <v>31</v>
      </c>
      <c r="E1875" s="1">
        <v>2E-3</v>
      </c>
      <c r="F1875" t="s">
        <v>17</v>
      </c>
      <c r="G1875" t="str">
        <f>_xlfn.XLOOKUP(transakcje[[#This Row],[podkategoria]],parametr[podkategoria],parametr[kategoria])</f>
        <v>dochody pozostałe</v>
      </c>
      <c r="H1875" t="str">
        <f>_xlfn.XLOOKUP(transakcje[[#This Row],[kategoria]],parametr[kategoria],parametr[typ])</f>
        <v>dochody</v>
      </c>
      <c r="I1875" s="1">
        <f>ABS(transakcje[[#This Row],[kwota]])</f>
        <v>2E-3</v>
      </c>
    </row>
    <row r="1876" spans="1:9" x14ac:dyDescent="0.3">
      <c r="A1876">
        <v>1875</v>
      </c>
      <c r="B1876">
        <v>2016</v>
      </c>
      <c r="C1876">
        <v>8</v>
      </c>
      <c r="D1876">
        <v>31</v>
      </c>
      <c r="E1876" s="1">
        <v>-1.198</v>
      </c>
      <c r="F1876" t="s">
        <v>14</v>
      </c>
      <c r="G1876" t="str">
        <f>_xlfn.XLOOKUP(transakcje[[#This Row],[podkategoria]],parametr[podkategoria],parametr[kategoria])</f>
        <v>opłaty stałe</v>
      </c>
      <c r="H1876" t="str">
        <f>_xlfn.XLOOKUP(transakcje[[#This Row],[kategoria]],parametr[kategoria],parametr[typ])</f>
        <v>wydatki</v>
      </c>
      <c r="I1876" s="1">
        <f>ABS(transakcje[[#This Row],[kwota]])</f>
        <v>1.198</v>
      </c>
    </row>
    <row r="1877" spans="1:9" x14ac:dyDescent="0.3">
      <c r="A1877">
        <v>1876</v>
      </c>
      <c r="B1877">
        <v>2016</v>
      </c>
      <c r="C1877">
        <v>8</v>
      </c>
      <c r="D1877">
        <v>31</v>
      </c>
      <c r="E1877" s="1">
        <v>-0.2</v>
      </c>
      <c r="F1877" t="s">
        <v>14</v>
      </c>
      <c r="G1877" t="str">
        <f>_xlfn.XLOOKUP(transakcje[[#This Row],[podkategoria]],parametr[podkategoria],parametr[kategoria])</f>
        <v>opłaty stałe</v>
      </c>
      <c r="H1877" t="str">
        <f>_xlfn.XLOOKUP(transakcje[[#This Row],[kategoria]],parametr[kategoria],parametr[typ])</f>
        <v>wydatki</v>
      </c>
      <c r="I1877" s="1">
        <f>ABS(transakcje[[#This Row],[kwota]])</f>
        <v>0.2</v>
      </c>
    </row>
    <row r="1878" spans="1:9" x14ac:dyDescent="0.3">
      <c r="A1878">
        <v>1877</v>
      </c>
      <c r="B1878">
        <v>2016</v>
      </c>
      <c r="C1878">
        <v>8</v>
      </c>
      <c r="D1878">
        <v>31</v>
      </c>
      <c r="E1878" s="1">
        <v>-2E-3</v>
      </c>
      <c r="F1878" t="s">
        <v>14</v>
      </c>
      <c r="G1878" t="str">
        <f>_xlfn.XLOOKUP(transakcje[[#This Row],[podkategoria]],parametr[podkategoria],parametr[kategoria])</f>
        <v>opłaty stałe</v>
      </c>
      <c r="H1878" t="str">
        <f>_xlfn.XLOOKUP(transakcje[[#This Row],[kategoria]],parametr[kategoria],parametr[typ])</f>
        <v>wydatki</v>
      </c>
      <c r="I1878" s="1">
        <f>ABS(transakcje[[#This Row],[kwota]])</f>
        <v>2E-3</v>
      </c>
    </row>
    <row r="1879" spans="1:9" x14ac:dyDescent="0.3">
      <c r="A1879">
        <v>1878</v>
      </c>
      <c r="B1879">
        <v>2016</v>
      </c>
      <c r="C1879">
        <v>9</v>
      </c>
      <c r="D1879">
        <v>1</v>
      </c>
      <c r="E1879" s="1">
        <v>-6.1459999999999999</v>
      </c>
      <c r="F1879" t="s">
        <v>35</v>
      </c>
      <c r="G1879" t="str">
        <f>_xlfn.XLOOKUP(transakcje[[#This Row],[podkategoria]],parametr[podkategoria],parametr[kategoria])</f>
        <v>opłaty stałe</v>
      </c>
      <c r="H1879" t="str">
        <f>_xlfn.XLOOKUP(transakcje[[#This Row],[kategoria]],parametr[kategoria],parametr[typ])</f>
        <v>wydatki</v>
      </c>
      <c r="I1879" s="1">
        <f>ABS(transakcje[[#This Row],[kwota]])</f>
        <v>6.1459999999999999</v>
      </c>
    </row>
    <row r="1880" spans="1:9" x14ac:dyDescent="0.3">
      <c r="A1880">
        <v>1879</v>
      </c>
      <c r="B1880">
        <v>2016</v>
      </c>
      <c r="C1880">
        <v>9</v>
      </c>
      <c r="D1880">
        <v>1</v>
      </c>
      <c r="E1880" s="1">
        <v>-12.712</v>
      </c>
      <c r="F1880" t="s">
        <v>34</v>
      </c>
      <c r="G1880" t="str">
        <f>_xlfn.XLOOKUP(transakcje[[#This Row],[podkategoria]],parametr[podkategoria],parametr[kategoria])</f>
        <v>opłaty stałe</v>
      </c>
      <c r="H1880" t="str">
        <f>_xlfn.XLOOKUP(transakcje[[#This Row],[kategoria]],parametr[kategoria],parametr[typ])</f>
        <v>wydatki</v>
      </c>
      <c r="I1880" s="1">
        <f>ABS(transakcje[[#This Row],[kwota]])</f>
        <v>12.712</v>
      </c>
    </row>
    <row r="1881" spans="1:9" x14ac:dyDescent="0.3">
      <c r="A1881">
        <v>1880</v>
      </c>
      <c r="B1881">
        <v>2016</v>
      </c>
      <c r="C1881">
        <v>9</v>
      </c>
      <c r="D1881">
        <v>1</v>
      </c>
      <c r="E1881" s="1">
        <v>-6.1479999999999997</v>
      </c>
      <c r="F1881" t="s">
        <v>25</v>
      </c>
      <c r="G1881" t="str">
        <f>_xlfn.XLOOKUP(transakcje[[#This Row],[podkategoria]],parametr[podkategoria],parametr[kategoria])</f>
        <v>opłaty stałe</v>
      </c>
      <c r="H1881" t="str">
        <f>_xlfn.XLOOKUP(transakcje[[#This Row],[kategoria]],parametr[kategoria],parametr[typ])</f>
        <v>wydatki</v>
      </c>
      <c r="I1881" s="1">
        <f>ABS(transakcje[[#This Row],[kwota]])</f>
        <v>6.1479999999999997</v>
      </c>
    </row>
    <row r="1882" spans="1:9" x14ac:dyDescent="0.3">
      <c r="A1882">
        <v>1881</v>
      </c>
      <c r="B1882">
        <v>2016</v>
      </c>
      <c r="C1882">
        <v>9</v>
      </c>
      <c r="D1882">
        <v>1</v>
      </c>
      <c r="E1882" s="1">
        <v>-9.202</v>
      </c>
      <c r="F1882" t="s">
        <v>26</v>
      </c>
      <c r="G1882" t="str">
        <f>_xlfn.XLOOKUP(transakcje[[#This Row],[podkategoria]],parametr[podkategoria],parametr[kategoria])</f>
        <v>życie</v>
      </c>
      <c r="H1882" t="str">
        <f>_xlfn.XLOOKUP(transakcje[[#This Row],[kategoria]],parametr[kategoria],parametr[typ])</f>
        <v>wydatki</v>
      </c>
      <c r="I1882" s="1">
        <f>ABS(transakcje[[#This Row],[kwota]])</f>
        <v>9.202</v>
      </c>
    </row>
    <row r="1883" spans="1:9" x14ac:dyDescent="0.3">
      <c r="A1883">
        <v>1882</v>
      </c>
      <c r="B1883">
        <v>2016</v>
      </c>
      <c r="C1883">
        <v>9</v>
      </c>
      <c r="D1883">
        <v>1</v>
      </c>
      <c r="E1883" s="1">
        <v>-2.7480000000000002</v>
      </c>
      <c r="F1883" t="s">
        <v>26</v>
      </c>
      <c r="G1883" t="str">
        <f>_xlfn.XLOOKUP(transakcje[[#This Row],[podkategoria]],parametr[podkategoria],parametr[kategoria])</f>
        <v>życie</v>
      </c>
      <c r="H1883" t="str">
        <f>_xlfn.XLOOKUP(transakcje[[#This Row],[kategoria]],parametr[kategoria],parametr[typ])</f>
        <v>wydatki</v>
      </c>
      <c r="I1883" s="1">
        <f>ABS(transakcje[[#This Row],[kwota]])</f>
        <v>2.7480000000000002</v>
      </c>
    </row>
    <row r="1884" spans="1:9" x14ac:dyDescent="0.3">
      <c r="A1884">
        <v>1883</v>
      </c>
      <c r="B1884">
        <v>2016</v>
      </c>
      <c r="C1884">
        <v>9</v>
      </c>
      <c r="D1884">
        <v>2</v>
      </c>
      <c r="E1884" s="1">
        <v>-61.69</v>
      </c>
      <c r="F1884" t="s">
        <v>31</v>
      </c>
      <c r="G1884" t="str">
        <f>_xlfn.XLOOKUP(transakcje[[#This Row],[podkategoria]],parametr[podkategoria],parametr[kategoria])</f>
        <v>opłaty stałe</v>
      </c>
      <c r="H1884" t="str">
        <f>_xlfn.XLOOKUP(transakcje[[#This Row],[kategoria]],parametr[kategoria],parametr[typ])</f>
        <v>wydatki</v>
      </c>
      <c r="I1884" s="1">
        <f>ABS(transakcje[[#This Row],[kwota]])</f>
        <v>61.69</v>
      </c>
    </row>
    <row r="1885" spans="1:9" x14ac:dyDescent="0.3">
      <c r="A1885">
        <v>1884</v>
      </c>
      <c r="B1885">
        <v>2016</v>
      </c>
      <c r="C1885">
        <v>9</v>
      </c>
      <c r="D1885">
        <v>2</v>
      </c>
      <c r="E1885" s="1">
        <v>-7.38</v>
      </c>
      <c r="F1885" t="s">
        <v>23</v>
      </c>
      <c r="G1885" t="str">
        <f>_xlfn.XLOOKUP(transakcje[[#This Row],[podkategoria]],parametr[podkategoria],parametr[kategoria])</f>
        <v>opłaty stałe</v>
      </c>
      <c r="H1885" t="str">
        <f>_xlfn.XLOOKUP(transakcje[[#This Row],[kategoria]],parametr[kategoria],parametr[typ])</f>
        <v>wydatki</v>
      </c>
      <c r="I1885" s="1">
        <f>ABS(transakcje[[#This Row],[kwota]])</f>
        <v>7.38</v>
      </c>
    </row>
    <row r="1886" spans="1:9" x14ac:dyDescent="0.3">
      <c r="A1886">
        <v>1885</v>
      </c>
      <c r="B1886">
        <v>2016</v>
      </c>
      <c r="C1886">
        <v>9</v>
      </c>
      <c r="D1886">
        <v>3</v>
      </c>
      <c r="E1886" s="1">
        <v>-39.995999999999995</v>
      </c>
      <c r="F1886" t="s">
        <v>24</v>
      </c>
      <c r="G1886" t="str">
        <f>_xlfn.XLOOKUP(transakcje[[#This Row],[podkategoria]],parametr[podkategoria],parametr[kategoria])</f>
        <v>trwałe</v>
      </c>
      <c r="H1886" t="str">
        <f>_xlfn.XLOOKUP(transakcje[[#This Row],[kategoria]],parametr[kategoria],parametr[typ])</f>
        <v>wydatki</v>
      </c>
      <c r="I1886" s="1">
        <f>ABS(transakcje[[#This Row],[kwota]])</f>
        <v>39.995999999999995</v>
      </c>
    </row>
    <row r="1887" spans="1:9" x14ac:dyDescent="0.3">
      <c r="A1887">
        <v>1886</v>
      </c>
      <c r="B1887">
        <v>2016</v>
      </c>
      <c r="C1887">
        <v>9</v>
      </c>
      <c r="D1887">
        <v>3</v>
      </c>
      <c r="E1887" s="1">
        <v>-4</v>
      </c>
      <c r="F1887" t="s">
        <v>11</v>
      </c>
      <c r="G1887" t="str">
        <f>_xlfn.XLOOKUP(transakcje[[#This Row],[podkategoria]],parametr[podkategoria],parametr[kategoria])</f>
        <v>wydatki inne</v>
      </c>
      <c r="H1887" t="str">
        <f>_xlfn.XLOOKUP(transakcje[[#This Row],[kategoria]],parametr[kategoria],parametr[typ])</f>
        <v>wydatki</v>
      </c>
      <c r="I1887" s="1">
        <f>ABS(transakcje[[#This Row],[kwota]])</f>
        <v>4</v>
      </c>
    </row>
    <row r="1888" spans="1:9" x14ac:dyDescent="0.3">
      <c r="A1888">
        <v>1887</v>
      </c>
      <c r="B1888">
        <v>2016</v>
      </c>
      <c r="C1888">
        <v>9</v>
      </c>
      <c r="D1888">
        <v>5</v>
      </c>
      <c r="E1888" s="1">
        <v>-72.205999999999989</v>
      </c>
      <c r="F1888" t="s">
        <v>26</v>
      </c>
      <c r="G1888" t="str">
        <f>_xlfn.XLOOKUP(transakcje[[#This Row],[podkategoria]],parametr[podkategoria],parametr[kategoria])</f>
        <v>życie</v>
      </c>
      <c r="H1888" t="str">
        <f>_xlfn.XLOOKUP(transakcje[[#This Row],[kategoria]],parametr[kategoria],parametr[typ])</f>
        <v>wydatki</v>
      </c>
      <c r="I1888" s="1">
        <f>ABS(transakcje[[#This Row],[kwota]])</f>
        <v>72.205999999999989</v>
      </c>
    </row>
    <row r="1889" spans="1:9" x14ac:dyDescent="0.3">
      <c r="A1889">
        <v>1888</v>
      </c>
      <c r="B1889">
        <v>2016</v>
      </c>
      <c r="C1889">
        <v>9</v>
      </c>
      <c r="D1889">
        <v>6</v>
      </c>
      <c r="E1889" s="1">
        <v>-28.48</v>
      </c>
      <c r="F1889" t="s">
        <v>20</v>
      </c>
      <c r="G1889" t="str">
        <f>_xlfn.XLOOKUP(transakcje[[#This Row],[podkategoria]],parametr[podkategoria],parametr[kategoria])</f>
        <v>trwałe</v>
      </c>
      <c r="H1889" t="str">
        <f>_xlfn.XLOOKUP(transakcje[[#This Row],[kategoria]],parametr[kategoria],parametr[typ])</f>
        <v>wydatki</v>
      </c>
      <c r="I1889" s="1">
        <f>ABS(transakcje[[#This Row],[kwota]])</f>
        <v>28.48</v>
      </c>
    </row>
    <row r="1890" spans="1:9" x14ac:dyDescent="0.3">
      <c r="A1890">
        <v>1889</v>
      </c>
      <c r="B1890">
        <v>2016</v>
      </c>
      <c r="C1890">
        <v>9</v>
      </c>
      <c r="D1890">
        <v>8</v>
      </c>
      <c r="E1890" s="1">
        <v>-24.175999999999998</v>
      </c>
      <c r="F1890" t="s">
        <v>26</v>
      </c>
      <c r="G1890" t="str">
        <f>_xlfn.XLOOKUP(transakcje[[#This Row],[podkategoria]],parametr[podkategoria],parametr[kategoria])</f>
        <v>życie</v>
      </c>
      <c r="H1890" t="str">
        <f>_xlfn.XLOOKUP(transakcje[[#This Row],[kategoria]],parametr[kategoria],parametr[typ])</f>
        <v>wydatki</v>
      </c>
      <c r="I1890" s="1">
        <f>ABS(transakcje[[#This Row],[kwota]])</f>
        <v>24.175999999999998</v>
      </c>
    </row>
    <row r="1891" spans="1:9" x14ac:dyDescent="0.3">
      <c r="A1891">
        <v>1890</v>
      </c>
      <c r="B1891">
        <v>2016</v>
      </c>
      <c r="C1891">
        <v>9</v>
      </c>
      <c r="D1891">
        <v>9</v>
      </c>
      <c r="E1891" s="1">
        <v>-5.5739999999999998</v>
      </c>
      <c r="F1891" t="s">
        <v>26</v>
      </c>
      <c r="G1891" t="str">
        <f>_xlfn.XLOOKUP(transakcje[[#This Row],[podkategoria]],parametr[podkategoria],parametr[kategoria])</f>
        <v>życie</v>
      </c>
      <c r="H1891" t="str">
        <f>_xlfn.XLOOKUP(transakcje[[#This Row],[kategoria]],parametr[kategoria],parametr[typ])</f>
        <v>wydatki</v>
      </c>
      <c r="I1891" s="1">
        <f>ABS(transakcje[[#This Row],[kwota]])</f>
        <v>5.5739999999999998</v>
      </c>
    </row>
    <row r="1892" spans="1:9" x14ac:dyDescent="0.3">
      <c r="A1892">
        <v>1891</v>
      </c>
      <c r="B1892">
        <v>2016</v>
      </c>
      <c r="C1892">
        <v>9</v>
      </c>
      <c r="D1892">
        <v>12</v>
      </c>
      <c r="E1892" s="1">
        <v>-27.798000000000002</v>
      </c>
      <c r="F1892" t="s">
        <v>33</v>
      </c>
      <c r="G1892" t="str">
        <f>_xlfn.XLOOKUP(transakcje[[#This Row],[podkategoria]],parametr[podkategoria],parametr[kategoria])</f>
        <v>trwałe</v>
      </c>
      <c r="H1892" t="str">
        <f>_xlfn.XLOOKUP(transakcje[[#This Row],[kategoria]],parametr[kategoria],parametr[typ])</f>
        <v>wydatki</v>
      </c>
      <c r="I1892" s="1">
        <f>ABS(transakcje[[#This Row],[kwota]])</f>
        <v>27.798000000000002</v>
      </c>
    </row>
    <row r="1893" spans="1:9" x14ac:dyDescent="0.3">
      <c r="A1893">
        <v>1892</v>
      </c>
      <c r="B1893">
        <v>2016</v>
      </c>
      <c r="C1893">
        <v>9</v>
      </c>
      <c r="D1893">
        <v>12</v>
      </c>
      <c r="E1893" s="1">
        <v>-9.8000000000000007</v>
      </c>
      <c r="F1893" t="s">
        <v>26</v>
      </c>
      <c r="G1893" t="str">
        <f>_xlfn.XLOOKUP(transakcje[[#This Row],[podkategoria]],parametr[podkategoria],parametr[kategoria])</f>
        <v>życie</v>
      </c>
      <c r="H1893" t="str">
        <f>_xlfn.XLOOKUP(transakcje[[#This Row],[kategoria]],parametr[kategoria],parametr[typ])</f>
        <v>wydatki</v>
      </c>
      <c r="I1893" s="1">
        <f>ABS(transakcje[[#This Row],[kwota]])</f>
        <v>9.8000000000000007</v>
      </c>
    </row>
    <row r="1894" spans="1:9" x14ac:dyDescent="0.3">
      <c r="A1894">
        <v>1893</v>
      </c>
      <c r="B1894">
        <v>2016</v>
      </c>
      <c r="C1894">
        <v>9</v>
      </c>
      <c r="D1894">
        <v>13</v>
      </c>
      <c r="E1894" s="1">
        <v>-489.8</v>
      </c>
      <c r="F1894" t="s">
        <v>24</v>
      </c>
      <c r="G1894" t="str">
        <f>_xlfn.XLOOKUP(transakcje[[#This Row],[podkategoria]],parametr[podkategoria],parametr[kategoria])</f>
        <v>trwałe</v>
      </c>
      <c r="H1894" t="str">
        <f>_xlfn.XLOOKUP(transakcje[[#This Row],[kategoria]],parametr[kategoria],parametr[typ])</f>
        <v>wydatki</v>
      </c>
      <c r="I1894" s="1">
        <f>ABS(transakcje[[#This Row],[kwota]])</f>
        <v>489.8</v>
      </c>
    </row>
    <row r="1895" spans="1:9" x14ac:dyDescent="0.3">
      <c r="A1895">
        <v>1894</v>
      </c>
      <c r="B1895">
        <v>2016</v>
      </c>
      <c r="C1895">
        <v>9</v>
      </c>
      <c r="D1895">
        <v>14</v>
      </c>
      <c r="E1895" s="1">
        <v>-0.79600000000000004</v>
      </c>
      <c r="F1895" t="s">
        <v>14</v>
      </c>
      <c r="G1895" t="str">
        <f>_xlfn.XLOOKUP(transakcje[[#This Row],[podkategoria]],parametr[podkategoria],parametr[kategoria])</f>
        <v>opłaty stałe</v>
      </c>
      <c r="H1895" t="str">
        <f>_xlfn.XLOOKUP(transakcje[[#This Row],[kategoria]],parametr[kategoria],parametr[typ])</f>
        <v>wydatki</v>
      </c>
      <c r="I1895" s="1">
        <f>ABS(transakcje[[#This Row],[kwota]])</f>
        <v>0.79600000000000004</v>
      </c>
    </row>
    <row r="1896" spans="1:9" x14ac:dyDescent="0.3">
      <c r="A1896">
        <v>1895</v>
      </c>
      <c r="B1896">
        <v>2016</v>
      </c>
      <c r="C1896">
        <v>9</v>
      </c>
      <c r="D1896">
        <v>14</v>
      </c>
      <c r="E1896" s="1">
        <v>-19.8</v>
      </c>
      <c r="F1896" t="s">
        <v>32</v>
      </c>
      <c r="G1896" t="str">
        <f>_xlfn.XLOOKUP(transakcje[[#This Row],[podkategoria]],parametr[podkategoria],parametr[kategoria])</f>
        <v>opłaty stałe</v>
      </c>
      <c r="H1896" t="str">
        <f>_xlfn.XLOOKUP(transakcje[[#This Row],[kategoria]],parametr[kategoria],parametr[typ])</f>
        <v>wydatki</v>
      </c>
      <c r="I1896" s="1">
        <f>ABS(transakcje[[#This Row],[kwota]])</f>
        <v>19.8</v>
      </c>
    </row>
    <row r="1897" spans="1:9" x14ac:dyDescent="0.3">
      <c r="A1897">
        <v>1896</v>
      </c>
      <c r="B1897">
        <v>2016</v>
      </c>
      <c r="C1897">
        <v>9</v>
      </c>
      <c r="D1897">
        <v>14</v>
      </c>
      <c r="E1897" s="1">
        <v>-4.1180000000000003</v>
      </c>
      <c r="F1897" t="s">
        <v>26</v>
      </c>
      <c r="G1897" t="str">
        <f>_xlfn.XLOOKUP(transakcje[[#This Row],[podkategoria]],parametr[podkategoria],parametr[kategoria])</f>
        <v>życie</v>
      </c>
      <c r="H1897" t="str">
        <f>_xlfn.XLOOKUP(transakcje[[#This Row],[kategoria]],parametr[kategoria],parametr[typ])</f>
        <v>wydatki</v>
      </c>
      <c r="I1897" s="1">
        <f>ABS(transakcje[[#This Row],[kwota]])</f>
        <v>4.1180000000000003</v>
      </c>
    </row>
    <row r="1898" spans="1:9" x14ac:dyDescent="0.3">
      <c r="A1898">
        <v>1897</v>
      </c>
      <c r="B1898">
        <v>2016</v>
      </c>
      <c r="C1898">
        <v>9</v>
      </c>
      <c r="D1898">
        <v>15</v>
      </c>
      <c r="E1898" s="1">
        <v>-4</v>
      </c>
      <c r="F1898" t="s">
        <v>26</v>
      </c>
      <c r="G1898" t="str">
        <f>_xlfn.XLOOKUP(transakcje[[#This Row],[podkategoria]],parametr[podkategoria],parametr[kategoria])</f>
        <v>życie</v>
      </c>
      <c r="H1898" t="str">
        <f>_xlfn.XLOOKUP(transakcje[[#This Row],[kategoria]],parametr[kategoria],parametr[typ])</f>
        <v>wydatki</v>
      </c>
      <c r="I1898" s="1">
        <f>ABS(transakcje[[#This Row],[kwota]])</f>
        <v>4</v>
      </c>
    </row>
    <row r="1899" spans="1:9" x14ac:dyDescent="0.3">
      <c r="A1899">
        <v>1898</v>
      </c>
      <c r="B1899">
        <v>2016</v>
      </c>
      <c r="C1899">
        <v>9</v>
      </c>
      <c r="D1899">
        <v>15</v>
      </c>
      <c r="E1899" s="1">
        <v>-31.798000000000002</v>
      </c>
      <c r="F1899" t="s">
        <v>26</v>
      </c>
      <c r="G1899" t="str">
        <f>_xlfn.XLOOKUP(transakcje[[#This Row],[podkategoria]],parametr[podkategoria],parametr[kategoria])</f>
        <v>życie</v>
      </c>
      <c r="H1899" t="str">
        <f>_xlfn.XLOOKUP(transakcje[[#This Row],[kategoria]],parametr[kategoria],parametr[typ])</f>
        <v>wydatki</v>
      </c>
      <c r="I1899" s="1">
        <f>ABS(transakcje[[#This Row],[kwota]])</f>
        <v>31.798000000000002</v>
      </c>
    </row>
    <row r="1900" spans="1:9" x14ac:dyDescent="0.3">
      <c r="A1900">
        <v>1899</v>
      </c>
      <c r="B1900">
        <v>2016</v>
      </c>
      <c r="C1900">
        <v>9</v>
      </c>
      <c r="D1900">
        <v>17</v>
      </c>
      <c r="E1900" s="1">
        <v>-36.795999999999999</v>
      </c>
      <c r="F1900" t="s">
        <v>20</v>
      </c>
      <c r="G1900" t="str">
        <f>_xlfn.XLOOKUP(transakcje[[#This Row],[podkategoria]],parametr[podkategoria],parametr[kategoria])</f>
        <v>trwałe</v>
      </c>
      <c r="H1900" t="str">
        <f>_xlfn.XLOOKUP(transakcje[[#This Row],[kategoria]],parametr[kategoria],parametr[typ])</f>
        <v>wydatki</v>
      </c>
      <c r="I1900" s="1">
        <f>ABS(transakcje[[#This Row],[kwota]])</f>
        <v>36.795999999999999</v>
      </c>
    </row>
    <row r="1901" spans="1:9" x14ac:dyDescent="0.3">
      <c r="A1901">
        <v>1900</v>
      </c>
      <c r="B1901">
        <v>2016</v>
      </c>
      <c r="C1901">
        <v>9</v>
      </c>
      <c r="D1901">
        <v>17</v>
      </c>
      <c r="E1901" s="1">
        <v>-85.8</v>
      </c>
      <c r="F1901" t="s">
        <v>11</v>
      </c>
      <c r="G1901" t="str">
        <f>_xlfn.XLOOKUP(transakcje[[#This Row],[podkategoria]],parametr[podkategoria],parametr[kategoria])</f>
        <v>wydatki inne</v>
      </c>
      <c r="H1901" t="str">
        <f>_xlfn.XLOOKUP(transakcje[[#This Row],[kategoria]],parametr[kategoria],parametr[typ])</f>
        <v>wydatki</v>
      </c>
      <c r="I1901" s="1">
        <f>ABS(transakcje[[#This Row],[kwota]])</f>
        <v>85.8</v>
      </c>
    </row>
    <row r="1902" spans="1:9" x14ac:dyDescent="0.3">
      <c r="A1902">
        <v>1901</v>
      </c>
      <c r="B1902">
        <v>2016</v>
      </c>
      <c r="C1902">
        <v>9</v>
      </c>
      <c r="D1902">
        <v>23</v>
      </c>
      <c r="E1902" s="1">
        <v>478.61400000000003</v>
      </c>
      <c r="F1902" t="s">
        <v>8</v>
      </c>
      <c r="G1902" t="str">
        <f>_xlfn.XLOOKUP(transakcje[[#This Row],[podkategoria]],parametr[podkategoria],parametr[kategoria])</f>
        <v>dochody z pracy</v>
      </c>
      <c r="H1902" t="str">
        <f>_xlfn.XLOOKUP(transakcje[[#This Row],[kategoria]],parametr[kategoria],parametr[typ])</f>
        <v>dochody</v>
      </c>
      <c r="I1902" s="1">
        <f>ABS(transakcje[[#This Row],[kwota]])</f>
        <v>478.61400000000003</v>
      </c>
    </row>
    <row r="1903" spans="1:9" x14ac:dyDescent="0.3">
      <c r="A1903">
        <v>1902</v>
      </c>
      <c r="B1903">
        <v>2016</v>
      </c>
      <c r="C1903">
        <v>9</v>
      </c>
      <c r="D1903">
        <v>27</v>
      </c>
      <c r="E1903" s="1">
        <v>95.6</v>
      </c>
      <c r="F1903" t="s">
        <v>16</v>
      </c>
      <c r="G1903" t="str">
        <f>_xlfn.XLOOKUP(transakcje[[#This Row],[podkategoria]],parametr[podkategoria],parametr[kategoria])</f>
        <v>dochody z pracy</v>
      </c>
      <c r="H1903" t="str">
        <f>_xlfn.XLOOKUP(transakcje[[#This Row],[kategoria]],parametr[kategoria],parametr[typ])</f>
        <v>dochody</v>
      </c>
      <c r="I1903" s="1">
        <f>ABS(transakcje[[#This Row],[kwota]])</f>
        <v>95.6</v>
      </c>
    </row>
    <row r="1904" spans="1:9" x14ac:dyDescent="0.3">
      <c r="A1904">
        <v>1903</v>
      </c>
      <c r="B1904">
        <v>2016</v>
      </c>
      <c r="C1904">
        <v>9</v>
      </c>
      <c r="D1904">
        <v>30</v>
      </c>
      <c r="E1904" s="1">
        <v>-3.5979999999999999</v>
      </c>
      <c r="F1904" t="s">
        <v>11</v>
      </c>
      <c r="G1904" t="str">
        <f>_xlfn.XLOOKUP(transakcje[[#This Row],[podkategoria]],parametr[podkategoria],parametr[kategoria])</f>
        <v>wydatki inne</v>
      </c>
      <c r="H1904" t="str">
        <f>_xlfn.XLOOKUP(transakcje[[#This Row],[kategoria]],parametr[kategoria],parametr[typ])</f>
        <v>wydatki</v>
      </c>
      <c r="I1904" s="1">
        <f>ABS(transakcje[[#This Row],[kwota]])</f>
        <v>3.5979999999999999</v>
      </c>
    </row>
    <row r="1905" spans="1:9" x14ac:dyDescent="0.3">
      <c r="A1905">
        <v>1904</v>
      </c>
      <c r="B1905">
        <v>2016</v>
      </c>
      <c r="C1905">
        <v>9</v>
      </c>
      <c r="D1905">
        <v>30</v>
      </c>
      <c r="E1905" s="1">
        <v>2E-3</v>
      </c>
      <c r="F1905" t="s">
        <v>17</v>
      </c>
      <c r="G1905" t="str">
        <f>_xlfn.XLOOKUP(transakcje[[#This Row],[podkategoria]],parametr[podkategoria],parametr[kategoria])</f>
        <v>dochody pozostałe</v>
      </c>
      <c r="H1905" t="str">
        <f>_xlfn.XLOOKUP(transakcje[[#This Row],[kategoria]],parametr[kategoria],parametr[typ])</f>
        <v>dochody</v>
      </c>
      <c r="I1905" s="1">
        <f>ABS(transakcje[[#This Row],[kwota]])</f>
        <v>2E-3</v>
      </c>
    </row>
    <row r="1906" spans="1:9" x14ac:dyDescent="0.3">
      <c r="A1906">
        <v>1905</v>
      </c>
      <c r="B1906">
        <v>2016</v>
      </c>
      <c r="C1906">
        <v>9</v>
      </c>
      <c r="D1906">
        <v>30</v>
      </c>
      <c r="E1906" s="1">
        <v>-1.198</v>
      </c>
      <c r="F1906" t="s">
        <v>14</v>
      </c>
      <c r="G1906" t="str">
        <f>_xlfn.XLOOKUP(transakcje[[#This Row],[podkategoria]],parametr[podkategoria],parametr[kategoria])</f>
        <v>opłaty stałe</v>
      </c>
      <c r="H1906" t="str">
        <f>_xlfn.XLOOKUP(transakcje[[#This Row],[kategoria]],parametr[kategoria],parametr[typ])</f>
        <v>wydatki</v>
      </c>
      <c r="I1906" s="1">
        <f>ABS(transakcje[[#This Row],[kwota]])</f>
        <v>1.198</v>
      </c>
    </row>
    <row r="1907" spans="1:9" x14ac:dyDescent="0.3">
      <c r="A1907">
        <v>1906</v>
      </c>
      <c r="B1907">
        <v>2016</v>
      </c>
      <c r="C1907">
        <v>9</v>
      </c>
      <c r="D1907">
        <v>30</v>
      </c>
      <c r="E1907" s="1">
        <v>-0.2</v>
      </c>
      <c r="F1907" t="s">
        <v>14</v>
      </c>
      <c r="G1907" t="str">
        <f>_xlfn.XLOOKUP(transakcje[[#This Row],[podkategoria]],parametr[podkategoria],parametr[kategoria])</f>
        <v>opłaty stałe</v>
      </c>
      <c r="H1907" t="str">
        <f>_xlfn.XLOOKUP(transakcje[[#This Row],[kategoria]],parametr[kategoria],parametr[typ])</f>
        <v>wydatki</v>
      </c>
      <c r="I1907" s="1">
        <f>ABS(transakcje[[#This Row],[kwota]])</f>
        <v>0.2</v>
      </c>
    </row>
    <row r="1908" spans="1:9" x14ac:dyDescent="0.3">
      <c r="A1908">
        <v>1907</v>
      </c>
      <c r="B1908">
        <v>2016</v>
      </c>
      <c r="C1908">
        <v>9</v>
      </c>
      <c r="D1908">
        <v>30</v>
      </c>
      <c r="E1908" s="1">
        <v>-2E-3</v>
      </c>
      <c r="F1908" t="s">
        <v>14</v>
      </c>
      <c r="G1908" t="str">
        <f>_xlfn.XLOOKUP(transakcje[[#This Row],[podkategoria]],parametr[podkategoria],parametr[kategoria])</f>
        <v>opłaty stałe</v>
      </c>
      <c r="H1908" t="str">
        <f>_xlfn.XLOOKUP(transakcje[[#This Row],[kategoria]],parametr[kategoria],parametr[typ])</f>
        <v>wydatki</v>
      </c>
      <c r="I1908" s="1">
        <f>ABS(transakcje[[#This Row],[kwota]])</f>
        <v>2E-3</v>
      </c>
    </row>
    <row r="1909" spans="1:9" x14ac:dyDescent="0.3">
      <c r="A1909">
        <v>1908</v>
      </c>
      <c r="B1909">
        <v>2016</v>
      </c>
      <c r="C1909">
        <v>9</v>
      </c>
      <c r="D1909">
        <v>30</v>
      </c>
      <c r="E1909" s="1">
        <v>-3.944</v>
      </c>
      <c r="F1909" t="s">
        <v>26</v>
      </c>
      <c r="G1909" t="str">
        <f>_xlfn.XLOOKUP(transakcje[[#This Row],[podkategoria]],parametr[podkategoria],parametr[kategoria])</f>
        <v>życie</v>
      </c>
      <c r="H1909" t="str">
        <f>_xlfn.XLOOKUP(transakcje[[#This Row],[kategoria]],parametr[kategoria],parametr[typ])</f>
        <v>wydatki</v>
      </c>
      <c r="I1909" s="1">
        <f>ABS(transakcje[[#This Row],[kwota]])</f>
        <v>3.944</v>
      </c>
    </row>
    <row r="1910" spans="1:9" x14ac:dyDescent="0.3">
      <c r="A1910">
        <v>1909</v>
      </c>
      <c r="B1910">
        <v>2016</v>
      </c>
      <c r="C1910">
        <v>10</v>
      </c>
      <c r="D1910">
        <v>1</v>
      </c>
      <c r="E1910" s="1">
        <v>-61.69</v>
      </c>
      <c r="F1910" t="s">
        <v>31</v>
      </c>
      <c r="G1910" t="str">
        <f>_xlfn.XLOOKUP(transakcje[[#This Row],[podkategoria]],parametr[podkategoria],parametr[kategoria])</f>
        <v>opłaty stałe</v>
      </c>
      <c r="H1910" t="str">
        <f>_xlfn.XLOOKUP(transakcje[[#This Row],[kategoria]],parametr[kategoria],parametr[typ])</f>
        <v>wydatki</v>
      </c>
      <c r="I1910" s="1">
        <f>ABS(transakcje[[#This Row],[kwota]])</f>
        <v>61.69</v>
      </c>
    </row>
    <row r="1911" spans="1:9" x14ac:dyDescent="0.3">
      <c r="A1911">
        <v>1910</v>
      </c>
      <c r="B1911">
        <v>2016</v>
      </c>
      <c r="C1911">
        <v>10</v>
      </c>
      <c r="D1911">
        <v>1</v>
      </c>
      <c r="E1911" s="1">
        <v>-7.38</v>
      </c>
      <c r="F1911" t="s">
        <v>23</v>
      </c>
      <c r="G1911" t="str">
        <f>_xlfn.XLOOKUP(transakcje[[#This Row],[podkategoria]],parametr[podkategoria],parametr[kategoria])</f>
        <v>opłaty stałe</v>
      </c>
      <c r="H1911" t="str">
        <f>_xlfn.XLOOKUP(transakcje[[#This Row],[kategoria]],parametr[kategoria],parametr[typ])</f>
        <v>wydatki</v>
      </c>
      <c r="I1911" s="1">
        <f>ABS(transakcje[[#This Row],[kwota]])</f>
        <v>7.38</v>
      </c>
    </row>
    <row r="1912" spans="1:9" x14ac:dyDescent="0.3">
      <c r="A1912">
        <v>1911</v>
      </c>
      <c r="B1912">
        <v>2016</v>
      </c>
      <c r="C1912">
        <v>10</v>
      </c>
      <c r="D1912">
        <v>1</v>
      </c>
      <c r="E1912" s="1">
        <v>-8.6</v>
      </c>
      <c r="F1912" t="s">
        <v>11</v>
      </c>
      <c r="G1912" t="str">
        <f>_xlfn.XLOOKUP(transakcje[[#This Row],[podkategoria]],parametr[podkategoria],parametr[kategoria])</f>
        <v>wydatki inne</v>
      </c>
      <c r="H1912" t="str">
        <f>_xlfn.XLOOKUP(transakcje[[#This Row],[kategoria]],parametr[kategoria],parametr[typ])</f>
        <v>wydatki</v>
      </c>
      <c r="I1912" s="1">
        <f>ABS(transakcje[[#This Row],[kwota]])</f>
        <v>8.6</v>
      </c>
    </row>
    <row r="1913" spans="1:9" x14ac:dyDescent="0.3">
      <c r="A1913">
        <v>1912</v>
      </c>
      <c r="B1913">
        <v>2016</v>
      </c>
      <c r="C1913">
        <v>10</v>
      </c>
      <c r="D1913">
        <v>1</v>
      </c>
      <c r="E1913" s="1">
        <v>-6.1479999999999997</v>
      </c>
      <c r="F1913" t="s">
        <v>25</v>
      </c>
      <c r="G1913" t="str">
        <f>_xlfn.XLOOKUP(transakcje[[#This Row],[podkategoria]],parametr[podkategoria],parametr[kategoria])</f>
        <v>opłaty stałe</v>
      </c>
      <c r="H1913" t="str">
        <f>_xlfn.XLOOKUP(transakcje[[#This Row],[kategoria]],parametr[kategoria],parametr[typ])</f>
        <v>wydatki</v>
      </c>
      <c r="I1913" s="1">
        <f>ABS(transakcje[[#This Row],[kwota]])</f>
        <v>6.1479999999999997</v>
      </c>
    </row>
    <row r="1914" spans="1:9" x14ac:dyDescent="0.3">
      <c r="A1914">
        <v>1913</v>
      </c>
      <c r="B1914">
        <v>2016</v>
      </c>
      <c r="C1914">
        <v>10</v>
      </c>
      <c r="D1914">
        <v>1</v>
      </c>
      <c r="E1914" s="1">
        <v>-46.4</v>
      </c>
      <c r="F1914" t="s">
        <v>30</v>
      </c>
      <c r="G1914" t="str">
        <f>_xlfn.XLOOKUP(transakcje[[#This Row],[podkategoria]],parametr[podkategoria],parametr[kategoria])</f>
        <v>opłaty stałe</v>
      </c>
      <c r="H1914" t="str">
        <f>_xlfn.XLOOKUP(transakcje[[#This Row],[kategoria]],parametr[kategoria],parametr[typ])</f>
        <v>wydatki</v>
      </c>
      <c r="I1914" s="1">
        <f>ABS(transakcje[[#This Row],[kwota]])</f>
        <v>46.4</v>
      </c>
    </row>
    <row r="1915" spans="1:9" x14ac:dyDescent="0.3">
      <c r="A1915">
        <v>1914</v>
      </c>
      <c r="B1915">
        <v>2016</v>
      </c>
      <c r="C1915">
        <v>10</v>
      </c>
      <c r="D1915">
        <v>5</v>
      </c>
      <c r="E1915" s="1">
        <v>-4.4979999999999993</v>
      </c>
      <c r="F1915" t="s">
        <v>11</v>
      </c>
      <c r="G1915" t="str">
        <f>_xlfn.XLOOKUP(transakcje[[#This Row],[podkategoria]],parametr[podkategoria],parametr[kategoria])</f>
        <v>wydatki inne</v>
      </c>
      <c r="H1915" t="str">
        <f>_xlfn.XLOOKUP(transakcje[[#This Row],[kategoria]],parametr[kategoria],parametr[typ])</f>
        <v>wydatki</v>
      </c>
      <c r="I1915" s="1">
        <f>ABS(transakcje[[#This Row],[kwota]])</f>
        <v>4.4979999999999993</v>
      </c>
    </row>
    <row r="1916" spans="1:9" x14ac:dyDescent="0.3">
      <c r="A1916">
        <v>1915</v>
      </c>
      <c r="B1916">
        <v>2016</v>
      </c>
      <c r="C1916">
        <v>10</v>
      </c>
      <c r="D1916">
        <v>5</v>
      </c>
      <c r="E1916" s="1">
        <v>-3.59</v>
      </c>
      <c r="F1916" t="s">
        <v>26</v>
      </c>
      <c r="G1916" t="str">
        <f>_xlfn.XLOOKUP(transakcje[[#This Row],[podkategoria]],parametr[podkategoria],parametr[kategoria])</f>
        <v>życie</v>
      </c>
      <c r="H1916" t="str">
        <f>_xlfn.XLOOKUP(transakcje[[#This Row],[kategoria]],parametr[kategoria],parametr[typ])</f>
        <v>wydatki</v>
      </c>
      <c r="I1916" s="1">
        <f>ABS(transakcje[[#This Row],[kwota]])</f>
        <v>3.59</v>
      </c>
    </row>
    <row r="1917" spans="1:9" x14ac:dyDescent="0.3">
      <c r="A1917">
        <v>1916</v>
      </c>
      <c r="B1917">
        <v>2016</v>
      </c>
      <c r="C1917">
        <v>10</v>
      </c>
      <c r="D1917">
        <v>6</v>
      </c>
      <c r="E1917" s="1">
        <v>11.128</v>
      </c>
      <c r="F1917" t="s">
        <v>17</v>
      </c>
      <c r="G1917" t="str">
        <f>_xlfn.XLOOKUP(transakcje[[#This Row],[podkategoria]],parametr[podkategoria],parametr[kategoria])</f>
        <v>dochody pozostałe</v>
      </c>
      <c r="H1917" t="str">
        <f>_xlfn.XLOOKUP(transakcje[[#This Row],[kategoria]],parametr[kategoria],parametr[typ])</f>
        <v>dochody</v>
      </c>
      <c r="I1917" s="1">
        <f>ABS(transakcje[[#This Row],[kwota]])</f>
        <v>11.128</v>
      </c>
    </row>
    <row r="1918" spans="1:9" x14ac:dyDescent="0.3">
      <c r="A1918">
        <v>1917</v>
      </c>
      <c r="B1918">
        <v>2016</v>
      </c>
      <c r="C1918">
        <v>10</v>
      </c>
      <c r="D1918">
        <v>11</v>
      </c>
      <c r="E1918" s="1">
        <v>-5.5720000000000001</v>
      </c>
      <c r="F1918" t="s">
        <v>26</v>
      </c>
      <c r="G1918" t="str">
        <f>_xlfn.XLOOKUP(transakcje[[#This Row],[podkategoria]],parametr[podkategoria],parametr[kategoria])</f>
        <v>życie</v>
      </c>
      <c r="H1918" t="str">
        <f>_xlfn.XLOOKUP(transakcje[[#This Row],[kategoria]],parametr[kategoria],parametr[typ])</f>
        <v>wydatki</v>
      </c>
      <c r="I1918" s="1">
        <f>ABS(transakcje[[#This Row],[kwota]])</f>
        <v>5.5720000000000001</v>
      </c>
    </row>
    <row r="1919" spans="1:9" x14ac:dyDescent="0.3">
      <c r="A1919">
        <v>1918</v>
      </c>
      <c r="B1919">
        <v>2016</v>
      </c>
      <c r="C1919">
        <v>10</v>
      </c>
      <c r="D1919">
        <v>11</v>
      </c>
      <c r="E1919" s="1">
        <v>-6.9099999999999993</v>
      </c>
      <c r="F1919" t="s">
        <v>26</v>
      </c>
      <c r="G1919" t="str">
        <f>_xlfn.XLOOKUP(transakcje[[#This Row],[podkategoria]],parametr[podkategoria],parametr[kategoria])</f>
        <v>życie</v>
      </c>
      <c r="H1919" t="str">
        <f>_xlfn.XLOOKUP(transakcje[[#This Row],[kategoria]],parametr[kategoria],parametr[typ])</f>
        <v>wydatki</v>
      </c>
      <c r="I1919" s="1">
        <f>ABS(transakcje[[#This Row],[kwota]])</f>
        <v>6.9099999999999993</v>
      </c>
    </row>
    <row r="1920" spans="1:9" x14ac:dyDescent="0.3">
      <c r="A1920">
        <v>1919</v>
      </c>
      <c r="B1920">
        <v>2016</v>
      </c>
      <c r="C1920">
        <v>10</v>
      </c>
      <c r="D1920">
        <v>13</v>
      </c>
      <c r="E1920" s="1">
        <v>-3.9180000000000001</v>
      </c>
      <c r="F1920" t="s">
        <v>26</v>
      </c>
      <c r="G1920" t="str">
        <f>_xlfn.XLOOKUP(transakcje[[#This Row],[podkategoria]],parametr[podkategoria],parametr[kategoria])</f>
        <v>życie</v>
      </c>
      <c r="H1920" t="str">
        <f>_xlfn.XLOOKUP(transakcje[[#This Row],[kategoria]],parametr[kategoria],parametr[typ])</f>
        <v>wydatki</v>
      </c>
      <c r="I1920" s="1">
        <f>ABS(transakcje[[#This Row],[kwota]])</f>
        <v>3.9180000000000001</v>
      </c>
    </row>
    <row r="1921" spans="1:9" x14ac:dyDescent="0.3">
      <c r="A1921">
        <v>1920</v>
      </c>
      <c r="B1921">
        <v>2016</v>
      </c>
      <c r="C1921">
        <v>10</v>
      </c>
      <c r="D1921">
        <v>18</v>
      </c>
      <c r="E1921" s="1">
        <v>-0.83800000000000008</v>
      </c>
      <c r="F1921" t="s">
        <v>26</v>
      </c>
      <c r="G1921" t="str">
        <f>_xlfn.XLOOKUP(transakcje[[#This Row],[podkategoria]],parametr[podkategoria],parametr[kategoria])</f>
        <v>życie</v>
      </c>
      <c r="H1921" t="str">
        <f>_xlfn.XLOOKUP(transakcje[[#This Row],[kategoria]],parametr[kategoria],parametr[typ])</f>
        <v>wydatki</v>
      </c>
      <c r="I1921" s="1">
        <f>ABS(transakcje[[#This Row],[kwota]])</f>
        <v>0.83800000000000008</v>
      </c>
    </row>
    <row r="1922" spans="1:9" x14ac:dyDescent="0.3">
      <c r="A1922">
        <v>1921</v>
      </c>
      <c r="B1922">
        <v>2016</v>
      </c>
      <c r="C1922">
        <v>10</v>
      </c>
      <c r="D1922">
        <v>19</v>
      </c>
      <c r="E1922" s="1">
        <v>-3.5259999999999998</v>
      </c>
      <c r="F1922" t="s">
        <v>20</v>
      </c>
      <c r="G1922" t="str">
        <f>_xlfn.XLOOKUP(transakcje[[#This Row],[podkategoria]],parametr[podkategoria],parametr[kategoria])</f>
        <v>trwałe</v>
      </c>
      <c r="H1922" t="str">
        <f>_xlfn.XLOOKUP(transakcje[[#This Row],[kategoria]],parametr[kategoria],parametr[typ])</f>
        <v>wydatki</v>
      </c>
      <c r="I1922" s="1">
        <f>ABS(transakcje[[#This Row],[kwota]])</f>
        <v>3.5259999999999998</v>
      </c>
    </row>
    <row r="1923" spans="1:9" x14ac:dyDescent="0.3">
      <c r="A1923">
        <v>1922</v>
      </c>
      <c r="B1923">
        <v>2016</v>
      </c>
      <c r="C1923">
        <v>10</v>
      </c>
      <c r="D1923">
        <v>19</v>
      </c>
      <c r="E1923" s="1">
        <v>-0.79600000000000004</v>
      </c>
      <c r="F1923" t="s">
        <v>26</v>
      </c>
      <c r="G1923" t="str">
        <f>_xlfn.XLOOKUP(transakcje[[#This Row],[podkategoria]],parametr[podkategoria],parametr[kategoria])</f>
        <v>życie</v>
      </c>
      <c r="H1923" t="str">
        <f>_xlfn.XLOOKUP(transakcje[[#This Row],[kategoria]],parametr[kategoria],parametr[typ])</f>
        <v>wydatki</v>
      </c>
      <c r="I1923" s="1">
        <f>ABS(transakcje[[#This Row],[kwota]])</f>
        <v>0.79600000000000004</v>
      </c>
    </row>
    <row r="1924" spans="1:9" x14ac:dyDescent="0.3">
      <c r="A1924">
        <v>1923</v>
      </c>
      <c r="B1924">
        <v>2016</v>
      </c>
      <c r="C1924">
        <v>10</v>
      </c>
      <c r="D1924">
        <v>21</v>
      </c>
      <c r="E1924" s="1">
        <v>-18.753999999999998</v>
      </c>
      <c r="F1924" t="s">
        <v>26</v>
      </c>
      <c r="G1924" t="str">
        <f>_xlfn.XLOOKUP(transakcje[[#This Row],[podkategoria]],parametr[podkategoria],parametr[kategoria])</f>
        <v>życie</v>
      </c>
      <c r="H1924" t="str">
        <f>_xlfn.XLOOKUP(transakcje[[#This Row],[kategoria]],parametr[kategoria],parametr[typ])</f>
        <v>wydatki</v>
      </c>
      <c r="I1924" s="1">
        <f>ABS(transakcje[[#This Row],[kwota]])</f>
        <v>18.753999999999998</v>
      </c>
    </row>
    <row r="1925" spans="1:9" x14ac:dyDescent="0.3">
      <c r="A1925">
        <v>1924</v>
      </c>
      <c r="B1925">
        <v>2016</v>
      </c>
      <c r="C1925">
        <v>10</v>
      </c>
      <c r="D1925">
        <v>24</v>
      </c>
      <c r="E1925" s="1">
        <v>478.61400000000003</v>
      </c>
      <c r="F1925" t="s">
        <v>8</v>
      </c>
      <c r="G1925" t="str">
        <f>_xlfn.XLOOKUP(transakcje[[#This Row],[podkategoria]],parametr[podkategoria],parametr[kategoria])</f>
        <v>dochody z pracy</v>
      </c>
      <c r="H1925" t="str">
        <f>_xlfn.XLOOKUP(transakcje[[#This Row],[kategoria]],parametr[kategoria],parametr[typ])</f>
        <v>dochody</v>
      </c>
      <c r="I1925" s="1">
        <f>ABS(transakcje[[#This Row],[kwota]])</f>
        <v>478.61400000000003</v>
      </c>
    </row>
    <row r="1926" spans="1:9" x14ac:dyDescent="0.3">
      <c r="A1926">
        <v>1925</v>
      </c>
      <c r="B1926">
        <v>2016</v>
      </c>
      <c r="C1926">
        <v>10</v>
      </c>
      <c r="D1926">
        <v>26</v>
      </c>
      <c r="E1926" s="1">
        <v>-39.6</v>
      </c>
      <c r="F1926" t="s">
        <v>32</v>
      </c>
      <c r="G1926" t="str">
        <f>_xlfn.XLOOKUP(transakcje[[#This Row],[podkategoria]],parametr[podkategoria],parametr[kategoria])</f>
        <v>opłaty stałe</v>
      </c>
      <c r="H1926" t="str">
        <f>_xlfn.XLOOKUP(transakcje[[#This Row],[kategoria]],parametr[kategoria],parametr[typ])</f>
        <v>wydatki</v>
      </c>
      <c r="I1926" s="1">
        <f>ABS(transakcje[[#This Row],[kwota]])</f>
        <v>39.6</v>
      </c>
    </row>
    <row r="1927" spans="1:9" x14ac:dyDescent="0.3">
      <c r="A1927">
        <v>1926</v>
      </c>
      <c r="B1927">
        <v>2016</v>
      </c>
      <c r="C1927">
        <v>10</v>
      </c>
      <c r="D1927">
        <v>26</v>
      </c>
      <c r="E1927" s="1">
        <v>-0.75</v>
      </c>
      <c r="F1927" t="s">
        <v>26</v>
      </c>
      <c r="G1927" t="str">
        <f>_xlfn.XLOOKUP(transakcje[[#This Row],[podkategoria]],parametr[podkategoria],parametr[kategoria])</f>
        <v>życie</v>
      </c>
      <c r="H1927" t="str">
        <f>_xlfn.XLOOKUP(transakcje[[#This Row],[kategoria]],parametr[kategoria],parametr[typ])</f>
        <v>wydatki</v>
      </c>
      <c r="I1927" s="1">
        <f>ABS(transakcje[[#This Row],[kwota]])</f>
        <v>0.75</v>
      </c>
    </row>
    <row r="1928" spans="1:9" x14ac:dyDescent="0.3">
      <c r="A1928">
        <v>1927</v>
      </c>
      <c r="B1928">
        <v>2016</v>
      </c>
      <c r="C1928">
        <v>10</v>
      </c>
      <c r="D1928">
        <v>26</v>
      </c>
      <c r="E1928" s="1">
        <v>-1.8059999999999998</v>
      </c>
      <c r="F1928" t="s">
        <v>26</v>
      </c>
      <c r="G1928" t="str">
        <f>_xlfn.XLOOKUP(transakcje[[#This Row],[podkategoria]],parametr[podkategoria],parametr[kategoria])</f>
        <v>życie</v>
      </c>
      <c r="H1928" t="str">
        <f>_xlfn.XLOOKUP(transakcje[[#This Row],[kategoria]],parametr[kategoria],parametr[typ])</f>
        <v>wydatki</v>
      </c>
      <c r="I1928" s="1">
        <f>ABS(transakcje[[#This Row],[kwota]])</f>
        <v>1.8059999999999998</v>
      </c>
    </row>
    <row r="1929" spans="1:9" x14ac:dyDescent="0.3">
      <c r="A1929">
        <v>1928</v>
      </c>
      <c r="B1929">
        <v>2016</v>
      </c>
      <c r="C1929">
        <v>10</v>
      </c>
      <c r="D1929">
        <v>27</v>
      </c>
      <c r="E1929" s="1">
        <v>-37.998000000000005</v>
      </c>
      <c r="F1929" t="s">
        <v>24</v>
      </c>
      <c r="G1929" t="str">
        <f>_xlfn.XLOOKUP(transakcje[[#This Row],[podkategoria]],parametr[podkategoria],parametr[kategoria])</f>
        <v>trwałe</v>
      </c>
      <c r="H1929" t="str">
        <f>_xlfn.XLOOKUP(transakcje[[#This Row],[kategoria]],parametr[kategoria],parametr[typ])</f>
        <v>wydatki</v>
      </c>
      <c r="I1929" s="1">
        <f>ABS(transakcje[[#This Row],[kwota]])</f>
        <v>37.998000000000005</v>
      </c>
    </row>
    <row r="1930" spans="1:9" x14ac:dyDescent="0.3">
      <c r="A1930">
        <v>1929</v>
      </c>
      <c r="B1930">
        <v>2016</v>
      </c>
      <c r="C1930">
        <v>10</v>
      </c>
      <c r="D1930">
        <v>27</v>
      </c>
      <c r="E1930" s="1">
        <v>-1.998</v>
      </c>
      <c r="F1930" t="s">
        <v>24</v>
      </c>
      <c r="G1930" t="str">
        <f>_xlfn.XLOOKUP(transakcje[[#This Row],[podkategoria]],parametr[podkategoria],parametr[kategoria])</f>
        <v>trwałe</v>
      </c>
      <c r="H1930" t="str">
        <f>_xlfn.XLOOKUP(transakcje[[#This Row],[kategoria]],parametr[kategoria],parametr[typ])</f>
        <v>wydatki</v>
      </c>
      <c r="I1930" s="1">
        <f>ABS(transakcje[[#This Row],[kwota]])</f>
        <v>1.998</v>
      </c>
    </row>
    <row r="1931" spans="1:9" x14ac:dyDescent="0.3">
      <c r="A1931">
        <v>1930</v>
      </c>
      <c r="B1931">
        <v>2016</v>
      </c>
      <c r="C1931">
        <v>10</v>
      </c>
      <c r="D1931">
        <v>28</v>
      </c>
      <c r="E1931" s="1">
        <v>-1.3980000000000001</v>
      </c>
      <c r="F1931" t="s">
        <v>26</v>
      </c>
      <c r="G1931" t="str">
        <f>_xlfn.XLOOKUP(transakcje[[#This Row],[podkategoria]],parametr[podkategoria],parametr[kategoria])</f>
        <v>życie</v>
      </c>
      <c r="H1931" t="str">
        <f>_xlfn.XLOOKUP(transakcje[[#This Row],[kategoria]],parametr[kategoria],parametr[typ])</f>
        <v>wydatki</v>
      </c>
      <c r="I1931" s="1">
        <f>ABS(transakcje[[#This Row],[kwota]])</f>
        <v>1.3980000000000001</v>
      </c>
    </row>
    <row r="1932" spans="1:9" x14ac:dyDescent="0.3">
      <c r="A1932">
        <v>1931</v>
      </c>
      <c r="B1932">
        <v>2016</v>
      </c>
      <c r="C1932">
        <v>10</v>
      </c>
      <c r="D1932">
        <v>28</v>
      </c>
      <c r="E1932" s="1">
        <v>-6.8680000000000003</v>
      </c>
      <c r="F1932" t="s">
        <v>26</v>
      </c>
      <c r="G1932" t="str">
        <f>_xlfn.XLOOKUP(transakcje[[#This Row],[podkategoria]],parametr[podkategoria],parametr[kategoria])</f>
        <v>życie</v>
      </c>
      <c r="H1932" t="str">
        <f>_xlfn.XLOOKUP(transakcje[[#This Row],[kategoria]],parametr[kategoria],parametr[typ])</f>
        <v>wydatki</v>
      </c>
      <c r="I1932" s="1">
        <f>ABS(transakcje[[#This Row],[kwota]])</f>
        <v>6.8680000000000003</v>
      </c>
    </row>
    <row r="1933" spans="1:9" x14ac:dyDescent="0.3">
      <c r="A1933">
        <v>1932</v>
      </c>
      <c r="B1933">
        <v>2016</v>
      </c>
      <c r="C1933">
        <v>10</v>
      </c>
      <c r="D1933">
        <v>31</v>
      </c>
      <c r="E1933" s="1">
        <v>2E-3</v>
      </c>
      <c r="F1933" t="s">
        <v>17</v>
      </c>
      <c r="G1933" t="str">
        <f>_xlfn.XLOOKUP(transakcje[[#This Row],[podkategoria]],parametr[podkategoria],parametr[kategoria])</f>
        <v>dochody pozostałe</v>
      </c>
      <c r="H1933" t="str">
        <f>_xlfn.XLOOKUP(transakcje[[#This Row],[kategoria]],parametr[kategoria],parametr[typ])</f>
        <v>dochody</v>
      </c>
      <c r="I1933" s="1">
        <f>ABS(transakcje[[#This Row],[kwota]])</f>
        <v>2E-3</v>
      </c>
    </row>
    <row r="1934" spans="1:9" x14ac:dyDescent="0.3">
      <c r="A1934">
        <v>1933</v>
      </c>
      <c r="B1934">
        <v>2016</v>
      </c>
      <c r="C1934">
        <v>10</v>
      </c>
      <c r="D1934">
        <v>31</v>
      </c>
      <c r="E1934" s="1">
        <v>-1.198</v>
      </c>
      <c r="F1934" t="s">
        <v>14</v>
      </c>
      <c r="G1934" t="str">
        <f>_xlfn.XLOOKUP(transakcje[[#This Row],[podkategoria]],parametr[podkategoria],parametr[kategoria])</f>
        <v>opłaty stałe</v>
      </c>
      <c r="H1934" t="str">
        <f>_xlfn.XLOOKUP(transakcje[[#This Row],[kategoria]],parametr[kategoria],parametr[typ])</f>
        <v>wydatki</v>
      </c>
      <c r="I1934" s="1">
        <f>ABS(transakcje[[#This Row],[kwota]])</f>
        <v>1.198</v>
      </c>
    </row>
    <row r="1935" spans="1:9" x14ac:dyDescent="0.3">
      <c r="A1935">
        <v>1934</v>
      </c>
      <c r="B1935">
        <v>2016</v>
      </c>
      <c r="C1935">
        <v>10</v>
      </c>
      <c r="D1935">
        <v>31</v>
      </c>
      <c r="E1935" s="1">
        <v>-0.4</v>
      </c>
      <c r="F1935" t="s">
        <v>14</v>
      </c>
      <c r="G1935" t="str">
        <f>_xlfn.XLOOKUP(transakcje[[#This Row],[podkategoria]],parametr[podkategoria],parametr[kategoria])</f>
        <v>opłaty stałe</v>
      </c>
      <c r="H1935" t="str">
        <f>_xlfn.XLOOKUP(transakcje[[#This Row],[kategoria]],parametr[kategoria],parametr[typ])</f>
        <v>wydatki</v>
      </c>
      <c r="I1935" s="1">
        <f>ABS(transakcje[[#This Row],[kwota]])</f>
        <v>0.4</v>
      </c>
    </row>
    <row r="1936" spans="1:9" x14ac:dyDescent="0.3">
      <c r="A1936">
        <v>1935</v>
      </c>
      <c r="B1936">
        <v>2016</v>
      </c>
      <c r="C1936">
        <v>10</v>
      </c>
      <c r="D1936">
        <v>31</v>
      </c>
      <c r="E1936" s="1">
        <v>-2E-3</v>
      </c>
      <c r="F1936" t="s">
        <v>14</v>
      </c>
      <c r="G1936" t="str">
        <f>_xlfn.XLOOKUP(transakcje[[#This Row],[podkategoria]],parametr[podkategoria],parametr[kategoria])</f>
        <v>opłaty stałe</v>
      </c>
      <c r="H1936" t="str">
        <f>_xlfn.XLOOKUP(transakcje[[#This Row],[kategoria]],parametr[kategoria],parametr[typ])</f>
        <v>wydatki</v>
      </c>
      <c r="I1936" s="1">
        <f>ABS(transakcje[[#This Row],[kwota]])</f>
        <v>2E-3</v>
      </c>
    </row>
    <row r="1937" spans="1:9" x14ac:dyDescent="0.3">
      <c r="A1937">
        <v>1936</v>
      </c>
      <c r="B1937">
        <v>2016</v>
      </c>
      <c r="C1937">
        <v>11</v>
      </c>
      <c r="D1937">
        <v>1</v>
      </c>
      <c r="E1937" s="1">
        <v>-61.69</v>
      </c>
      <c r="F1937" t="s">
        <v>31</v>
      </c>
      <c r="G1937" t="str">
        <f>_xlfn.XLOOKUP(transakcje[[#This Row],[podkategoria]],parametr[podkategoria],parametr[kategoria])</f>
        <v>opłaty stałe</v>
      </c>
      <c r="H1937" t="str">
        <f>_xlfn.XLOOKUP(transakcje[[#This Row],[kategoria]],parametr[kategoria],parametr[typ])</f>
        <v>wydatki</v>
      </c>
      <c r="I1937" s="1">
        <f>ABS(transakcje[[#This Row],[kwota]])</f>
        <v>61.69</v>
      </c>
    </row>
    <row r="1938" spans="1:9" x14ac:dyDescent="0.3">
      <c r="A1938">
        <v>1937</v>
      </c>
      <c r="B1938">
        <v>2016</v>
      </c>
      <c r="C1938">
        <v>11</v>
      </c>
      <c r="D1938">
        <v>1</v>
      </c>
      <c r="E1938" s="1">
        <v>-6.0640000000000001</v>
      </c>
      <c r="F1938" t="s">
        <v>35</v>
      </c>
      <c r="G1938" t="str">
        <f>_xlfn.XLOOKUP(transakcje[[#This Row],[podkategoria]],parametr[podkategoria],parametr[kategoria])</f>
        <v>opłaty stałe</v>
      </c>
      <c r="H1938" t="str">
        <f>_xlfn.XLOOKUP(transakcje[[#This Row],[kategoria]],parametr[kategoria],parametr[typ])</f>
        <v>wydatki</v>
      </c>
      <c r="I1938" s="1">
        <f>ABS(transakcje[[#This Row],[kwota]])</f>
        <v>6.0640000000000001</v>
      </c>
    </row>
    <row r="1939" spans="1:9" x14ac:dyDescent="0.3">
      <c r="A1939">
        <v>1938</v>
      </c>
      <c r="B1939">
        <v>2016</v>
      </c>
      <c r="C1939">
        <v>11</v>
      </c>
      <c r="D1939">
        <v>1</v>
      </c>
      <c r="E1939" s="1">
        <v>-7.38</v>
      </c>
      <c r="F1939" t="s">
        <v>23</v>
      </c>
      <c r="G1939" t="str">
        <f>_xlfn.XLOOKUP(transakcje[[#This Row],[podkategoria]],parametr[podkategoria],parametr[kategoria])</f>
        <v>opłaty stałe</v>
      </c>
      <c r="H1939" t="str">
        <f>_xlfn.XLOOKUP(transakcje[[#This Row],[kategoria]],parametr[kategoria],parametr[typ])</f>
        <v>wydatki</v>
      </c>
      <c r="I1939" s="1">
        <f>ABS(transakcje[[#This Row],[kwota]])</f>
        <v>7.38</v>
      </c>
    </row>
    <row r="1940" spans="1:9" x14ac:dyDescent="0.3">
      <c r="A1940">
        <v>1939</v>
      </c>
      <c r="B1940">
        <v>2016</v>
      </c>
      <c r="C1940">
        <v>11</v>
      </c>
      <c r="D1940">
        <v>1</v>
      </c>
      <c r="E1940" s="1">
        <v>-14.215999999999999</v>
      </c>
      <c r="F1940" t="s">
        <v>34</v>
      </c>
      <c r="G1940" t="str">
        <f>_xlfn.XLOOKUP(transakcje[[#This Row],[podkategoria]],parametr[podkategoria],parametr[kategoria])</f>
        <v>opłaty stałe</v>
      </c>
      <c r="H1940" t="str">
        <f>_xlfn.XLOOKUP(transakcje[[#This Row],[kategoria]],parametr[kategoria],parametr[typ])</f>
        <v>wydatki</v>
      </c>
      <c r="I1940" s="1">
        <f>ABS(transakcje[[#This Row],[kwota]])</f>
        <v>14.215999999999999</v>
      </c>
    </row>
    <row r="1941" spans="1:9" x14ac:dyDescent="0.3">
      <c r="A1941">
        <v>1940</v>
      </c>
      <c r="B1941">
        <v>2016</v>
      </c>
      <c r="C1941">
        <v>11</v>
      </c>
      <c r="D1941">
        <v>1</v>
      </c>
      <c r="E1941" s="1">
        <v>-8.6</v>
      </c>
      <c r="F1941" t="s">
        <v>11</v>
      </c>
      <c r="G1941" t="str">
        <f>_xlfn.XLOOKUP(transakcje[[#This Row],[podkategoria]],parametr[podkategoria],parametr[kategoria])</f>
        <v>wydatki inne</v>
      </c>
      <c r="H1941" t="str">
        <f>_xlfn.XLOOKUP(transakcje[[#This Row],[kategoria]],parametr[kategoria],parametr[typ])</f>
        <v>wydatki</v>
      </c>
      <c r="I1941" s="1">
        <f>ABS(transakcje[[#This Row],[kwota]])</f>
        <v>8.6</v>
      </c>
    </row>
    <row r="1942" spans="1:9" x14ac:dyDescent="0.3">
      <c r="A1942">
        <v>1941</v>
      </c>
      <c r="B1942">
        <v>2016</v>
      </c>
      <c r="C1942">
        <v>11</v>
      </c>
      <c r="D1942">
        <v>1</v>
      </c>
      <c r="E1942" s="1">
        <v>-6.3520000000000003</v>
      </c>
      <c r="F1942" t="s">
        <v>25</v>
      </c>
      <c r="G1942" t="str">
        <f>_xlfn.XLOOKUP(transakcje[[#This Row],[podkategoria]],parametr[podkategoria],parametr[kategoria])</f>
        <v>opłaty stałe</v>
      </c>
      <c r="H1942" t="str">
        <f>_xlfn.XLOOKUP(transakcje[[#This Row],[kategoria]],parametr[kategoria],parametr[typ])</f>
        <v>wydatki</v>
      </c>
      <c r="I1942" s="1">
        <f>ABS(transakcje[[#This Row],[kwota]])</f>
        <v>6.3520000000000003</v>
      </c>
    </row>
    <row r="1943" spans="1:9" x14ac:dyDescent="0.3">
      <c r="A1943">
        <v>1942</v>
      </c>
      <c r="B1943">
        <v>2016</v>
      </c>
      <c r="C1943">
        <v>11</v>
      </c>
      <c r="D1943">
        <v>3</v>
      </c>
      <c r="E1943" s="1">
        <v>-6.3620000000000001</v>
      </c>
      <c r="F1943" t="s">
        <v>26</v>
      </c>
      <c r="G1943" t="str">
        <f>_xlfn.XLOOKUP(transakcje[[#This Row],[podkategoria]],parametr[podkategoria],parametr[kategoria])</f>
        <v>życie</v>
      </c>
      <c r="H1943" t="str">
        <f>_xlfn.XLOOKUP(transakcje[[#This Row],[kategoria]],parametr[kategoria],parametr[typ])</f>
        <v>wydatki</v>
      </c>
      <c r="I1943" s="1">
        <f>ABS(transakcje[[#This Row],[kwota]])</f>
        <v>6.3620000000000001</v>
      </c>
    </row>
    <row r="1944" spans="1:9" x14ac:dyDescent="0.3">
      <c r="A1944">
        <v>1943</v>
      </c>
      <c r="B1944">
        <v>2016</v>
      </c>
      <c r="C1944">
        <v>11</v>
      </c>
      <c r="D1944">
        <v>8</v>
      </c>
      <c r="E1944" s="1">
        <v>-12.818000000000001</v>
      </c>
      <c r="F1944" t="s">
        <v>26</v>
      </c>
      <c r="G1944" t="str">
        <f>_xlfn.XLOOKUP(transakcje[[#This Row],[podkategoria]],parametr[podkategoria],parametr[kategoria])</f>
        <v>życie</v>
      </c>
      <c r="H1944" t="str">
        <f>_xlfn.XLOOKUP(transakcje[[#This Row],[kategoria]],parametr[kategoria],parametr[typ])</f>
        <v>wydatki</v>
      </c>
      <c r="I1944" s="1">
        <f>ABS(transakcje[[#This Row],[kwota]])</f>
        <v>12.818000000000001</v>
      </c>
    </row>
    <row r="1945" spans="1:9" x14ac:dyDescent="0.3">
      <c r="A1945">
        <v>1944</v>
      </c>
      <c r="B1945">
        <v>2016</v>
      </c>
      <c r="C1945">
        <v>11</v>
      </c>
      <c r="D1945">
        <v>9</v>
      </c>
      <c r="E1945" s="1">
        <v>-4.3840000000000003</v>
      </c>
      <c r="F1945" t="s">
        <v>26</v>
      </c>
      <c r="G1945" t="str">
        <f>_xlfn.XLOOKUP(transakcje[[#This Row],[podkategoria]],parametr[podkategoria],parametr[kategoria])</f>
        <v>życie</v>
      </c>
      <c r="H1945" t="str">
        <f>_xlfn.XLOOKUP(transakcje[[#This Row],[kategoria]],parametr[kategoria],parametr[typ])</f>
        <v>wydatki</v>
      </c>
      <c r="I1945" s="1">
        <f>ABS(transakcje[[#This Row],[kwota]])</f>
        <v>4.3840000000000003</v>
      </c>
    </row>
    <row r="1946" spans="1:9" x14ac:dyDescent="0.3">
      <c r="A1946">
        <v>1945</v>
      </c>
      <c r="B1946">
        <v>2016</v>
      </c>
      <c r="C1946">
        <v>11</v>
      </c>
      <c r="D1946">
        <v>9</v>
      </c>
      <c r="E1946" s="1">
        <v>-7.6</v>
      </c>
      <c r="F1946" t="s">
        <v>26</v>
      </c>
      <c r="G1946" t="str">
        <f>_xlfn.XLOOKUP(transakcje[[#This Row],[podkategoria]],parametr[podkategoria],parametr[kategoria])</f>
        <v>życie</v>
      </c>
      <c r="H1946" t="str">
        <f>_xlfn.XLOOKUP(transakcje[[#This Row],[kategoria]],parametr[kategoria],parametr[typ])</f>
        <v>wydatki</v>
      </c>
      <c r="I1946" s="1">
        <f>ABS(transakcje[[#This Row],[kwota]])</f>
        <v>7.6</v>
      </c>
    </row>
    <row r="1947" spans="1:9" x14ac:dyDescent="0.3">
      <c r="A1947">
        <v>1946</v>
      </c>
      <c r="B1947">
        <v>2016</v>
      </c>
      <c r="C1947">
        <v>11</v>
      </c>
      <c r="D1947">
        <v>10</v>
      </c>
      <c r="E1947" s="1">
        <v>125.34400000000001</v>
      </c>
      <c r="F1947" t="s">
        <v>19</v>
      </c>
      <c r="G1947" t="str">
        <f>_xlfn.XLOOKUP(transakcje[[#This Row],[podkategoria]],parametr[podkategoria],parametr[kategoria])</f>
        <v>dochody z pracy</v>
      </c>
      <c r="H1947" t="str">
        <f>_xlfn.XLOOKUP(transakcje[[#This Row],[kategoria]],parametr[kategoria],parametr[typ])</f>
        <v>dochody</v>
      </c>
      <c r="I1947" s="1">
        <f>ABS(transakcje[[#This Row],[kwota]])</f>
        <v>125.34400000000001</v>
      </c>
    </row>
    <row r="1948" spans="1:9" x14ac:dyDescent="0.3">
      <c r="A1948">
        <v>1947</v>
      </c>
      <c r="B1948">
        <v>2016</v>
      </c>
      <c r="C1948">
        <v>11</v>
      </c>
      <c r="D1948">
        <v>12</v>
      </c>
      <c r="E1948" s="1">
        <v>-31.768000000000001</v>
      </c>
      <c r="F1948" t="s">
        <v>26</v>
      </c>
      <c r="G1948" t="str">
        <f>_xlfn.XLOOKUP(transakcje[[#This Row],[podkategoria]],parametr[podkategoria],parametr[kategoria])</f>
        <v>życie</v>
      </c>
      <c r="H1948" t="str">
        <f>_xlfn.XLOOKUP(transakcje[[#This Row],[kategoria]],parametr[kategoria],parametr[typ])</f>
        <v>wydatki</v>
      </c>
      <c r="I1948" s="1">
        <f>ABS(transakcje[[#This Row],[kwota]])</f>
        <v>31.768000000000001</v>
      </c>
    </row>
    <row r="1949" spans="1:9" x14ac:dyDescent="0.3">
      <c r="A1949">
        <v>1948</v>
      </c>
      <c r="B1949">
        <v>2016</v>
      </c>
      <c r="C1949">
        <v>11</v>
      </c>
      <c r="D1949">
        <v>13</v>
      </c>
      <c r="E1949" s="1">
        <v>-27.4</v>
      </c>
      <c r="F1949" t="s">
        <v>24</v>
      </c>
      <c r="G1949" t="str">
        <f>_xlfn.XLOOKUP(transakcje[[#This Row],[podkategoria]],parametr[podkategoria],parametr[kategoria])</f>
        <v>trwałe</v>
      </c>
      <c r="H1949" t="str">
        <f>_xlfn.XLOOKUP(transakcje[[#This Row],[kategoria]],parametr[kategoria],parametr[typ])</f>
        <v>wydatki</v>
      </c>
      <c r="I1949" s="1">
        <f>ABS(transakcje[[#This Row],[kwota]])</f>
        <v>27.4</v>
      </c>
    </row>
    <row r="1950" spans="1:9" x14ac:dyDescent="0.3">
      <c r="A1950">
        <v>1949</v>
      </c>
      <c r="B1950">
        <v>2016</v>
      </c>
      <c r="C1950">
        <v>11</v>
      </c>
      <c r="D1950">
        <v>14</v>
      </c>
      <c r="E1950" s="1">
        <v>-4.2359999999999998</v>
      </c>
      <c r="F1950" t="s">
        <v>26</v>
      </c>
      <c r="G1950" t="str">
        <f>_xlfn.XLOOKUP(transakcje[[#This Row],[podkategoria]],parametr[podkategoria],parametr[kategoria])</f>
        <v>życie</v>
      </c>
      <c r="H1950" t="str">
        <f>_xlfn.XLOOKUP(transakcje[[#This Row],[kategoria]],parametr[kategoria],parametr[typ])</f>
        <v>wydatki</v>
      </c>
      <c r="I1950" s="1">
        <f>ABS(transakcje[[#This Row],[kwota]])</f>
        <v>4.2359999999999998</v>
      </c>
    </row>
    <row r="1951" spans="1:9" x14ac:dyDescent="0.3">
      <c r="A1951">
        <v>1950</v>
      </c>
      <c r="B1951">
        <v>2016</v>
      </c>
      <c r="C1951">
        <v>11</v>
      </c>
      <c r="D1951">
        <v>14</v>
      </c>
      <c r="E1951" s="1">
        <v>-0.48</v>
      </c>
      <c r="F1951" t="s">
        <v>26</v>
      </c>
      <c r="G1951" t="str">
        <f>_xlfn.XLOOKUP(transakcje[[#This Row],[podkategoria]],parametr[podkategoria],parametr[kategoria])</f>
        <v>życie</v>
      </c>
      <c r="H1951" t="str">
        <f>_xlfn.XLOOKUP(transakcje[[#This Row],[kategoria]],parametr[kategoria],parametr[typ])</f>
        <v>wydatki</v>
      </c>
      <c r="I1951" s="1">
        <f>ABS(transakcje[[#This Row],[kwota]])</f>
        <v>0.48</v>
      </c>
    </row>
    <row r="1952" spans="1:9" x14ac:dyDescent="0.3">
      <c r="A1952">
        <v>1951</v>
      </c>
      <c r="B1952">
        <v>2016</v>
      </c>
      <c r="C1952">
        <v>11</v>
      </c>
      <c r="D1952">
        <v>15</v>
      </c>
      <c r="E1952" s="1">
        <v>-11.808</v>
      </c>
      <c r="F1952" t="s">
        <v>26</v>
      </c>
      <c r="G1952" t="str">
        <f>_xlfn.XLOOKUP(transakcje[[#This Row],[podkategoria]],parametr[podkategoria],parametr[kategoria])</f>
        <v>życie</v>
      </c>
      <c r="H1952" t="str">
        <f>_xlfn.XLOOKUP(transakcje[[#This Row],[kategoria]],parametr[kategoria],parametr[typ])</f>
        <v>wydatki</v>
      </c>
      <c r="I1952" s="1">
        <f>ABS(transakcje[[#This Row],[kwota]])</f>
        <v>11.808</v>
      </c>
    </row>
    <row r="1953" spans="1:9" x14ac:dyDescent="0.3">
      <c r="A1953">
        <v>1952</v>
      </c>
      <c r="B1953">
        <v>2016</v>
      </c>
      <c r="C1953">
        <v>11</v>
      </c>
      <c r="D1953">
        <v>17</v>
      </c>
      <c r="E1953" s="1">
        <v>-0.79600000000000004</v>
      </c>
      <c r="F1953" t="s">
        <v>14</v>
      </c>
      <c r="G1953" t="str">
        <f>_xlfn.XLOOKUP(transakcje[[#This Row],[podkategoria]],parametr[podkategoria],parametr[kategoria])</f>
        <v>opłaty stałe</v>
      </c>
      <c r="H1953" t="str">
        <f>_xlfn.XLOOKUP(transakcje[[#This Row],[kategoria]],parametr[kategoria],parametr[typ])</f>
        <v>wydatki</v>
      </c>
      <c r="I1953" s="1">
        <f>ABS(transakcje[[#This Row],[kwota]])</f>
        <v>0.79600000000000004</v>
      </c>
    </row>
    <row r="1954" spans="1:9" x14ac:dyDescent="0.3">
      <c r="A1954">
        <v>1953</v>
      </c>
      <c r="B1954">
        <v>2016</v>
      </c>
      <c r="C1954">
        <v>11</v>
      </c>
      <c r="D1954">
        <v>17</v>
      </c>
      <c r="E1954" s="1">
        <v>-5.7080000000000002</v>
      </c>
      <c r="F1954" t="s">
        <v>26</v>
      </c>
      <c r="G1954" t="str">
        <f>_xlfn.XLOOKUP(transakcje[[#This Row],[podkategoria]],parametr[podkategoria],parametr[kategoria])</f>
        <v>życie</v>
      </c>
      <c r="H1954" t="str">
        <f>_xlfn.XLOOKUP(transakcje[[#This Row],[kategoria]],parametr[kategoria],parametr[typ])</f>
        <v>wydatki</v>
      </c>
      <c r="I1954" s="1">
        <f>ABS(transakcje[[#This Row],[kwota]])</f>
        <v>5.7080000000000002</v>
      </c>
    </row>
    <row r="1955" spans="1:9" x14ac:dyDescent="0.3">
      <c r="A1955">
        <v>1954</v>
      </c>
      <c r="B1955">
        <v>2016</v>
      </c>
      <c r="C1955">
        <v>11</v>
      </c>
      <c r="D1955">
        <v>18</v>
      </c>
      <c r="E1955" s="1">
        <v>-12.574</v>
      </c>
      <c r="F1955" t="s">
        <v>26</v>
      </c>
      <c r="G1955" t="str">
        <f>_xlfn.XLOOKUP(transakcje[[#This Row],[podkategoria]],parametr[podkategoria],parametr[kategoria])</f>
        <v>życie</v>
      </c>
      <c r="H1955" t="str">
        <f>_xlfn.XLOOKUP(transakcje[[#This Row],[kategoria]],parametr[kategoria],parametr[typ])</f>
        <v>wydatki</v>
      </c>
      <c r="I1955" s="1">
        <f>ABS(transakcje[[#This Row],[kwota]])</f>
        <v>12.574</v>
      </c>
    </row>
    <row r="1956" spans="1:9" x14ac:dyDescent="0.3">
      <c r="A1956">
        <v>1955</v>
      </c>
      <c r="B1956">
        <v>2016</v>
      </c>
      <c r="C1956">
        <v>11</v>
      </c>
      <c r="D1956">
        <v>21</v>
      </c>
      <c r="E1956" s="1">
        <v>-0.48</v>
      </c>
      <c r="F1956" t="s">
        <v>26</v>
      </c>
      <c r="G1956" t="str">
        <f>_xlfn.XLOOKUP(transakcje[[#This Row],[podkategoria]],parametr[podkategoria],parametr[kategoria])</f>
        <v>życie</v>
      </c>
      <c r="H1956" t="str">
        <f>_xlfn.XLOOKUP(transakcje[[#This Row],[kategoria]],parametr[kategoria],parametr[typ])</f>
        <v>wydatki</v>
      </c>
      <c r="I1956" s="1">
        <f>ABS(transakcje[[#This Row],[kwota]])</f>
        <v>0.48</v>
      </c>
    </row>
    <row r="1957" spans="1:9" x14ac:dyDescent="0.3">
      <c r="A1957">
        <v>1956</v>
      </c>
      <c r="B1957">
        <v>2016</v>
      </c>
      <c r="C1957">
        <v>11</v>
      </c>
      <c r="D1957">
        <v>22</v>
      </c>
      <c r="E1957" s="1">
        <v>-44.480000000000004</v>
      </c>
      <c r="F1957" t="s">
        <v>11</v>
      </c>
      <c r="G1957" t="str">
        <f>_xlfn.XLOOKUP(transakcje[[#This Row],[podkategoria]],parametr[podkategoria],parametr[kategoria])</f>
        <v>wydatki inne</v>
      </c>
      <c r="H1957" t="str">
        <f>_xlfn.XLOOKUP(transakcje[[#This Row],[kategoria]],parametr[kategoria],parametr[typ])</f>
        <v>wydatki</v>
      </c>
      <c r="I1957" s="1">
        <f>ABS(transakcje[[#This Row],[kwota]])</f>
        <v>44.480000000000004</v>
      </c>
    </row>
    <row r="1958" spans="1:9" x14ac:dyDescent="0.3">
      <c r="A1958">
        <v>1957</v>
      </c>
      <c r="B1958">
        <v>2016</v>
      </c>
      <c r="C1958">
        <v>11</v>
      </c>
      <c r="D1958">
        <v>22</v>
      </c>
      <c r="E1958" s="1">
        <v>-12.991999999999999</v>
      </c>
      <c r="F1958" t="s">
        <v>26</v>
      </c>
      <c r="G1958" t="str">
        <f>_xlfn.XLOOKUP(transakcje[[#This Row],[podkategoria]],parametr[podkategoria],parametr[kategoria])</f>
        <v>życie</v>
      </c>
      <c r="H1958" t="str">
        <f>_xlfn.XLOOKUP(transakcje[[#This Row],[kategoria]],parametr[kategoria],parametr[typ])</f>
        <v>wydatki</v>
      </c>
      <c r="I1958" s="1">
        <f>ABS(transakcje[[#This Row],[kwota]])</f>
        <v>12.991999999999999</v>
      </c>
    </row>
    <row r="1959" spans="1:9" x14ac:dyDescent="0.3">
      <c r="A1959">
        <v>1958</v>
      </c>
      <c r="B1959">
        <v>2016</v>
      </c>
      <c r="C1959">
        <v>11</v>
      </c>
      <c r="D1959">
        <v>25</v>
      </c>
      <c r="E1959" s="1">
        <v>482.65600000000006</v>
      </c>
      <c r="F1959" t="s">
        <v>8</v>
      </c>
      <c r="G1959" t="str">
        <f>_xlfn.XLOOKUP(transakcje[[#This Row],[podkategoria]],parametr[podkategoria],parametr[kategoria])</f>
        <v>dochody z pracy</v>
      </c>
      <c r="H1959" t="str">
        <f>_xlfn.XLOOKUP(transakcje[[#This Row],[kategoria]],parametr[kategoria],parametr[typ])</f>
        <v>dochody</v>
      </c>
      <c r="I1959" s="1">
        <f>ABS(transakcje[[#This Row],[kwota]])</f>
        <v>482.65600000000006</v>
      </c>
    </row>
    <row r="1960" spans="1:9" x14ac:dyDescent="0.3">
      <c r="A1960">
        <v>1959</v>
      </c>
      <c r="B1960">
        <v>2016</v>
      </c>
      <c r="C1960">
        <v>11</v>
      </c>
      <c r="D1960">
        <v>25</v>
      </c>
      <c r="E1960" s="1">
        <v>-2.1239999999999997</v>
      </c>
      <c r="F1960" t="s">
        <v>26</v>
      </c>
      <c r="G1960" t="str">
        <f>_xlfn.XLOOKUP(transakcje[[#This Row],[podkategoria]],parametr[podkategoria],parametr[kategoria])</f>
        <v>życie</v>
      </c>
      <c r="H1960" t="str">
        <f>_xlfn.XLOOKUP(transakcje[[#This Row],[kategoria]],parametr[kategoria],parametr[typ])</f>
        <v>wydatki</v>
      </c>
      <c r="I1960" s="1">
        <f>ABS(transakcje[[#This Row],[kwota]])</f>
        <v>2.1239999999999997</v>
      </c>
    </row>
    <row r="1961" spans="1:9" x14ac:dyDescent="0.3">
      <c r="A1961">
        <v>1960</v>
      </c>
      <c r="B1961">
        <v>2016</v>
      </c>
      <c r="C1961">
        <v>11</v>
      </c>
      <c r="D1961">
        <v>29</v>
      </c>
      <c r="E1961" s="1">
        <v>-2.98</v>
      </c>
      <c r="F1961" t="s">
        <v>11</v>
      </c>
      <c r="G1961" t="str">
        <f>_xlfn.XLOOKUP(transakcje[[#This Row],[podkategoria]],parametr[podkategoria],parametr[kategoria])</f>
        <v>wydatki inne</v>
      </c>
      <c r="H1961" t="str">
        <f>_xlfn.XLOOKUP(transakcje[[#This Row],[kategoria]],parametr[kategoria],parametr[typ])</f>
        <v>wydatki</v>
      </c>
      <c r="I1961" s="1">
        <f>ABS(transakcje[[#This Row],[kwota]])</f>
        <v>2.98</v>
      </c>
    </row>
    <row r="1962" spans="1:9" x14ac:dyDescent="0.3">
      <c r="A1962">
        <v>1961</v>
      </c>
      <c r="B1962">
        <v>2016</v>
      </c>
      <c r="C1962">
        <v>11</v>
      </c>
      <c r="D1962">
        <v>29</v>
      </c>
      <c r="E1962" s="1">
        <v>-52</v>
      </c>
      <c r="F1962" t="s">
        <v>11</v>
      </c>
      <c r="G1962" t="str">
        <f>_xlfn.XLOOKUP(transakcje[[#This Row],[podkategoria]],parametr[podkategoria],parametr[kategoria])</f>
        <v>wydatki inne</v>
      </c>
      <c r="H1962" t="str">
        <f>_xlfn.XLOOKUP(transakcje[[#This Row],[kategoria]],parametr[kategoria],parametr[typ])</f>
        <v>wydatki</v>
      </c>
      <c r="I1962" s="1">
        <f>ABS(transakcje[[#This Row],[kwota]])</f>
        <v>52</v>
      </c>
    </row>
    <row r="1963" spans="1:9" x14ac:dyDescent="0.3">
      <c r="A1963">
        <v>1962</v>
      </c>
      <c r="B1963">
        <v>2016</v>
      </c>
      <c r="C1963">
        <v>11</v>
      </c>
      <c r="D1963">
        <v>29</v>
      </c>
      <c r="E1963" s="1">
        <v>-9.9980000000000011</v>
      </c>
      <c r="F1963" t="s">
        <v>24</v>
      </c>
      <c r="G1963" t="str">
        <f>_xlfn.XLOOKUP(transakcje[[#This Row],[podkategoria]],parametr[podkategoria],parametr[kategoria])</f>
        <v>trwałe</v>
      </c>
      <c r="H1963" t="str">
        <f>_xlfn.XLOOKUP(transakcje[[#This Row],[kategoria]],parametr[kategoria],parametr[typ])</f>
        <v>wydatki</v>
      </c>
      <c r="I1963" s="1">
        <f>ABS(transakcje[[#This Row],[kwota]])</f>
        <v>9.9980000000000011</v>
      </c>
    </row>
    <row r="1964" spans="1:9" x14ac:dyDescent="0.3">
      <c r="A1964">
        <v>1963</v>
      </c>
      <c r="B1964">
        <v>2016</v>
      </c>
      <c r="C1964">
        <v>11</v>
      </c>
      <c r="D1964">
        <v>30</v>
      </c>
      <c r="E1964" s="1">
        <v>4.0000000000000001E-3</v>
      </c>
      <c r="F1964" t="s">
        <v>17</v>
      </c>
      <c r="G1964" t="str">
        <f>_xlfn.XLOOKUP(transakcje[[#This Row],[podkategoria]],parametr[podkategoria],parametr[kategoria])</f>
        <v>dochody pozostałe</v>
      </c>
      <c r="H1964" t="str">
        <f>_xlfn.XLOOKUP(transakcje[[#This Row],[kategoria]],parametr[kategoria],parametr[typ])</f>
        <v>dochody</v>
      </c>
      <c r="I1964" s="1">
        <f>ABS(transakcje[[#This Row],[kwota]])</f>
        <v>4.0000000000000001E-3</v>
      </c>
    </row>
    <row r="1965" spans="1:9" x14ac:dyDescent="0.3">
      <c r="A1965">
        <v>1964</v>
      </c>
      <c r="B1965">
        <v>2016</v>
      </c>
      <c r="C1965">
        <v>11</v>
      </c>
      <c r="D1965">
        <v>30</v>
      </c>
      <c r="E1965" s="1">
        <v>-1.198</v>
      </c>
      <c r="F1965" t="s">
        <v>14</v>
      </c>
      <c r="G1965" t="str">
        <f>_xlfn.XLOOKUP(transakcje[[#This Row],[podkategoria]],parametr[podkategoria],parametr[kategoria])</f>
        <v>opłaty stałe</v>
      </c>
      <c r="H1965" t="str">
        <f>_xlfn.XLOOKUP(transakcje[[#This Row],[kategoria]],parametr[kategoria],parametr[typ])</f>
        <v>wydatki</v>
      </c>
      <c r="I1965" s="1">
        <f>ABS(transakcje[[#This Row],[kwota]])</f>
        <v>1.198</v>
      </c>
    </row>
    <row r="1966" spans="1:9" x14ac:dyDescent="0.3">
      <c r="A1966">
        <v>1965</v>
      </c>
      <c r="B1966">
        <v>2016</v>
      </c>
      <c r="C1966">
        <v>11</v>
      </c>
      <c r="D1966">
        <v>30</v>
      </c>
      <c r="E1966" s="1">
        <v>-0.4</v>
      </c>
      <c r="F1966" t="s">
        <v>14</v>
      </c>
      <c r="G1966" t="str">
        <f>_xlfn.XLOOKUP(transakcje[[#This Row],[podkategoria]],parametr[podkategoria],parametr[kategoria])</f>
        <v>opłaty stałe</v>
      </c>
      <c r="H1966" t="str">
        <f>_xlfn.XLOOKUP(transakcje[[#This Row],[kategoria]],parametr[kategoria],parametr[typ])</f>
        <v>wydatki</v>
      </c>
      <c r="I1966" s="1">
        <f>ABS(transakcje[[#This Row],[kwota]])</f>
        <v>0.4</v>
      </c>
    </row>
    <row r="1967" spans="1:9" x14ac:dyDescent="0.3">
      <c r="A1967">
        <v>1966</v>
      </c>
      <c r="B1967">
        <v>2016</v>
      </c>
      <c r="C1967">
        <v>11</v>
      </c>
      <c r="D1967">
        <v>30</v>
      </c>
      <c r="E1967" s="1">
        <v>-2E-3</v>
      </c>
      <c r="F1967" t="s">
        <v>14</v>
      </c>
      <c r="G1967" t="str">
        <f>_xlfn.XLOOKUP(transakcje[[#This Row],[podkategoria]],parametr[podkategoria],parametr[kategoria])</f>
        <v>opłaty stałe</v>
      </c>
      <c r="H1967" t="str">
        <f>_xlfn.XLOOKUP(transakcje[[#This Row],[kategoria]],parametr[kategoria],parametr[typ])</f>
        <v>wydatki</v>
      </c>
      <c r="I1967" s="1">
        <f>ABS(transakcje[[#This Row],[kwota]])</f>
        <v>2E-3</v>
      </c>
    </row>
    <row r="1968" spans="1:9" x14ac:dyDescent="0.3">
      <c r="A1968">
        <v>1967</v>
      </c>
      <c r="B1968">
        <v>2016</v>
      </c>
      <c r="C1968">
        <v>11</v>
      </c>
      <c r="D1968">
        <v>30</v>
      </c>
      <c r="E1968" s="1">
        <v>-1.298</v>
      </c>
      <c r="F1968" t="s">
        <v>26</v>
      </c>
      <c r="G1968" t="str">
        <f>_xlfn.XLOOKUP(transakcje[[#This Row],[podkategoria]],parametr[podkategoria],parametr[kategoria])</f>
        <v>życie</v>
      </c>
      <c r="H1968" t="str">
        <f>_xlfn.XLOOKUP(transakcje[[#This Row],[kategoria]],parametr[kategoria],parametr[typ])</f>
        <v>wydatki</v>
      </c>
      <c r="I1968" s="1">
        <f>ABS(transakcje[[#This Row],[kwota]])</f>
        <v>1.298</v>
      </c>
    </row>
    <row r="1969" spans="1:9" x14ac:dyDescent="0.3">
      <c r="A1969">
        <v>1968</v>
      </c>
      <c r="B1969">
        <v>2016</v>
      </c>
      <c r="C1969">
        <v>12</v>
      </c>
      <c r="D1969">
        <v>1</v>
      </c>
      <c r="E1969" s="1">
        <v>-3.9859999999999998</v>
      </c>
      <c r="F1969" t="s">
        <v>26</v>
      </c>
      <c r="G1969" t="str">
        <f>_xlfn.XLOOKUP(transakcje[[#This Row],[podkategoria]],parametr[podkategoria],parametr[kategoria])</f>
        <v>życie</v>
      </c>
      <c r="H1969" t="str">
        <f>_xlfn.XLOOKUP(transakcje[[#This Row],[kategoria]],parametr[kategoria],parametr[typ])</f>
        <v>wydatki</v>
      </c>
      <c r="I1969" s="1">
        <f>ABS(transakcje[[#This Row],[kwota]])</f>
        <v>3.9859999999999998</v>
      </c>
    </row>
    <row r="1970" spans="1:9" x14ac:dyDescent="0.3">
      <c r="A1970">
        <v>1969</v>
      </c>
      <c r="B1970">
        <v>2016</v>
      </c>
      <c r="C1970">
        <v>12</v>
      </c>
      <c r="D1970">
        <v>3</v>
      </c>
      <c r="E1970" s="1">
        <v>-62.089999999999996</v>
      </c>
      <c r="F1970" t="s">
        <v>31</v>
      </c>
      <c r="G1970" t="str">
        <f>_xlfn.XLOOKUP(transakcje[[#This Row],[podkategoria]],parametr[podkategoria],parametr[kategoria])</f>
        <v>opłaty stałe</v>
      </c>
      <c r="H1970" t="str">
        <f>_xlfn.XLOOKUP(transakcje[[#This Row],[kategoria]],parametr[kategoria],parametr[typ])</f>
        <v>wydatki</v>
      </c>
      <c r="I1970" s="1">
        <f>ABS(transakcje[[#This Row],[kwota]])</f>
        <v>62.089999999999996</v>
      </c>
    </row>
    <row r="1971" spans="1:9" x14ac:dyDescent="0.3">
      <c r="A1971">
        <v>1970</v>
      </c>
      <c r="B1971">
        <v>2016</v>
      </c>
      <c r="C1971">
        <v>12</v>
      </c>
      <c r="D1971">
        <v>3</v>
      </c>
      <c r="E1971" s="1">
        <v>-7.38</v>
      </c>
      <c r="F1971" t="s">
        <v>23</v>
      </c>
      <c r="G1971" t="str">
        <f>_xlfn.XLOOKUP(transakcje[[#This Row],[podkategoria]],parametr[podkategoria],parametr[kategoria])</f>
        <v>opłaty stałe</v>
      </c>
      <c r="H1971" t="str">
        <f>_xlfn.XLOOKUP(transakcje[[#This Row],[kategoria]],parametr[kategoria],parametr[typ])</f>
        <v>wydatki</v>
      </c>
      <c r="I1971" s="1">
        <f>ABS(transakcje[[#This Row],[kwota]])</f>
        <v>7.38</v>
      </c>
    </row>
    <row r="1972" spans="1:9" x14ac:dyDescent="0.3">
      <c r="A1972">
        <v>1971</v>
      </c>
      <c r="B1972">
        <v>2016</v>
      </c>
      <c r="C1972">
        <v>12</v>
      </c>
      <c r="D1972">
        <v>3</v>
      </c>
      <c r="E1972" s="1">
        <v>-5.9979999999999993</v>
      </c>
      <c r="F1972" t="s">
        <v>25</v>
      </c>
      <c r="G1972" t="str">
        <f>_xlfn.XLOOKUP(transakcje[[#This Row],[podkategoria]],parametr[podkategoria],parametr[kategoria])</f>
        <v>opłaty stałe</v>
      </c>
      <c r="H1972" t="str">
        <f>_xlfn.XLOOKUP(transakcje[[#This Row],[kategoria]],parametr[kategoria],parametr[typ])</f>
        <v>wydatki</v>
      </c>
      <c r="I1972" s="1">
        <f>ABS(transakcje[[#This Row],[kwota]])</f>
        <v>5.9979999999999993</v>
      </c>
    </row>
    <row r="1973" spans="1:9" x14ac:dyDescent="0.3">
      <c r="A1973">
        <v>1972</v>
      </c>
      <c r="B1973">
        <v>2016</v>
      </c>
      <c r="C1973">
        <v>12</v>
      </c>
      <c r="D1973">
        <v>8</v>
      </c>
      <c r="E1973" s="1">
        <v>-2.3559999999999999</v>
      </c>
      <c r="F1973" t="s">
        <v>26</v>
      </c>
      <c r="G1973" t="str">
        <f>_xlfn.XLOOKUP(transakcje[[#This Row],[podkategoria]],parametr[podkategoria],parametr[kategoria])</f>
        <v>życie</v>
      </c>
      <c r="H1973" t="str">
        <f>_xlfn.XLOOKUP(transakcje[[#This Row],[kategoria]],parametr[kategoria],parametr[typ])</f>
        <v>wydatki</v>
      </c>
      <c r="I1973" s="1">
        <f>ABS(transakcje[[#This Row],[kwota]])</f>
        <v>2.3559999999999999</v>
      </c>
    </row>
    <row r="1974" spans="1:9" x14ac:dyDescent="0.3">
      <c r="A1974">
        <v>1973</v>
      </c>
      <c r="B1974">
        <v>2016</v>
      </c>
      <c r="C1974">
        <v>12</v>
      </c>
      <c r="D1974">
        <v>10</v>
      </c>
      <c r="E1974" s="1">
        <v>-36.22</v>
      </c>
      <c r="F1974" t="s">
        <v>26</v>
      </c>
      <c r="G1974" t="str">
        <f>_xlfn.XLOOKUP(transakcje[[#This Row],[podkategoria]],parametr[podkategoria],parametr[kategoria])</f>
        <v>życie</v>
      </c>
      <c r="H1974" t="str">
        <f>_xlfn.XLOOKUP(transakcje[[#This Row],[kategoria]],parametr[kategoria],parametr[typ])</f>
        <v>wydatki</v>
      </c>
      <c r="I1974" s="1">
        <f>ABS(transakcje[[#This Row],[kwota]])</f>
        <v>36.22</v>
      </c>
    </row>
    <row r="1975" spans="1:9" x14ac:dyDescent="0.3">
      <c r="A1975">
        <v>1974</v>
      </c>
      <c r="B1975">
        <v>2016</v>
      </c>
      <c r="C1975">
        <v>12</v>
      </c>
      <c r="D1975">
        <v>12</v>
      </c>
      <c r="E1975" s="1">
        <v>-5.0439999999999996</v>
      </c>
      <c r="F1975" t="s">
        <v>26</v>
      </c>
      <c r="G1975" t="str">
        <f>_xlfn.XLOOKUP(transakcje[[#This Row],[podkategoria]],parametr[podkategoria],parametr[kategoria])</f>
        <v>życie</v>
      </c>
      <c r="H1975" t="str">
        <f>_xlfn.XLOOKUP(transakcje[[#This Row],[kategoria]],parametr[kategoria],parametr[typ])</f>
        <v>wydatki</v>
      </c>
      <c r="I1975" s="1">
        <f>ABS(transakcje[[#This Row],[kwota]])</f>
        <v>5.0439999999999996</v>
      </c>
    </row>
    <row r="1976" spans="1:9" x14ac:dyDescent="0.3">
      <c r="A1976">
        <v>1975</v>
      </c>
      <c r="B1976">
        <v>2016</v>
      </c>
      <c r="C1976">
        <v>12</v>
      </c>
      <c r="D1976">
        <v>13</v>
      </c>
      <c r="E1976" s="1">
        <v>108.2</v>
      </c>
      <c r="F1976" t="s">
        <v>16</v>
      </c>
      <c r="G1976" t="str">
        <f>_xlfn.XLOOKUP(transakcje[[#This Row],[podkategoria]],parametr[podkategoria],parametr[kategoria])</f>
        <v>dochody z pracy</v>
      </c>
      <c r="H1976" t="str">
        <f>_xlfn.XLOOKUP(transakcje[[#This Row],[kategoria]],parametr[kategoria],parametr[typ])</f>
        <v>dochody</v>
      </c>
      <c r="I1976" s="1">
        <f>ABS(transakcje[[#This Row],[kwota]])</f>
        <v>108.2</v>
      </c>
    </row>
    <row r="1977" spans="1:9" x14ac:dyDescent="0.3">
      <c r="A1977">
        <v>1976</v>
      </c>
      <c r="B1977">
        <v>2016</v>
      </c>
      <c r="C1977">
        <v>12</v>
      </c>
      <c r="D1977">
        <v>13</v>
      </c>
      <c r="E1977" s="1">
        <v>-21.997999999999998</v>
      </c>
      <c r="F1977" t="s">
        <v>24</v>
      </c>
      <c r="G1977" t="str">
        <f>_xlfn.XLOOKUP(transakcje[[#This Row],[podkategoria]],parametr[podkategoria],parametr[kategoria])</f>
        <v>trwałe</v>
      </c>
      <c r="H1977" t="str">
        <f>_xlfn.XLOOKUP(transakcje[[#This Row],[kategoria]],parametr[kategoria],parametr[typ])</f>
        <v>wydatki</v>
      </c>
      <c r="I1977" s="1">
        <f>ABS(transakcje[[#This Row],[kwota]])</f>
        <v>21.997999999999998</v>
      </c>
    </row>
    <row r="1978" spans="1:9" x14ac:dyDescent="0.3">
      <c r="A1978">
        <v>1977</v>
      </c>
      <c r="B1978">
        <v>2016</v>
      </c>
      <c r="C1978">
        <v>12</v>
      </c>
      <c r="D1978">
        <v>14</v>
      </c>
      <c r="E1978" s="1">
        <v>-8.1819999999999986</v>
      </c>
      <c r="F1978" t="s">
        <v>26</v>
      </c>
      <c r="G1978" t="str">
        <f>_xlfn.XLOOKUP(transakcje[[#This Row],[podkategoria]],parametr[podkategoria],parametr[kategoria])</f>
        <v>życie</v>
      </c>
      <c r="H1978" t="str">
        <f>_xlfn.XLOOKUP(transakcje[[#This Row],[kategoria]],parametr[kategoria],parametr[typ])</f>
        <v>wydatki</v>
      </c>
      <c r="I1978" s="1">
        <f>ABS(transakcje[[#This Row],[kwota]])</f>
        <v>8.1819999999999986</v>
      </c>
    </row>
    <row r="1979" spans="1:9" x14ac:dyDescent="0.3">
      <c r="A1979">
        <v>1978</v>
      </c>
      <c r="B1979">
        <v>2016</v>
      </c>
      <c r="C1979">
        <v>12</v>
      </c>
      <c r="D1979">
        <v>15</v>
      </c>
      <c r="E1979" s="1">
        <v>-4</v>
      </c>
      <c r="F1979" t="s">
        <v>11</v>
      </c>
      <c r="G1979" t="str">
        <f>_xlfn.XLOOKUP(transakcje[[#This Row],[podkategoria]],parametr[podkategoria],parametr[kategoria])</f>
        <v>wydatki inne</v>
      </c>
      <c r="H1979" t="str">
        <f>_xlfn.XLOOKUP(transakcje[[#This Row],[kategoria]],parametr[kategoria],parametr[typ])</f>
        <v>wydatki</v>
      </c>
      <c r="I1979" s="1">
        <f>ABS(transakcje[[#This Row],[kwota]])</f>
        <v>4</v>
      </c>
    </row>
    <row r="1980" spans="1:9" x14ac:dyDescent="0.3">
      <c r="A1980">
        <v>1979</v>
      </c>
      <c r="B1980">
        <v>2016</v>
      </c>
      <c r="C1980">
        <v>12</v>
      </c>
      <c r="D1980">
        <v>15</v>
      </c>
      <c r="E1980" s="1">
        <v>-0.79600000000000004</v>
      </c>
      <c r="F1980" t="s">
        <v>14</v>
      </c>
      <c r="G1980" t="str">
        <f>_xlfn.XLOOKUP(transakcje[[#This Row],[podkategoria]],parametr[podkategoria],parametr[kategoria])</f>
        <v>opłaty stałe</v>
      </c>
      <c r="H1980" t="str">
        <f>_xlfn.XLOOKUP(transakcje[[#This Row],[kategoria]],parametr[kategoria],parametr[typ])</f>
        <v>wydatki</v>
      </c>
      <c r="I1980" s="1">
        <f>ABS(transakcje[[#This Row],[kwota]])</f>
        <v>0.79600000000000004</v>
      </c>
    </row>
    <row r="1981" spans="1:9" x14ac:dyDescent="0.3">
      <c r="A1981">
        <v>1980</v>
      </c>
      <c r="B1981">
        <v>2016</v>
      </c>
      <c r="C1981">
        <v>12</v>
      </c>
      <c r="D1981">
        <v>15</v>
      </c>
      <c r="E1981" s="1">
        <v>-3.6020000000000003</v>
      </c>
      <c r="F1981" t="s">
        <v>26</v>
      </c>
      <c r="G1981" t="str">
        <f>_xlfn.XLOOKUP(transakcje[[#This Row],[podkategoria]],parametr[podkategoria],parametr[kategoria])</f>
        <v>życie</v>
      </c>
      <c r="H1981" t="str">
        <f>_xlfn.XLOOKUP(transakcje[[#This Row],[kategoria]],parametr[kategoria],parametr[typ])</f>
        <v>wydatki</v>
      </c>
      <c r="I1981" s="1">
        <f>ABS(transakcje[[#This Row],[kwota]])</f>
        <v>3.6020000000000003</v>
      </c>
    </row>
    <row r="1982" spans="1:9" x14ac:dyDescent="0.3">
      <c r="A1982">
        <v>1981</v>
      </c>
      <c r="B1982">
        <v>2016</v>
      </c>
      <c r="C1982">
        <v>12</v>
      </c>
      <c r="D1982">
        <v>16</v>
      </c>
      <c r="E1982" s="1">
        <v>482.65800000000002</v>
      </c>
      <c r="F1982" t="s">
        <v>8</v>
      </c>
      <c r="G1982" t="str">
        <f>_xlfn.XLOOKUP(transakcje[[#This Row],[podkategoria]],parametr[podkategoria],parametr[kategoria])</f>
        <v>dochody z pracy</v>
      </c>
      <c r="H1982" t="str">
        <f>_xlfn.XLOOKUP(transakcje[[#This Row],[kategoria]],parametr[kategoria],parametr[typ])</f>
        <v>dochody</v>
      </c>
      <c r="I1982" s="1">
        <f>ABS(transakcje[[#This Row],[kwota]])</f>
        <v>482.65800000000002</v>
      </c>
    </row>
    <row r="1983" spans="1:9" x14ac:dyDescent="0.3">
      <c r="A1983">
        <v>1982</v>
      </c>
      <c r="B1983">
        <v>2016</v>
      </c>
      <c r="C1983">
        <v>12</v>
      </c>
      <c r="D1983">
        <v>16</v>
      </c>
      <c r="E1983" s="1">
        <v>-5.4939999999999998</v>
      </c>
      <c r="F1983" t="s">
        <v>26</v>
      </c>
      <c r="G1983" t="str">
        <f>_xlfn.XLOOKUP(transakcje[[#This Row],[podkategoria]],parametr[podkategoria],parametr[kategoria])</f>
        <v>życie</v>
      </c>
      <c r="H1983" t="str">
        <f>_xlfn.XLOOKUP(transakcje[[#This Row],[kategoria]],parametr[kategoria],parametr[typ])</f>
        <v>wydatki</v>
      </c>
      <c r="I1983" s="1">
        <f>ABS(transakcje[[#This Row],[kwota]])</f>
        <v>5.4939999999999998</v>
      </c>
    </row>
    <row r="1984" spans="1:9" x14ac:dyDescent="0.3">
      <c r="A1984">
        <v>1983</v>
      </c>
      <c r="B1984">
        <v>2016</v>
      </c>
      <c r="C1984">
        <v>12</v>
      </c>
      <c r="D1984">
        <v>23</v>
      </c>
      <c r="E1984" s="1">
        <v>50.06</v>
      </c>
      <c r="F1984" t="s">
        <v>16</v>
      </c>
      <c r="G1984" t="str">
        <f>_xlfn.XLOOKUP(transakcje[[#This Row],[podkategoria]],parametr[podkategoria],parametr[kategoria])</f>
        <v>dochody z pracy</v>
      </c>
      <c r="H1984" t="str">
        <f>_xlfn.XLOOKUP(transakcje[[#This Row],[kategoria]],parametr[kategoria],parametr[typ])</f>
        <v>dochody</v>
      </c>
      <c r="I1984" s="1">
        <f>ABS(transakcje[[#This Row],[kwota]])</f>
        <v>50.06</v>
      </c>
    </row>
    <row r="1985" spans="1:9" x14ac:dyDescent="0.3">
      <c r="A1985">
        <v>1984</v>
      </c>
      <c r="B1985">
        <v>2016</v>
      </c>
      <c r="C1985">
        <v>12</v>
      </c>
      <c r="D1985">
        <v>28</v>
      </c>
      <c r="E1985" s="1">
        <v>187.898</v>
      </c>
      <c r="F1985" t="s">
        <v>19</v>
      </c>
      <c r="G1985" t="str">
        <f>_xlfn.XLOOKUP(transakcje[[#This Row],[podkategoria]],parametr[podkategoria],parametr[kategoria])</f>
        <v>dochody z pracy</v>
      </c>
      <c r="H1985" t="str">
        <f>_xlfn.XLOOKUP(transakcje[[#This Row],[kategoria]],parametr[kategoria],parametr[typ])</f>
        <v>dochody</v>
      </c>
      <c r="I1985" s="1">
        <f>ABS(transakcje[[#This Row],[kwota]])</f>
        <v>187.898</v>
      </c>
    </row>
    <row r="1986" spans="1:9" x14ac:dyDescent="0.3">
      <c r="A1986">
        <v>1985</v>
      </c>
      <c r="B1986">
        <v>2016</v>
      </c>
      <c r="C1986">
        <v>12</v>
      </c>
      <c r="D1986">
        <v>31</v>
      </c>
      <c r="E1986" s="1">
        <v>8.0000000000000002E-3</v>
      </c>
      <c r="F1986" t="s">
        <v>17</v>
      </c>
      <c r="G1986" t="str">
        <f>_xlfn.XLOOKUP(transakcje[[#This Row],[podkategoria]],parametr[podkategoria],parametr[kategoria])</f>
        <v>dochody pozostałe</v>
      </c>
      <c r="H1986" t="str">
        <f>_xlfn.XLOOKUP(transakcje[[#This Row],[kategoria]],parametr[kategoria],parametr[typ])</f>
        <v>dochody</v>
      </c>
      <c r="I1986" s="1">
        <f>ABS(transakcje[[#This Row],[kwota]])</f>
        <v>8.0000000000000002E-3</v>
      </c>
    </row>
    <row r="1987" spans="1:9" x14ac:dyDescent="0.3">
      <c r="A1987">
        <v>1986</v>
      </c>
      <c r="B1987">
        <v>2016</v>
      </c>
      <c r="C1987">
        <v>12</v>
      </c>
      <c r="D1987">
        <v>31</v>
      </c>
      <c r="E1987" s="1">
        <v>-1.198</v>
      </c>
      <c r="F1987" t="s">
        <v>14</v>
      </c>
      <c r="G1987" t="str">
        <f>_xlfn.XLOOKUP(transakcje[[#This Row],[podkategoria]],parametr[podkategoria],parametr[kategoria])</f>
        <v>opłaty stałe</v>
      </c>
      <c r="H1987" t="str">
        <f>_xlfn.XLOOKUP(transakcje[[#This Row],[kategoria]],parametr[kategoria],parametr[typ])</f>
        <v>wydatki</v>
      </c>
      <c r="I1987" s="1">
        <f>ABS(transakcje[[#This Row],[kwota]])</f>
        <v>1.198</v>
      </c>
    </row>
    <row r="1988" spans="1:9" x14ac:dyDescent="0.3">
      <c r="A1988">
        <v>1987</v>
      </c>
      <c r="B1988">
        <v>2016</v>
      </c>
      <c r="C1988">
        <v>12</v>
      </c>
      <c r="D1988">
        <v>31</v>
      </c>
      <c r="E1988" s="1">
        <v>-0.6</v>
      </c>
      <c r="F1988" t="s">
        <v>14</v>
      </c>
      <c r="G1988" t="str">
        <f>_xlfn.XLOOKUP(transakcje[[#This Row],[podkategoria]],parametr[podkategoria],parametr[kategoria])</f>
        <v>opłaty stałe</v>
      </c>
      <c r="H1988" t="str">
        <f>_xlfn.XLOOKUP(transakcje[[#This Row],[kategoria]],parametr[kategoria],parametr[typ])</f>
        <v>wydatki</v>
      </c>
      <c r="I1988" s="1">
        <f>ABS(transakcje[[#This Row],[kwota]])</f>
        <v>0.6</v>
      </c>
    </row>
    <row r="1989" spans="1:9" x14ac:dyDescent="0.3">
      <c r="A1989">
        <v>1988</v>
      </c>
      <c r="B1989">
        <v>2016</v>
      </c>
      <c r="C1989">
        <v>12</v>
      </c>
      <c r="D1989">
        <v>31</v>
      </c>
      <c r="E1989" s="1">
        <v>-2E-3</v>
      </c>
      <c r="F1989" t="s">
        <v>14</v>
      </c>
      <c r="G1989" t="str">
        <f>_xlfn.XLOOKUP(transakcje[[#This Row],[podkategoria]],parametr[podkategoria],parametr[kategoria])</f>
        <v>opłaty stałe</v>
      </c>
      <c r="H1989" t="str">
        <f>_xlfn.XLOOKUP(transakcje[[#This Row],[kategoria]],parametr[kategoria],parametr[typ])</f>
        <v>wydatki</v>
      </c>
      <c r="I1989" s="1">
        <f>ABS(transakcje[[#This Row],[kwota]])</f>
        <v>2E-3</v>
      </c>
    </row>
    <row r="1990" spans="1:9" x14ac:dyDescent="0.3">
      <c r="A1990">
        <v>1989</v>
      </c>
      <c r="B1990">
        <v>2017</v>
      </c>
      <c r="C1990">
        <v>1</v>
      </c>
      <c r="D1990">
        <v>1</v>
      </c>
      <c r="E1990" s="1">
        <v>-5.9979999999999993</v>
      </c>
      <c r="F1990" t="s">
        <v>25</v>
      </c>
      <c r="G1990" t="str">
        <f>_xlfn.XLOOKUP(transakcje[[#This Row],[podkategoria]],parametr[podkategoria],parametr[kategoria])</f>
        <v>opłaty stałe</v>
      </c>
      <c r="H1990" t="str">
        <f>_xlfn.XLOOKUP(transakcje[[#This Row],[kategoria]],parametr[kategoria],parametr[typ])</f>
        <v>wydatki</v>
      </c>
      <c r="I1990" s="1">
        <f>ABS(transakcje[[#This Row],[kwota]])</f>
        <v>5.9979999999999993</v>
      </c>
    </row>
    <row r="1991" spans="1:9" x14ac:dyDescent="0.3">
      <c r="A1991">
        <v>1990</v>
      </c>
      <c r="B1991">
        <v>2017</v>
      </c>
      <c r="C1991">
        <v>1</v>
      </c>
      <c r="D1991">
        <v>1</v>
      </c>
      <c r="E1991" s="1">
        <v>-6.6280000000000001</v>
      </c>
      <c r="F1991" t="s">
        <v>35</v>
      </c>
      <c r="G1991" t="str">
        <f>_xlfn.XLOOKUP(transakcje[[#This Row],[podkategoria]],parametr[podkategoria],parametr[kategoria])</f>
        <v>opłaty stałe</v>
      </c>
      <c r="H1991" t="str">
        <f>_xlfn.XLOOKUP(transakcje[[#This Row],[kategoria]],parametr[kategoria],parametr[typ])</f>
        <v>wydatki</v>
      </c>
      <c r="I1991" s="1">
        <f>ABS(transakcje[[#This Row],[kwota]])</f>
        <v>6.6280000000000001</v>
      </c>
    </row>
    <row r="1992" spans="1:9" x14ac:dyDescent="0.3">
      <c r="A1992">
        <v>1991</v>
      </c>
      <c r="B1992">
        <v>2017</v>
      </c>
      <c r="C1992">
        <v>1</v>
      </c>
      <c r="D1992">
        <v>1</v>
      </c>
      <c r="E1992" s="1">
        <v>-7.38</v>
      </c>
      <c r="F1992" t="s">
        <v>23</v>
      </c>
      <c r="G1992" t="str">
        <f>_xlfn.XLOOKUP(transakcje[[#This Row],[podkategoria]],parametr[podkategoria],parametr[kategoria])</f>
        <v>opłaty stałe</v>
      </c>
      <c r="H1992" t="str">
        <f>_xlfn.XLOOKUP(transakcje[[#This Row],[kategoria]],parametr[kategoria],parametr[typ])</f>
        <v>wydatki</v>
      </c>
      <c r="I1992" s="1">
        <f>ABS(transakcje[[#This Row],[kwota]])</f>
        <v>7.38</v>
      </c>
    </row>
    <row r="1993" spans="1:9" x14ac:dyDescent="0.3">
      <c r="A1993">
        <v>1992</v>
      </c>
      <c r="B1993">
        <v>2017</v>
      </c>
      <c r="C1993">
        <v>1</v>
      </c>
      <c r="D1993">
        <v>1</v>
      </c>
      <c r="E1993" s="1">
        <v>-14.113999999999999</v>
      </c>
      <c r="F1993" t="s">
        <v>34</v>
      </c>
      <c r="G1993" t="str">
        <f>_xlfn.XLOOKUP(transakcje[[#This Row],[podkategoria]],parametr[podkategoria],parametr[kategoria])</f>
        <v>opłaty stałe</v>
      </c>
      <c r="H1993" t="str">
        <f>_xlfn.XLOOKUP(transakcje[[#This Row],[kategoria]],parametr[kategoria],parametr[typ])</f>
        <v>wydatki</v>
      </c>
      <c r="I1993" s="1">
        <f>ABS(transakcje[[#This Row],[kwota]])</f>
        <v>14.113999999999999</v>
      </c>
    </row>
    <row r="1994" spans="1:9" x14ac:dyDescent="0.3">
      <c r="A1994">
        <v>1993</v>
      </c>
      <c r="B1994">
        <v>2017</v>
      </c>
      <c r="C1994">
        <v>1</v>
      </c>
      <c r="D1994">
        <v>7</v>
      </c>
      <c r="E1994" s="1">
        <v>-51.527999999999999</v>
      </c>
      <c r="F1994" t="s">
        <v>31</v>
      </c>
      <c r="G1994" t="str">
        <f>_xlfn.XLOOKUP(transakcje[[#This Row],[podkategoria]],parametr[podkategoria],parametr[kategoria])</f>
        <v>opłaty stałe</v>
      </c>
      <c r="H1994" t="str">
        <f>_xlfn.XLOOKUP(transakcje[[#This Row],[kategoria]],parametr[kategoria],parametr[typ])</f>
        <v>wydatki</v>
      </c>
      <c r="I1994" s="1">
        <f>ABS(transakcje[[#This Row],[kwota]])</f>
        <v>51.527999999999999</v>
      </c>
    </row>
    <row r="1995" spans="1:9" x14ac:dyDescent="0.3">
      <c r="A1995">
        <v>1994</v>
      </c>
      <c r="B1995">
        <v>2017</v>
      </c>
      <c r="C1995">
        <v>1</v>
      </c>
      <c r="D1995">
        <v>8</v>
      </c>
      <c r="E1995" s="1">
        <v>13.102</v>
      </c>
      <c r="F1995" t="s">
        <v>17</v>
      </c>
      <c r="G1995" t="str">
        <f>_xlfn.XLOOKUP(transakcje[[#This Row],[podkategoria]],parametr[podkategoria],parametr[kategoria])</f>
        <v>dochody pozostałe</v>
      </c>
      <c r="H1995" t="str">
        <f>_xlfn.XLOOKUP(transakcje[[#This Row],[kategoria]],parametr[kategoria],parametr[typ])</f>
        <v>dochody</v>
      </c>
      <c r="I1995" s="1">
        <f>ABS(transakcje[[#This Row],[kwota]])</f>
        <v>13.102</v>
      </c>
    </row>
    <row r="1996" spans="1:9" x14ac:dyDescent="0.3">
      <c r="A1996">
        <v>1995</v>
      </c>
      <c r="B1996">
        <v>2017</v>
      </c>
      <c r="C1996">
        <v>1</v>
      </c>
      <c r="D1996">
        <v>9</v>
      </c>
      <c r="E1996" s="1">
        <v>0.54600000000000004</v>
      </c>
      <c r="F1996" t="s">
        <v>17</v>
      </c>
      <c r="G1996" t="str">
        <f>_xlfn.XLOOKUP(transakcje[[#This Row],[podkategoria]],parametr[podkategoria],parametr[kategoria])</f>
        <v>dochody pozostałe</v>
      </c>
      <c r="H1996" t="str">
        <f>_xlfn.XLOOKUP(transakcje[[#This Row],[kategoria]],parametr[kategoria],parametr[typ])</f>
        <v>dochody</v>
      </c>
      <c r="I1996" s="1">
        <f>ABS(transakcje[[#This Row],[kwota]])</f>
        <v>0.54600000000000004</v>
      </c>
    </row>
    <row r="1997" spans="1:9" x14ac:dyDescent="0.3">
      <c r="A1997">
        <v>1996</v>
      </c>
      <c r="B1997">
        <v>2017</v>
      </c>
      <c r="C1997">
        <v>1</v>
      </c>
      <c r="D1997">
        <v>14</v>
      </c>
      <c r="E1997" s="1">
        <v>-4.54</v>
      </c>
      <c r="F1997" t="s">
        <v>37</v>
      </c>
      <c r="G1997" t="str">
        <f>_xlfn.XLOOKUP(transakcje[[#This Row],[podkategoria]],parametr[podkategoria],parametr[kategoria])</f>
        <v>opłaty stałe</v>
      </c>
      <c r="H1997" t="str">
        <f>_xlfn.XLOOKUP(transakcje[[#This Row],[kategoria]],parametr[kategoria],parametr[typ])</f>
        <v>wydatki</v>
      </c>
      <c r="I1997" s="1">
        <f>ABS(transakcje[[#This Row],[kwota]])</f>
        <v>4.54</v>
      </c>
    </row>
    <row r="1998" spans="1:9" x14ac:dyDescent="0.3">
      <c r="A1998">
        <v>1997</v>
      </c>
      <c r="B1998">
        <v>2017</v>
      </c>
      <c r="C1998">
        <v>1</v>
      </c>
      <c r="D1998">
        <v>16</v>
      </c>
      <c r="E1998" s="1">
        <v>-0.8</v>
      </c>
      <c r="F1998" t="s">
        <v>14</v>
      </c>
      <c r="G1998" t="str">
        <f>_xlfn.XLOOKUP(transakcje[[#This Row],[podkategoria]],parametr[podkategoria],parametr[kategoria])</f>
        <v>opłaty stałe</v>
      </c>
      <c r="H1998" t="str">
        <f>_xlfn.XLOOKUP(transakcje[[#This Row],[kategoria]],parametr[kategoria],parametr[typ])</f>
        <v>wydatki</v>
      </c>
      <c r="I1998" s="1">
        <f>ABS(transakcje[[#This Row],[kwota]])</f>
        <v>0.8</v>
      </c>
    </row>
    <row r="1999" spans="1:9" x14ac:dyDescent="0.3">
      <c r="A1999">
        <v>1998</v>
      </c>
      <c r="B1999">
        <v>2017</v>
      </c>
      <c r="C1999">
        <v>1</v>
      </c>
      <c r="D1999">
        <v>17</v>
      </c>
      <c r="E1999" s="1">
        <v>-0.39800000000000002</v>
      </c>
      <c r="F1999" t="s">
        <v>14</v>
      </c>
      <c r="G1999" t="str">
        <f>_xlfn.XLOOKUP(transakcje[[#This Row],[podkategoria]],parametr[podkategoria],parametr[kategoria])</f>
        <v>opłaty stałe</v>
      </c>
      <c r="H1999" t="str">
        <f>_xlfn.XLOOKUP(transakcje[[#This Row],[kategoria]],parametr[kategoria],parametr[typ])</f>
        <v>wydatki</v>
      </c>
      <c r="I1999" s="1">
        <f>ABS(transakcje[[#This Row],[kwota]])</f>
        <v>0.39800000000000002</v>
      </c>
    </row>
    <row r="2000" spans="1:9" x14ac:dyDescent="0.3">
      <c r="A2000">
        <v>1999</v>
      </c>
      <c r="B2000">
        <v>2017</v>
      </c>
      <c r="C2000">
        <v>1</v>
      </c>
      <c r="D2000">
        <v>25</v>
      </c>
      <c r="E2000" s="1">
        <v>-19.8</v>
      </c>
      <c r="F2000" t="s">
        <v>32</v>
      </c>
      <c r="G2000" t="str">
        <f>_xlfn.XLOOKUP(transakcje[[#This Row],[podkategoria]],parametr[podkategoria],parametr[kategoria])</f>
        <v>opłaty stałe</v>
      </c>
      <c r="H2000" t="str">
        <f>_xlfn.XLOOKUP(transakcje[[#This Row],[kategoria]],parametr[kategoria],parametr[typ])</f>
        <v>wydatki</v>
      </c>
      <c r="I2000" s="1">
        <f>ABS(transakcje[[#This Row],[kwota]])</f>
        <v>19.8</v>
      </c>
    </row>
    <row r="2001" spans="1:9" x14ac:dyDescent="0.3">
      <c r="A2001">
        <v>2000</v>
      </c>
      <c r="B2001">
        <v>2017</v>
      </c>
      <c r="C2001">
        <v>1</v>
      </c>
      <c r="D2001">
        <v>25</v>
      </c>
      <c r="E2001" s="1">
        <v>482.65800000000002</v>
      </c>
      <c r="F2001" t="s">
        <v>8</v>
      </c>
      <c r="G2001" t="str">
        <f>_xlfn.XLOOKUP(transakcje[[#This Row],[podkategoria]],parametr[podkategoria],parametr[kategoria])</f>
        <v>dochody z pracy</v>
      </c>
      <c r="H2001" t="str">
        <f>_xlfn.XLOOKUP(transakcje[[#This Row],[kategoria]],parametr[kategoria],parametr[typ])</f>
        <v>dochody</v>
      </c>
      <c r="I2001" s="1">
        <f>ABS(transakcje[[#This Row],[kwota]])</f>
        <v>482.65800000000002</v>
      </c>
    </row>
    <row r="2002" spans="1:9" x14ac:dyDescent="0.3">
      <c r="A2002">
        <v>2001</v>
      </c>
      <c r="B2002">
        <v>2017</v>
      </c>
      <c r="C2002">
        <v>1</v>
      </c>
      <c r="D2002">
        <v>27</v>
      </c>
      <c r="E2002" s="1">
        <v>-5.9560000000000004</v>
      </c>
      <c r="F2002" t="s">
        <v>26</v>
      </c>
      <c r="G2002" t="str">
        <f>_xlfn.XLOOKUP(transakcje[[#This Row],[podkategoria]],parametr[podkategoria],parametr[kategoria])</f>
        <v>życie</v>
      </c>
      <c r="H2002" t="str">
        <f>_xlfn.XLOOKUP(transakcje[[#This Row],[kategoria]],parametr[kategoria],parametr[typ])</f>
        <v>wydatki</v>
      </c>
      <c r="I2002" s="1">
        <f>ABS(transakcje[[#This Row],[kwota]])</f>
        <v>5.9560000000000004</v>
      </c>
    </row>
    <row r="2003" spans="1:9" x14ac:dyDescent="0.3">
      <c r="A2003">
        <v>2002</v>
      </c>
      <c r="B2003">
        <v>2017</v>
      </c>
      <c r="C2003">
        <v>1</v>
      </c>
      <c r="D2003">
        <v>31</v>
      </c>
      <c r="E2003" s="1">
        <v>0.01</v>
      </c>
      <c r="F2003" t="s">
        <v>17</v>
      </c>
      <c r="G2003" t="str">
        <f>_xlfn.XLOOKUP(transakcje[[#This Row],[podkategoria]],parametr[podkategoria],parametr[kategoria])</f>
        <v>dochody pozostałe</v>
      </c>
      <c r="H2003" t="str">
        <f>_xlfn.XLOOKUP(transakcje[[#This Row],[kategoria]],parametr[kategoria],parametr[typ])</f>
        <v>dochody</v>
      </c>
      <c r="I2003" s="1">
        <f>ABS(transakcje[[#This Row],[kwota]])</f>
        <v>0.01</v>
      </c>
    </row>
    <row r="2004" spans="1:9" x14ac:dyDescent="0.3">
      <c r="A2004">
        <v>2003</v>
      </c>
      <c r="B2004">
        <v>2017</v>
      </c>
      <c r="C2004">
        <v>1</v>
      </c>
      <c r="D2004">
        <v>31</v>
      </c>
      <c r="E2004" s="1">
        <v>-1.198</v>
      </c>
      <c r="F2004" t="s">
        <v>14</v>
      </c>
      <c r="G2004" t="str">
        <f>_xlfn.XLOOKUP(transakcje[[#This Row],[podkategoria]],parametr[podkategoria],parametr[kategoria])</f>
        <v>opłaty stałe</v>
      </c>
      <c r="H2004" t="str">
        <f>_xlfn.XLOOKUP(transakcje[[#This Row],[kategoria]],parametr[kategoria],parametr[typ])</f>
        <v>wydatki</v>
      </c>
      <c r="I2004" s="1">
        <f>ABS(transakcje[[#This Row],[kwota]])</f>
        <v>1.198</v>
      </c>
    </row>
    <row r="2005" spans="1:9" x14ac:dyDescent="0.3">
      <c r="A2005">
        <v>2004</v>
      </c>
      <c r="B2005">
        <v>2017</v>
      </c>
      <c r="C2005">
        <v>1</v>
      </c>
      <c r="D2005">
        <v>31</v>
      </c>
      <c r="E2005" s="1">
        <v>-0.1</v>
      </c>
      <c r="F2005" t="s">
        <v>14</v>
      </c>
      <c r="G2005" t="str">
        <f>_xlfn.XLOOKUP(transakcje[[#This Row],[podkategoria]],parametr[podkategoria],parametr[kategoria])</f>
        <v>opłaty stałe</v>
      </c>
      <c r="H2005" t="str">
        <f>_xlfn.XLOOKUP(transakcje[[#This Row],[kategoria]],parametr[kategoria],parametr[typ])</f>
        <v>wydatki</v>
      </c>
      <c r="I2005" s="1">
        <f>ABS(transakcje[[#This Row],[kwota]])</f>
        <v>0.1</v>
      </c>
    </row>
    <row r="2006" spans="1:9" x14ac:dyDescent="0.3">
      <c r="A2006">
        <v>2005</v>
      </c>
      <c r="B2006">
        <v>2017</v>
      </c>
      <c r="C2006">
        <v>1</v>
      </c>
      <c r="D2006">
        <v>31</v>
      </c>
      <c r="E2006" s="1">
        <v>-2E-3</v>
      </c>
      <c r="F2006" t="s">
        <v>14</v>
      </c>
      <c r="G2006" t="str">
        <f>_xlfn.XLOOKUP(transakcje[[#This Row],[podkategoria]],parametr[podkategoria],parametr[kategoria])</f>
        <v>opłaty stałe</v>
      </c>
      <c r="H2006" t="str">
        <f>_xlfn.XLOOKUP(transakcje[[#This Row],[kategoria]],parametr[kategoria],parametr[typ])</f>
        <v>wydatki</v>
      </c>
      <c r="I2006" s="1">
        <f>ABS(transakcje[[#This Row],[kwota]])</f>
        <v>2E-3</v>
      </c>
    </row>
    <row r="2007" spans="1:9" x14ac:dyDescent="0.3">
      <c r="A2007">
        <v>2006</v>
      </c>
      <c r="B2007">
        <v>2017</v>
      </c>
      <c r="C2007">
        <v>1</v>
      </c>
      <c r="D2007">
        <v>31</v>
      </c>
      <c r="E2007" s="1">
        <v>-8.6</v>
      </c>
      <c r="F2007" t="s">
        <v>26</v>
      </c>
      <c r="G2007" t="str">
        <f>_xlfn.XLOOKUP(transakcje[[#This Row],[podkategoria]],parametr[podkategoria],parametr[kategoria])</f>
        <v>życie</v>
      </c>
      <c r="H2007" t="str">
        <f>_xlfn.XLOOKUP(transakcje[[#This Row],[kategoria]],parametr[kategoria],parametr[typ])</f>
        <v>wydatki</v>
      </c>
      <c r="I2007" s="1">
        <f>ABS(transakcje[[#This Row],[kwota]])</f>
        <v>8.6</v>
      </c>
    </row>
    <row r="2008" spans="1:9" x14ac:dyDescent="0.3">
      <c r="A2008">
        <v>2007</v>
      </c>
      <c r="B2008">
        <v>2017</v>
      </c>
      <c r="C2008">
        <v>2</v>
      </c>
      <c r="D2008">
        <v>3</v>
      </c>
      <c r="E2008" s="1">
        <v>475.29200000000003</v>
      </c>
      <c r="F2008" t="s">
        <v>22</v>
      </c>
      <c r="G2008" t="str">
        <f>_xlfn.XLOOKUP(transakcje[[#This Row],[podkategoria]],parametr[podkategoria],parametr[kategoria])</f>
        <v>dochody z pracy</v>
      </c>
      <c r="H2008" t="str">
        <f>_xlfn.XLOOKUP(transakcje[[#This Row],[kategoria]],parametr[kategoria],parametr[typ])</f>
        <v>dochody</v>
      </c>
      <c r="I2008" s="1">
        <f>ABS(transakcje[[#This Row],[kwota]])</f>
        <v>475.29200000000003</v>
      </c>
    </row>
    <row r="2009" spans="1:9" x14ac:dyDescent="0.3">
      <c r="A2009">
        <v>2008</v>
      </c>
      <c r="B2009">
        <v>2017</v>
      </c>
      <c r="C2009">
        <v>2</v>
      </c>
      <c r="D2009">
        <v>3</v>
      </c>
      <c r="E2009" s="1">
        <v>-11.446</v>
      </c>
      <c r="F2009" t="s">
        <v>26</v>
      </c>
      <c r="G2009" t="str">
        <f>_xlfn.XLOOKUP(transakcje[[#This Row],[podkategoria]],parametr[podkategoria],parametr[kategoria])</f>
        <v>życie</v>
      </c>
      <c r="H2009" t="str">
        <f>_xlfn.XLOOKUP(transakcje[[#This Row],[kategoria]],parametr[kategoria],parametr[typ])</f>
        <v>wydatki</v>
      </c>
      <c r="I2009" s="1">
        <f>ABS(transakcje[[#This Row],[kwota]])</f>
        <v>11.446</v>
      </c>
    </row>
    <row r="2010" spans="1:9" x14ac:dyDescent="0.3">
      <c r="A2010">
        <v>2009</v>
      </c>
      <c r="B2010">
        <v>2017</v>
      </c>
      <c r="C2010">
        <v>2</v>
      </c>
      <c r="D2010">
        <v>4</v>
      </c>
      <c r="E2010" s="1">
        <v>-4.54</v>
      </c>
      <c r="F2010" t="s">
        <v>37</v>
      </c>
      <c r="G2010" t="str">
        <f>_xlfn.XLOOKUP(transakcje[[#This Row],[podkategoria]],parametr[podkategoria],parametr[kategoria])</f>
        <v>opłaty stałe</v>
      </c>
      <c r="H2010" t="str">
        <f>_xlfn.XLOOKUP(transakcje[[#This Row],[kategoria]],parametr[kategoria],parametr[typ])</f>
        <v>wydatki</v>
      </c>
      <c r="I2010" s="1">
        <f>ABS(transakcje[[#This Row],[kwota]])</f>
        <v>4.54</v>
      </c>
    </row>
    <row r="2011" spans="1:9" x14ac:dyDescent="0.3">
      <c r="A2011">
        <v>2010</v>
      </c>
      <c r="B2011">
        <v>2017</v>
      </c>
      <c r="C2011">
        <v>2</v>
      </c>
      <c r="D2011">
        <v>4</v>
      </c>
      <c r="E2011" s="1">
        <v>-65.25800000000001</v>
      </c>
      <c r="F2011" t="s">
        <v>31</v>
      </c>
      <c r="G2011" t="str">
        <f>_xlfn.XLOOKUP(transakcje[[#This Row],[podkategoria]],parametr[podkategoria],parametr[kategoria])</f>
        <v>opłaty stałe</v>
      </c>
      <c r="H2011" t="str">
        <f>_xlfn.XLOOKUP(transakcje[[#This Row],[kategoria]],parametr[kategoria],parametr[typ])</f>
        <v>wydatki</v>
      </c>
      <c r="I2011" s="1">
        <f>ABS(transakcje[[#This Row],[kwota]])</f>
        <v>65.25800000000001</v>
      </c>
    </row>
    <row r="2012" spans="1:9" x14ac:dyDescent="0.3">
      <c r="A2012">
        <v>2011</v>
      </c>
      <c r="B2012">
        <v>2017</v>
      </c>
      <c r="C2012">
        <v>2</v>
      </c>
      <c r="D2012">
        <v>4</v>
      </c>
      <c r="E2012" s="1">
        <v>-7.38</v>
      </c>
      <c r="F2012" t="s">
        <v>23</v>
      </c>
      <c r="G2012" t="str">
        <f>_xlfn.XLOOKUP(transakcje[[#This Row],[podkategoria]],parametr[podkategoria],parametr[kategoria])</f>
        <v>opłaty stałe</v>
      </c>
      <c r="H2012" t="str">
        <f>_xlfn.XLOOKUP(transakcje[[#This Row],[kategoria]],parametr[kategoria],parametr[typ])</f>
        <v>wydatki</v>
      </c>
      <c r="I2012" s="1">
        <f>ABS(transakcje[[#This Row],[kwota]])</f>
        <v>7.38</v>
      </c>
    </row>
    <row r="2013" spans="1:9" x14ac:dyDescent="0.3">
      <c r="A2013">
        <v>2012</v>
      </c>
      <c r="B2013">
        <v>2017</v>
      </c>
      <c r="C2013">
        <v>2</v>
      </c>
      <c r="D2013">
        <v>4</v>
      </c>
      <c r="E2013" s="1">
        <v>-8.1999999999999993</v>
      </c>
      <c r="F2013" t="s">
        <v>36</v>
      </c>
      <c r="G2013" t="str">
        <f>_xlfn.XLOOKUP(transakcje[[#This Row],[podkategoria]],parametr[podkategoria],parametr[kategoria])</f>
        <v>opłaty stałe</v>
      </c>
      <c r="H2013" t="str">
        <f>_xlfn.XLOOKUP(transakcje[[#This Row],[kategoria]],parametr[kategoria],parametr[typ])</f>
        <v>wydatki</v>
      </c>
      <c r="I2013" s="1">
        <f>ABS(transakcje[[#This Row],[kwota]])</f>
        <v>8.1999999999999993</v>
      </c>
    </row>
    <row r="2014" spans="1:9" x14ac:dyDescent="0.3">
      <c r="A2014">
        <v>2013</v>
      </c>
      <c r="B2014">
        <v>2017</v>
      </c>
      <c r="C2014">
        <v>2</v>
      </c>
      <c r="D2014">
        <v>4</v>
      </c>
      <c r="E2014" s="1">
        <v>-5.9979999999999993</v>
      </c>
      <c r="F2014" t="s">
        <v>25</v>
      </c>
      <c r="G2014" t="str">
        <f>_xlfn.XLOOKUP(transakcje[[#This Row],[podkategoria]],parametr[podkategoria],parametr[kategoria])</f>
        <v>opłaty stałe</v>
      </c>
      <c r="H2014" t="str">
        <f>_xlfn.XLOOKUP(transakcje[[#This Row],[kategoria]],parametr[kategoria],parametr[typ])</f>
        <v>wydatki</v>
      </c>
      <c r="I2014" s="1">
        <f>ABS(transakcje[[#This Row],[kwota]])</f>
        <v>5.9979999999999993</v>
      </c>
    </row>
    <row r="2015" spans="1:9" x14ac:dyDescent="0.3">
      <c r="A2015">
        <v>2014</v>
      </c>
      <c r="B2015">
        <v>2017</v>
      </c>
      <c r="C2015">
        <v>2</v>
      </c>
      <c r="D2015">
        <v>6</v>
      </c>
      <c r="E2015" s="1">
        <v>-32.631999999999998</v>
      </c>
      <c r="F2015" t="s">
        <v>24</v>
      </c>
      <c r="G2015" t="str">
        <f>_xlfn.XLOOKUP(transakcje[[#This Row],[podkategoria]],parametr[podkategoria],parametr[kategoria])</f>
        <v>trwałe</v>
      </c>
      <c r="H2015" t="str">
        <f>_xlfn.XLOOKUP(transakcje[[#This Row],[kategoria]],parametr[kategoria],parametr[typ])</f>
        <v>wydatki</v>
      </c>
      <c r="I2015" s="1">
        <f>ABS(transakcje[[#This Row],[kwota]])</f>
        <v>32.631999999999998</v>
      </c>
    </row>
    <row r="2016" spans="1:9" x14ac:dyDescent="0.3">
      <c r="A2016">
        <v>2015</v>
      </c>
      <c r="B2016">
        <v>2017</v>
      </c>
      <c r="C2016">
        <v>2</v>
      </c>
      <c r="D2016">
        <v>7</v>
      </c>
      <c r="E2016" s="1">
        <v>-0.66799999999999993</v>
      </c>
      <c r="F2016" t="s">
        <v>26</v>
      </c>
      <c r="G2016" t="str">
        <f>_xlfn.XLOOKUP(transakcje[[#This Row],[podkategoria]],parametr[podkategoria],parametr[kategoria])</f>
        <v>życie</v>
      </c>
      <c r="H2016" t="str">
        <f>_xlfn.XLOOKUP(transakcje[[#This Row],[kategoria]],parametr[kategoria],parametr[typ])</f>
        <v>wydatki</v>
      </c>
      <c r="I2016" s="1">
        <f>ABS(transakcje[[#This Row],[kwota]])</f>
        <v>0.66799999999999993</v>
      </c>
    </row>
    <row r="2017" spans="1:9" x14ac:dyDescent="0.3">
      <c r="A2017">
        <v>2016</v>
      </c>
      <c r="B2017">
        <v>2017</v>
      </c>
      <c r="C2017">
        <v>2</v>
      </c>
      <c r="D2017">
        <v>9</v>
      </c>
      <c r="E2017" s="1">
        <v>-9.5180000000000007</v>
      </c>
      <c r="F2017" t="s">
        <v>26</v>
      </c>
      <c r="G2017" t="str">
        <f>_xlfn.XLOOKUP(transakcje[[#This Row],[podkategoria]],parametr[podkategoria],parametr[kategoria])</f>
        <v>życie</v>
      </c>
      <c r="H2017" t="str">
        <f>_xlfn.XLOOKUP(transakcje[[#This Row],[kategoria]],parametr[kategoria],parametr[typ])</f>
        <v>wydatki</v>
      </c>
      <c r="I2017" s="1">
        <f>ABS(transakcje[[#This Row],[kwota]])</f>
        <v>9.5180000000000007</v>
      </c>
    </row>
    <row r="2018" spans="1:9" x14ac:dyDescent="0.3">
      <c r="A2018">
        <v>2017</v>
      </c>
      <c r="B2018">
        <v>2017</v>
      </c>
      <c r="C2018">
        <v>2</v>
      </c>
      <c r="D2018">
        <v>9</v>
      </c>
      <c r="E2018" s="1">
        <v>-0.65999999999999992</v>
      </c>
      <c r="F2018" t="s">
        <v>26</v>
      </c>
      <c r="G2018" t="str">
        <f>_xlfn.XLOOKUP(transakcje[[#This Row],[podkategoria]],parametr[podkategoria],parametr[kategoria])</f>
        <v>życie</v>
      </c>
      <c r="H2018" t="str">
        <f>_xlfn.XLOOKUP(transakcje[[#This Row],[kategoria]],parametr[kategoria],parametr[typ])</f>
        <v>wydatki</v>
      </c>
      <c r="I2018" s="1">
        <f>ABS(transakcje[[#This Row],[kwota]])</f>
        <v>0.65999999999999992</v>
      </c>
    </row>
    <row r="2019" spans="1:9" x14ac:dyDescent="0.3">
      <c r="A2019">
        <v>2018</v>
      </c>
      <c r="B2019">
        <v>2017</v>
      </c>
      <c r="C2019">
        <v>2</v>
      </c>
      <c r="D2019">
        <v>10</v>
      </c>
      <c r="E2019" s="1">
        <v>-3.254</v>
      </c>
      <c r="F2019" t="s">
        <v>26</v>
      </c>
      <c r="G2019" t="str">
        <f>_xlfn.XLOOKUP(transakcje[[#This Row],[podkategoria]],parametr[podkategoria],parametr[kategoria])</f>
        <v>życie</v>
      </c>
      <c r="H2019" t="str">
        <f>_xlfn.XLOOKUP(transakcje[[#This Row],[kategoria]],parametr[kategoria],parametr[typ])</f>
        <v>wydatki</v>
      </c>
      <c r="I2019" s="1">
        <f>ABS(transakcje[[#This Row],[kwota]])</f>
        <v>3.254</v>
      </c>
    </row>
    <row r="2020" spans="1:9" x14ac:dyDescent="0.3">
      <c r="A2020">
        <v>2019</v>
      </c>
      <c r="B2020">
        <v>2017</v>
      </c>
      <c r="C2020">
        <v>2</v>
      </c>
      <c r="D2020">
        <v>14</v>
      </c>
      <c r="E2020" s="1">
        <v>-0.79600000000000004</v>
      </c>
      <c r="F2020" t="s">
        <v>14</v>
      </c>
      <c r="G2020" t="str">
        <f>_xlfn.XLOOKUP(transakcje[[#This Row],[podkategoria]],parametr[podkategoria],parametr[kategoria])</f>
        <v>opłaty stałe</v>
      </c>
      <c r="H2020" t="str">
        <f>_xlfn.XLOOKUP(transakcje[[#This Row],[kategoria]],parametr[kategoria],parametr[typ])</f>
        <v>wydatki</v>
      </c>
      <c r="I2020" s="1">
        <f>ABS(transakcje[[#This Row],[kwota]])</f>
        <v>0.79600000000000004</v>
      </c>
    </row>
    <row r="2021" spans="1:9" x14ac:dyDescent="0.3">
      <c r="A2021">
        <v>2020</v>
      </c>
      <c r="B2021">
        <v>2017</v>
      </c>
      <c r="C2021">
        <v>2</v>
      </c>
      <c r="D2021">
        <v>16</v>
      </c>
      <c r="E2021" s="1">
        <v>-0.8</v>
      </c>
      <c r="F2021" t="s">
        <v>14</v>
      </c>
      <c r="G2021" t="str">
        <f>_xlfn.XLOOKUP(transakcje[[#This Row],[podkategoria]],parametr[podkategoria],parametr[kategoria])</f>
        <v>opłaty stałe</v>
      </c>
      <c r="H2021" t="str">
        <f>_xlfn.XLOOKUP(transakcje[[#This Row],[kategoria]],parametr[kategoria],parametr[typ])</f>
        <v>wydatki</v>
      </c>
      <c r="I2021" s="1">
        <f>ABS(transakcje[[#This Row],[kwota]])</f>
        <v>0.8</v>
      </c>
    </row>
    <row r="2022" spans="1:9" x14ac:dyDescent="0.3">
      <c r="A2022">
        <v>2021</v>
      </c>
      <c r="B2022">
        <v>2017</v>
      </c>
      <c r="C2022">
        <v>2</v>
      </c>
      <c r="D2022">
        <v>16</v>
      </c>
      <c r="E2022" s="1">
        <v>-4.1840000000000002</v>
      </c>
      <c r="F2022" t="s">
        <v>26</v>
      </c>
      <c r="G2022" t="str">
        <f>_xlfn.XLOOKUP(transakcje[[#This Row],[podkategoria]],parametr[podkategoria],parametr[kategoria])</f>
        <v>życie</v>
      </c>
      <c r="H2022" t="str">
        <f>_xlfn.XLOOKUP(transakcje[[#This Row],[kategoria]],parametr[kategoria],parametr[typ])</f>
        <v>wydatki</v>
      </c>
      <c r="I2022" s="1">
        <f>ABS(transakcje[[#This Row],[kwota]])</f>
        <v>4.1840000000000002</v>
      </c>
    </row>
    <row r="2023" spans="1:9" x14ac:dyDescent="0.3">
      <c r="A2023">
        <v>2022</v>
      </c>
      <c r="B2023">
        <v>2017</v>
      </c>
      <c r="C2023">
        <v>2</v>
      </c>
      <c r="D2023">
        <v>20</v>
      </c>
      <c r="E2023" s="1">
        <v>-4.016</v>
      </c>
      <c r="F2023" t="s">
        <v>26</v>
      </c>
      <c r="G2023" t="str">
        <f>_xlfn.XLOOKUP(transakcje[[#This Row],[podkategoria]],parametr[podkategoria],parametr[kategoria])</f>
        <v>życie</v>
      </c>
      <c r="H2023" t="str">
        <f>_xlfn.XLOOKUP(transakcje[[#This Row],[kategoria]],parametr[kategoria],parametr[typ])</f>
        <v>wydatki</v>
      </c>
      <c r="I2023" s="1">
        <f>ABS(transakcje[[#This Row],[kwota]])</f>
        <v>4.016</v>
      </c>
    </row>
    <row r="2024" spans="1:9" x14ac:dyDescent="0.3">
      <c r="A2024">
        <v>2023</v>
      </c>
      <c r="B2024">
        <v>2017</v>
      </c>
      <c r="C2024">
        <v>2</v>
      </c>
      <c r="D2024">
        <v>21</v>
      </c>
      <c r="E2024" s="1">
        <v>482.65600000000006</v>
      </c>
      <c r="F2024" t="s">
        <v>8</v>
      </c>
      <c r="G2024" t="str">
        <f>_xlfn.XLOOKUP(transakcje[[#This Row],[podkategoria]],parametr[podkategoria],parametr[kategoria])</f>
        <v>dochody z pracy</v>
      </c>
      <c r="H2024" t="str">
        <f>_xlfn.XLOOKUP(transakcje[[#This Row],[kategoria]],parametr[kategoria],parametr[typ])</f>
        <v>dochody</v>
      </c>
      <c r="I2024" s="1">
        <f>ABS(transakcje[[#This Row],[kwota]])</f>
        <v>482.65600000000006</v>
      </c>
    </row>
    <row r="2025" spans="1:9" x14ac:dyDescent="0.3">
      <c r="A2025">
        <v>2024</v>
      </c>
      <c r="B2025">
        <v>2017</v>
      </c>
      <c r="C2025">
        <v>2</v>
      </c>
      <c r="D2025">
        <v>24</v>
      </c>
      <c r="E2025" s="1">
        <v>-1.3880000000000001</v>
      </c>
      <c r="F2025" t="s">
        <v>26</v>
      </c>
      <c r="G2025" t="str">
        <f>_xlfn.XLOOKUP(transakcje[[#This Row],[podkategoria]],parametr[podkategoria],parametr[kategoria])</f>
        <v>życie</v>
      </c>
      <c r="H2025" t="str">
        <f>_xlfn.XLOOKUP(transakcje[[#This Row],[kategoria]],parametr[kategoria],parametr[typ])</f>
        <v>wydatki</v>
      </c>
      <c r="I2025" s="1">
        <f>ABS(transakcje[[#This Row],[kwota]])</f>
        <v>1.3880000000000001</v>
      </c>
    </row>
    <row r="2026" spans="1:9" x14ac:dyDescent="0.3">
      <c r="A2026">
        <v>2025</v>
      </c>
      <c r="B2026">
        <v>2017</v>
      </c>
      <c r="C2026">
        <v>2</v>
      </c>
      <c r="D2026">
        <v>24</v>
      </c>
      <c r="E2026" s="1">
        <v>-3.0640000000000001</v>
      </c>
      <c r="F2026" t="s">
        <v>26</v>
      </c>
      <c r="G2026" t="str">
        <f>_xlfn.XLOOKUP(transakcje[[#This Row],[podkategoria]],parametr[podkategoria],parametr[kategoria])</f>
        <v>życie</v>
      </c>
      <c r="H2026" t="str">
        <f>_xlfn.XLOOKUP(transakcje[[#This Row],[kategoria]],parametr[kategoria],parametr[typ])</f>
        <v>wydatki</v>
      </c>
      <c r="I2026" s="1">
        <f>ABS(transakcje[[#This Row],[kwota]])</f>
        <v>3.0640000000000001</v>
      </c>
    </row>
    <row r="2027" spans="1:9" x14ac:dyDescent="0.3">
      <c r="A2027">
        <v>2026</v>
      </c>
      <c r="B2027">
        <v>2017</v>
      </c>
      <c r="C2027">
        <v>2</v>
      </c>
      <c r="D2027">
        <v>25</v>
      </c>
      <c r="E2027" s="1">
        <v>-19.8</v>
      </c>
      <c r="F2027" t="s">
        <v>32</v>
      </c>
      <c r="G2027" t="str">
        <f>_xlfn.XLOOKUP(transakcje[[#This Row],[podkategoria]],parametr[podkategoria],parametr[kategoria])</f>
        <v>opłaty stałe</v>
      </c>
      <c r="H2027" t="str">
        <f>_xlfn.XLOOKUP(transakcje[[#This Row],[kategoria]],parametr[kategoria],parametr[typ])</f>
        <v>wydatki</v>
      </c>
      <c r="I2027" s="1">
        <f>ABS(transakcje[[#This Row],[kwota]])</f>
        <v>19.8</v>
      </c>
    </row>
    <row r="2028" spans="1:9" x14ac:dyDescent="0.3">
      <c r="A2028">
        <v>2027</v>
      </c>
      <c r="B2028">
        <v>2017</v>
      </c>
      <c r="C2028">
        <v>2</v>
      </c>
      <c r="D2028">
        <v>28</v>
      </c>
      <c r="E2028" s="1">
        <v>4.0000000000000001E-3</v>
      </c>
      <c r="F2028" t="s">
        <v>17</v>
      </c>
      <c r="G2028" t="str">
        <f>_xlfn.XLOOKUP(transakcje[[#This Row],[podkategoria]],parametr[podkategoria],parametr[kategoria])</f>
        <v>dochody pozostałe</v>
      </c>
      <c r="H2028" t="str">
        <f>_xlfn.XLOOKUP(transakcje[[#This Row],[kategoria]],parametr[kategoria],parametr[typ])</f>
        <v>dochody</v>
      </c>
      <c r="I2028" s="1">
        <f>ABS(transakcje[[#This Row],[kwota]])</f>
        <v>4.0000000000000001E-3</v>
      </c>
    </row>
    <row r="2029" spans="1:9" x14ac:dyDescent="0.3">
      <c r="A2029">
        <v>2028</v>
      </c>
      <c r="B2029">
        <v>2017</v>
      </c>
      <c r="C2029">
        <v>2</v>
      </c>
      <c r="D2029">
        <v>28</v>
      </c>
      <c r="E2029" s="1">
        <v>-1.198</v>
      </c>
      <c r="F2029" t="s">
        <v>14</v>
      </c>
      <c r="G2029" t="str">
        <f>_xlfn.XLOOKUP(transakcje[[#This Row],[podkategoria]],parametr[podkategoria],parametr[kategoria])</f>
        <v>opłaty stałe</v>
      </c>
      <c r="H2029" t="str">
        <f>_xlfn.XLOOKUP(transakcje[[#This Row],[kategoria]],parametr[kategoria],parametr[typ])</f>
        <v>wydatki</v>
      </c>
      <c r="I2029" s="1">
        <f>ABS(transakcje[[#This Row],[kwota]])</f>
        <v>1.198</v>
      </c>
    </row>
    <row r="2030" spans="1:9" x14ac:dyDescent="0.3">
      <c r="A2030">
        <v>2029</v>
      </c>
      <c r="B2030">
        <v>2017</v>
      </c>
      <c r="C2030">
        <v>2</v>
      </c>
      <c r="D2030">
        <v>28</v>
      </c>
      <c r="E2030" s="1">
        <v>-0.5</v>
      </c>
      <c r="F2030" t="s">
        <v>14</v>
      </c>
      <c r="G2030" t="str">
        <f>_xlfn.XLOOKUP(transakcje[[#This Row],[podkategoria]],parametr[podkategoria],parametr[kategoria])</f>
        <v>opłaty stałe</v>
      </c>
      <c r="H2030" t="str">
        <f>_xlfn.XLOOKUP(transakcje[[#This Row],[kategoria]],parametr[kategoria],parametr[typ])</f>
        <v>wydatki</v>
      </c>
      <c r="I2030" s="1">
        <f>ABS(transakcje[[#This Row],[kwota]])</f>
        <v>0.5</v>
      </c>
    </row>
    <row r="2031" spans="1:9" x14ac:dyDescent="0.3">
      <c r="A2031">
        <v>2030</v>
      </c>
      <c r="B2031">
        <v>2017</v>
      </c>
      <c r="C2031">
        <v>2</v>
      </c>
      <c r="D2031">
        <v>28</v>
      </c>
      <c r="E2031" s="1">
        <v>-2E-3</v>
      </c>
      <c r="F2031" t="s">
        <v>14</v>
      </c>
      <c r="G2031" t="str">
        <f>_xlfn.XLOOKUP(transakcje[[#This Row],[podkategoria]],parametr[podkategoria],parametr[kategoria])</f>
        <v>opłaty stałe</v>
      </c>
      <c r="H2031" t="str">
        <f>_xlfn.XLOOKUP(transakcje[[#This Row],[kategoria]],parametr[kategoria],parametr[typ])</f>
        <v>wydatki</v>
      </c>
      <c r="I2031" s="1">
        <f>ABS(transakcje[[#This Row],[kwota]])</f>
        <v>2E-3</v>
      </c>
    </row>
    <row r="2032" spans="1:9" x14ac:dyDescent="0.3">
      <c r="A2032">
        <v>2031</v>
      </c>
      <c r="B2032">
        <v>2017</v>
      </c>
      <c r="C2032">
        <v>2</v>
      </c>
      <c r="D2032">
        <v>28</v>
      </c>
      <c r="E2032" s="1">
        <v>0.4</v>
      </c>
      <c r="F2032" t="s">
        <v>16</v>
      </c>
      <c r="G2032" t="str">
        <f>_xlfn.XLOOKUP(transakcje[[#This Row],[podkategoria]],parametr[podkategoria],parametr[kategoria])</f>
        <v>dochody z pracy</v>
      </c>
      <c r="H2032" t="str">
        <f>_xlfn.XLOOKUP(transakcje[[#This Row],[kategoria]],parametr[kategoria],parametr[typ])</f>
        <v>dochody</v>
      </c>
      <c r="I2032" s="1">
        <f>ABS(transakcje[[#This Row],[kwota]])</f>
        <v>0.4</v>
      </c>
    </row>
    <row r="2033" spans="1:9" x14ac:dyDescent="0.3">
      <c r="A2033">
        <v>2032</v>
      </c>
      <c r="B2033">
        <v>2017</v>
      </c>
      <c r="C2033">
        <v>3</v>
      </c>
      <c r="D2033">
        <v>2</v>
      </c>
      <c r="E2033" s="1">
        <v>-8.5239999999999991</v>
      </c>
      <c r="F2033" t="s">
        <v>26</v>
      </c>
      <c r="G2033" t="str">
        <f>_xlfn.XLOOKUP(transakcje[[#This Row],[podkategoria]],parametr[podkategoria],parametr[kategoria])</f>
        <v>życie</v>
      </c>
      <c r="H2033" t="str">
        <f>_xlfn.XLOOKUP(transakcje[[#This Row],[kategoria]],parametr[kategoria],parametr[typ])</f>
        <v>wydatki</v>
      </c>
      <c r="I2033" s="1">
        <f>ABS(transakcje[[#This Row],[kwota]])</f>
        <v>8.5239999999999991</v>
      </c>
    </row>
    <row r="2034" spans="1:9" x14ac:dyDescent="0.3">
      <c r="A2034">
        <v>2033</v>
      </c>
      <c r="B2034">
        <v>2017</v>
      </c>
      <c r="C2034">
        <v>3</v>
      </c>
      <c r="D2034">
        <v>4</v>
      </c>
      <c r="E2034" s="1">
        <v>-4.54</v>
      </c>
      <c r="F2034" t="s">
        <v>37</v>
      </c>
      <c r="G2034" t="str">
        <f>_xlfn.XLOOKUP(transakcje[[#This Row],[podkategoria]],parametr[podkategoria],parametr[kategoria])</f>
        <v>opłaty stałe</v>
      </c>
      <c r="H2034" t="str">
        <f>_xlfn.XLOOKUP(transakcje[[#This Row],[kategoria]],parametr[kategoria],parametr[typ])</f>
        <v>wydatki</v>
      </c>
      <c r="I2034" s="1">
        <f>ABS(transakcje[[#This Row],[kwota]])</f>
        <v>4.54</v>
      </c>
    </row>
    <row r="2035" spans="1:9" x14ac:dyDescent="0.3">
      <c r="A2035">
        <v>2034</v>
      </c>
      <c r="B2035">
        <v>2017</v>
      </c>
      <c r="C2035">
        <v>3</v>
      </c>
      <c r="D2035">
        <v>4</v>
      </c>
      <c r="E2035" s="1">
        <v>-65.25800000000001</v>
      </c>
      <c r="F2035" t="s">
        <v>31</v>
      </c>
      <c r="G2035" t="str">
        <f>_xlfn.XLOOKUP(transakcje[[#This Row],[podkategoria]],parametr[podkategoria],parametr[kategoria])</f>
        <v>opłaty stałe</v>
      </c>
      <c r="H2035" t="str">
        <f>_xlfn.XLOOKUP(transakcje[[#This Row],[kategoria]],parametr[kategoria],parametr[typ])</f>
        <v>wydatki</v>
      </c>
      <c r="I2035" s="1">
        <f>ABS(transakcje[[#This Row],[kwota]])</f>
        <v>65.25800000000001</v>
      </c>
    </row>
    <row r="2036" spans="1:9" x14ac:dyDescent="0.3">
      <c r="A2036">
        <v>2035</v>
      </c>
      <c r="B2036">
        <v>2017</v>
      </c>
      <c r="C2036">
        <v>3</v>
      </c>
      <c r="D2036">
        <v>4</v>
      </c>
      <c r="E2036" s="1">
        <v>-5.5460000000000003</v>
      </c>
      <c r="F2036" t="s">
        <v>35</v>
      </c>
      <c r="G2036" t="str">
        <f>_xlfn.XLOOKUP(transakcje[[#This Row],[podkategoria]],parametr[podkategoria],parametr[kategoria])</f>
        <v>opłaty stałe</v>
      </c>
      <c r="H2036" t="str">
        <f>_xlfn.XLOOKUP(transakcje[[#This Row],[kategoria]],parametr[kategoria],parametr[typ])</f>
        <v>wydatki</v>
      </c>
      <c r="I2036" s="1">
        <f>ABS(transakcje[[#This Row],[kwota]])</f>
        <v>5.5460000000000003</v>
      </c>
    </row>
    <row r="2037" spans="1:9" x14ac:dyDescent="0.3">
      <c r="A2037">
        <v>2036</v>
      </c>
      <c r="B2037">
        <v>2017</v>
      </c>
      <c r="C2037">
        <v>3</v>
      </c>
      <c r="D2037">
        <v>4</v>
      </c>
      <c r="E2037" s="1">
        <v>-7.38</v>
      </c>
      <c r="F2037" t="s">
        <v>23</v>
      </c>
      <c r="G2037" t="str">
        <f>_xlfn.XLOOKUP(transakcje[[#This Row],[podkategoria]],parametr[podkategoria],parametr[kategoria])</f>
        <v>opłaty stałe</v>
      </c>
      <c r="H2037" t="str">
        <f>_xlfn.XLOOKUP(transakcje[[#This Row],[kategoria]],parametr[kategoria],parametr[typ])</f>
        <v>wydatki</v>
      </c>
      <c r="I2037" s="1">
        <f>ABS(transakcje[[#This Row],[kwota]])</f>
        <v>7.38</v>
      </c>
    </row>
    <row r="2038" spans="1:9" x14ac:dyDescent="0.3">
      <c r="A2038">
        <v>2037</v>
      </c>
      <c r="B2038">
        <v>2017</v>
      </c>
      <c r="C2038">
        <v>3</v>
      </c>
      <c r="D2038">
        <v>4</v>
      </c>
      <c r="E2038" s="1">
        <v>-16.622</v>
      </c>
      <c r="F2038" t="s">
        <v>34</v>
      </c>
      <c r="G2038" t="str">
        <f>_xlfn.XLOOKUP(transakcje[[#This Row],[podkategoria]],parametr[podkategoria],parametr[kategoria])</f>
        <v>opłaty stałe</v>
      </c>
      <c r="H2038" t="str">
        <f>_xlfn.XLOOKUP(transakcje[[#This Row],[kategoria]],parametr[kategoria],parametr[typ])</f>
        <v>wydatki</v>
      </c>
      <c r="I2038" s="1">
        <f>ABS(transakcje[[#This Row],[kwota]])</f>
        <v>16.622</v>
      </c>
    </row>
    <row r="2039" spans="1:9" x14ac:dyDescent="0.3">
      <c r="A2039">
        <v>2038</v>
      </c>
      <c r="B2039">
        <v>2017</v>
      </c>
      <c r="C2039">
        <v>3</v>
      </c>
      <c r="D2039">
        <v>4</v>
      </c>
      <c r="E2039" s="1">
        <v>-8.6</v>
      </c>
      <c r="F2039" t="s">
        <v>26</v>
      </c>
      <c r="G2039" t="str">
        <f>_xlfn.XLOOKUP(transakcje[[#This Row],[podkategoria]],parametr[podkategoria],parametr[kategoria])</f>
        <v>życie</v>
      </c>
      <c r="H2039" t="str">
        <f>_xlfn.XLOOKUP(transakcje[[#This Row],[kategoria]],parametr[kategoria],parametr[typ])</f>
        <v>wydatki</v>
      </c>
      <c r="I2039" s="1">
        <f>ABS(transakcje[[#This Row],[kwota]])</f>
        <v>8.6</v>
      </c>
    </row>
    <row r="2040" spans="1:9" x14ac:dyDescent="0.3">
      <c r="A2040">
        <v>2039</v>
      </c>
      <c r="B2040">
        <v>2017</v>
      </c>
      <c r="C2040">
        <v>3</v>
      </c>
      <c r="D2040">
        <v>4</v>
      </c>
      <c r="E2040" s="1">
        <v>-6.2140000000000004</v>
      </c>
      <c r="F2040" t="s">
        <v>25</v>
      </c>
      <c r="G2040" t="str">
        <f>_xlfn.XLOOKUP(transakcje[[#This Row],[podkategoria]],parametr[podkategoria],parametr[kategoria])</f>
        <v>opłaty stałe</v>
      </c>
      <c r="H2040" t="str">
        <f>_xlfn.XLOOKUP(transakcje[[#This Row],[kategoria]],parametr[kategoria],parametr[typ])</f>
        <v>wydatki</v>
      </c>
      <c r="I2040" s="1">
        <f>ABS(transakcje[[#This Row],[kwota]])</f>
        <v>6.2140000000000004</v>
      </c>
    </row>
    <row r="2041" spans="1:9" x14ac:dyDescent="0.3">
      <c r="A2041">
        <v>2040</v>
      </c>
      <c r="B2041">
        <v>2017</v>
      </c>
      <c r="C2041">
        <v>3</v>
      </c>
      <c r="D2041">
        <v>14</v>
      </c>
      <c r="E2041" s="1">
        <v>-0.39800000000000002</v>
      </c>
      <c r="F2041" t="s">
        <v>14</v>
      </c>
      <c r="G2041" t="str">
        <f>_xlfn.XLOOKUP(transakcje[[#This Row],[podkategoria]],parametr[podkategoria],parametr[kategoria])</f>
        <v>opłaty stałe</v>
      </c>
      <c r="H2041" t="str">
        <f>_xlfn.XLOOKUP(transakcje[[#This Row],[kategoria]],parametr[kategoria],parametr[typ])</f>
        <v>wydatki</v>
      </c>
      <c r="I2041" s="1">
        <f>ABS(transakcje[[#This Row],[kwota]])</f>
        <v>0.39800000000000002</v>
      </c>
    </row>
    <row r="2042" spans="1:9" x14ac:dyDescent="0.3">
      <c r="A2042">
        <v>2041</v>
      </c>
      <c r="B2042">
        <v>2017</v>
      </c>
      <c r="C2042">
        <v>3</v>
      </c>
      <c r="D2042">
        <v>14</v>
      </c>
      <c r="E2042" s="1">
        <v>-9.3520000000000003</v>
      </c>
      <c r="F2042" t="s">
        <v>11</v>
      </c>
      <c r="G2042" t="str">
        <f>_xlfn.XLOOKUP(transakcje[[#This Row],[podkategoria]],parametr[podkategoria],parametr[kategoria])</f>
        <v>wydatki inne</v>
      </c>
      <c r="H2042" t="str">
        <f>_xlfn.XLOOKUP(transakcje[[#This Row],[kategoria]],parametr[kategoria],parametr[typ])</f>
        <v>wydatki</v>
      </c>
      <c r="I2042" s="1">
        <f>ABS(transakcje[[#This Row],[kwota]])</f>
        <v>9.3520000000000003</v>
      </c>
    </row>
    <row r="2043" spans="1:9" x14ac:dyDescent="0.3">
      <c r="A2043">
        <v>2042</v>
      </c>
      <c r="B2043">
        <v>2017</v>
      </c>
      <c r="C2043">
        <v>3</v>
      </c>
      <c r="D2043">
        <v>16</v>
      </c>
      <c r="E2043" s="1">
        <v>-0.8</v>
      </c>
      <c r="F2043" t="s">
        <v>14</v>
      </c>
      <c r="G2043" t="str">
        <f>_xlfn.XLOOKUP(transakcje[[#This Row],[podkategoria]],parametr[podkategoria],parametr[kategoria])</f>
        <v>opłaty stałe</v>
      </c>
      <c r="H2043" t="str">
        <f>_xlfn.XLOOKUP(transakcje[[#This Row],[kategoria]],parametr[kategoria],parametr[typ])</f>
        <v>wydatki</v>
      </c>
      <c r="I2043" s="1">
        <f>ABS(transakcje[[#This Row],[kwota]])</f>
        <v>0.8</v>
      </c>
    </row>
    <row r="2044" spans="1:9" x14ac:dyDescent="0.3">
      <c r="A2044">
        <v>2043</v>
      </c>
      <c r="B2044">
        <v>2017</v>
      </c>
      <c r="C2044">
        <v>3</v>
      </c>
      <c r="D2044">
        <v>16</v>
      </c>
      <c r="E2044" s="1">
        <v>-1.9420000000000002</v>
      </c>
      <c r="F2044" t="s">
        <v>26</v>
      </c>
      <c r="G2044" t="str">
        <f>_xlfn.XLOOKUP(transakcje[[#This Row],[podkategoria]],parametr[podkategoria],parametr[kategoria])</f>
        <v>życie</v>
      </c>
      <c r="H2044" t="str">
        <f>_xlfn.XLOOKUP(transakcje[[#This Row],[kategoria]],parametr[kategoria],parametr[typ])</f>
        <v>wydatki</v>
      </c>
      <c r="I2044" s="1">
        <f>ABS(transakcje[[#This Row],[kwota]])</f>
        <v>1.9420000000000002</v>
      </c>
    </row>
    <row r="2045" spans="1:9" x14ac:dyDescent="0.3">
      <c r="A2045">
        <v>2044</v>
      </c>
      <c r="B2045">
        <v>2017</v>
      </c>
      <c r="C2045">
        <v>3</v>
      </c>
      <c r="D2045">
        <v>18</v>
      </c>
      <c r="E2045" s="1">
        <v>-49.488</v>
      </c>
      <c r="F2045" t="s">
        <v>26</v>
      </c>
      <c r="G2045" t="str">
        <f>_xlfn.XLOOKUP(transakcje[[#This Row],[podkategoria]],parametr[podkategoria],parametr[kategoria])</f>
        <v>życie</v>
      </c>
      <c r="H2045" t="str">
        <f>_xlfn.XLOOKUP(transakcje[[#This Row],[kategoria]],parametr[kategoria],parametr[typ])</f>
        <v>wydatki</v>
      </c>
      <c r="I2045" s="1">
        <f>ABS(transakcje[[#This Row],[kwota]])</f>
        <v>49.488</v>
      </c>
    </row>
    <row r="2046" spans="1:9" x14ac:dyDescent="0.3">
      <c r="A2046">
        <v>2045</v>
      </c>
      <c r="B2046">
        <v>2017</v>
      </c>
      <c r="C2046">
        <v>3</v>
      </c>
      <c r="D2046">
        <v>23</v>
      </c>
      <c r="E2046" s="1">
        <v>-11.129999999999999</v>
      </c>
      <c r="F2046" t="s">
        <v>11</v>
      </c>
      <c r="G2046" t="str">
        <f>_xlfn.XLOOKUP(transakcje[[#This Row],[podkategoria]],parametr[podkategoria],parametr[kategoria])</f>
        <v>wydatki inne</v>
      </c>
      <c r="H2046" t="str">
        <f>_xlfn.XLOOKUP(transakcje[[#This Row],[kategoria]],parametr[kategoria],parametr[typ])</f>
        <v>wydatki</v>
      </c>
      <c r="I2046" s="1">
        <f>ABS(transakcje[[#This Row],[kwota]])</f>
        <v>11.129999999999999</v>
      </c>
    </row>
    <row r="2047" spans="1:9" x14ac:dyDescent="0.3">
      <c r="A2047">
        <v>2046</v>
      </c>
      <c r="B2047">
        <v>2017</v>
      </c>
      <c r="C2047">
        <v>3</v>
      </c>
      <c r="D2047">
        <v>24</v>
      </c>
      <c r="E2047" s="1">
        <v>-1.754</v>
      </c>
      <c r="F2047" t="s">
        <v>26</v>
      </c>
      <c r="G2047" t="str">
        <f>_xlfn.XLOOKUP(transakcje[[#This Row],[podkategoria]],parametr[podkategoria],parametr[kategoria])</f>
        <v>życie</v>
      </c>
      <c r="H2047" t="str">
        <f>_xlfn.XLOOKUP(transakcje[[#This Row],[kategoria]],parametr[kategoria],parametr[typ])</f>
        <v>wydatki</v>
      </c>
      <c r="I2047" s="1">
        <f>ABS(transakcje[[#This Row],[kwota]])</f>
        <v>1.754</v>
      </c>
    </row>
    <row r="2048" spans="1:9" x14ac:dyDescent="0.3">
      <c r="A2048">
        <v>2047</v>
      </c>
      <c r="B2048">
        <v>2017</v>
      </c>
      <c r="C2048">
        <v>3</v>
      </c>
      <c r="D2048">
        <v>27</v>
      </c>
      <c r="E2048" s="1">
        <v>-19.8</v>
      </c>
      <c r="F2048" t="s">
        <v>32</v>
      </c>
      <c r="G2048" t="str">
        <f>_xlfn.XLOOKUP(transakcje[[#This Row],[podkategoria]],parametr[podkategoria],parametr[kategoria])</f>
        <v>opłaty stałe</v>
      </c>
      <c r="H2048" t="str">
        <f>_xlfn.XLOOKUP(transakcje[[#This Row],[kategoria]],parametr[kategoria],parametr[typ])</f>
        <v>wydatki</v>
      </c>
      <c r="I2048" s="1">
        <f>ABS(transakcje[[#This Row],[kwota]])</f>
        <v>19.8</v>
      </c>
    </row>
    <row r="2049" spans="1:9" x14ac:dyDescent="0.3">
      <c r="A2049">
        <v>2048</v>
      </c>
      <c r="B2049">
        <v>2017</v>
      </c>
      <c r="C2049">
        <v>3</v>
      </c>
      <c r="D2049">
        <v>27</v>
      </c>
      <c r="E2049" s="1">
        <v>482.65800000000002</v>
      </c>
      <c r="F2049" t="s">
        <v>8</v>
      </c>
      <c r="G2049" t="str">
        <f>_xlfn.XLOOKUP(transakcje[[#This Row],[podkategoria]],parametr[podkategoria],parametr[kategoria])</f>
        <v>dochody z pracy</v>
      </c>
      <c r="H2049" t="str">
        <f>_xlfn.XLOOKUP(transakcje[[#This Row],[kategoria]],parametr[kategoria],parametr[typ])</f>
        <v>dochody</v>
      </c>
      <c r="I2049" s="1">
        <f>ABS(transakcje[[#This Row],[kwota]])</f>
        <v>482.65800000000002</v>
      </c>
    </row>
    <row r="2050" spans="1:9" x14ac:dyDescent="0.3">
      <c r="A2050">
        <v>2049</v>
      </c>
      <c r="B2050">
        <v>2017</v>
      </c>
      <c r="C2050">
        <v>3</v>
      </c>
      <c r="D2050">
        <v>30</v>
      </c>
      <c r="E2050" s="1">
        <v>-8.5299999999999994</v>
      </c>
      <c r="F2050" t="s">
        <v>26</v>
      </c>
      <c r="G2050" t="str">
        <f>_xlfn.XLOOKUP(transakcje[[#This Row],[podkategoria]],parametr[podkategoria],parametr[kategoria])</f>
        <v>życie</v>
      </c>
      <c r="H2050" t="str">
        <f>_xlfn.XLOOKUP(transakcje[[#This Row],[kategoria]],parametr[kategoria],parametr[typ])</f>
        <v>wydatki</v>
      </c>
      <c r="I2050" s="1">
        <f>ABS(transakcje[[#This Row],[kwota]])</f>
        <v>8.5299999999999994</v>
      </c>
    </row>
    <row r="2051" spans="1:9" x14ac:dyDescent="0.3">
      <c r="A2051">
        <v>2050</v>
      </c>
      <c r="B2051">
        <v>2017</v>
      </c>
      <c r="C2051">
        <v>3</v>
      </c>
      <c r="D2051">
        <v>31</v>
      </c>
      <c r="E2051" s="1">
        <v>2E-3</v>
      </c>
      <c r="F2051" t="s">
        <v>17</v>
      </c>
      <c r="G2051" t="str">
        <f>_xlfn.XLOOKUP(transakcje[[#This Row],[podkategoria]],parametr[podkategoria],parametr[kategoria])</f>
        <v>dochody pozostałe</v>
      </c>
      <c r="H2051" t="str">
        <f>_xlfn.XLOOKUP(transakcje[[#This Row],[kategoria]],parametr[kategoria],parametr[typ])</f>
        <v>dochody</v>
      </c>
      <c r="I2051" s="1">
        <f>ABS(transakcje[[#This Row],[kwota]])</f>
        <v>2E-3</v>
      </c>
    </row>
    <row r="2052" spans="1:9" x14ac:dyDescent="0.3">
      <c r="A2052">
        <v>2051</v>
      </c>
      <c r="B2052">
        <v>2017</v>
      </c>
      <c r="C2052">
        <v>3</v>
      </c>
      <c r="D2052">
        <v>31</v>
      </c>
      <c r="E2052" s="1">
        <v>-1.198</v>
      </c>
      <c r="F2052" t="s">
        <v>14</v>
      </c>
      <c r="G2052" t="str">
        <f>_xlfn.XLOOKUP(transakcje[[#This Row],[podkategoria]],parametr[podkategoria],parametr[kategoria])</f>
        <v>opłaty stałe</v>
      </c>
      <c r="H2052" t="str">
        <f>_xlfn.XLOOKUP(transakcje[[#This Row],[kategoria]],parametr[kategoria],parametr[typ])</f>
        <v>wydatki</v>
      </c>
      <c r="I2052" s="1">
        <f>ABS(transakcje[[#This Row],[kwota]])</f>
        <v>1.198</v>
      </c>
    </row>
    <row r="2053" spans="1:9" x14ac:dyDescent="0.3">
      <c r="A2053">
        <v>2052</v>
      </c>
      <c r="B2053">
        <v>2017</v>
      </c>
      <c r="C2053">
        <v>3</v>
      </c>
      <c r="D2053">
        <v>31</v>
      </c>
      <c r="E2053" s="1">
        <v>-0.2</v>
      </c>
      <c r="F2053" t="s">
        <v>14</v>
      </c>
      <c r="G2053" t="str">
        <f>_xlfn.XLOOKUP(transakcje[[#This Row],[podkategoria]],parametr[podkategoria],parametr[kategoria])</f>
        <v>opłaty stałe</v>
      </c>
      <c r="H2053" t="str">
        <f>_xlfn.XLOOKUP(transakcje[[#This Row],[kategoria]],parametr[kategoria],parametr[typ])</f>
        <v>wydatki</v>
      </c>
      <c r="I2053" s="1">
        <f>ABS(transakcje[[#This Row],[kwota]])</f>
        <v>0.2</v>
      </c>
    </row>
    <row r="2054" spans="1:9" x14ac:dyDescent="0.3">
      <c r="A2054">
        <v>2053</v>
      </c>
      <c r="B2054">
        <v>2017</v>
      </c>
      <c r="C2054">
        <v>3</v>
      </c>
      <c r="D2054">
        <v>31</v>
      </c>
      <c r="E2054" s="1">
        <v>-2E-3</v>
      </c>
      <c r="F2054" t="s">
        <v>14</v>
      </c>
      <c r="G2054" t="str">
        <f>_xlfn.XLOOKUP(transakcje[[#This Row],[podkategoria]],parametr[podkategoria],parametr[kategoria])</f>
        <v>opłaty stałe</v>
      </c>
      <c r="H2054" t="str">
        <f>_xlfn.XLOOKUP(transakcje[[#This Row],[kategoria]],parametr[kategoria],parametr[typ])</f>
        <v>wydatki</v>
      </c>
      <c r="I2054" s="1">
        <f>ABS(transakcje[[#This Row],[kwota]])</f>
        <v>2E-3</v>
      </c>
    </row>
    <row r="2055" spans="1:9" x14ac:dyDescent="0.3">
      <c r="A2055">
        <v>2054</v>
      </c>
      <c r="B2055">
        <v>2017</v>
      </c>
      <c r="C2055">
        <v>3</v>
      </c>
      <c r="D2055">
        <v>31</v>
      </c>
      <c r="E2055" s="1">
        <v>-2.5019999999999998</v>
      </c>
      <c r="F2055" t="s">
        <v>26</v>
      </c>
      <c r="G2055" t="str">
        <f>_xlfn.XLOOKUP(transakcje[[#This Row],[podkategoria]],parametr[podkategoria],parametr[kategoria])</f>
        <v>życie</v>
      </c>
      <c r="H2055" t="str">
        <f>_xlfn.XLOOKUP(transakcje[[#This Row],[kategoria]],parametr[kategoria],parametr[typ])</f>
        <v>wydatki</v>
      </c>
      <c r="I2055" s="1">
        <f>ABS(transakcje[[#This Row],[kwota]])</f>
        <v>2.5019999999999998</v>
      </c>
    </row>
    <row r="2056" spans="1:9" x14ac:dyDescent="0.3">
      <c r="A2056">
        <v>2055</v>
      </c>
      <c r="B2056">
        <v>2017</v>
      </c>
      <c r="C2056">
        <v>4</v>
      </c>
      <c r="D2056">
        <v>1</v>
      </c>
      <c r="E2056" s="1">
        <v>-4.54</v>
      </c>
      <c r="F2056" t="s">
        <v>37</v>
      </c>
      <c r="G2056" t="str">
        <f>_xlfn.XLOOKUP(transakcje[[#This Row],[podkategoria]],parametr[podkategoria],parametr[kategoria])</f>
        <v>opłaty stałe</v>
      </c>
      <c r="H2056" t="str">
        <f>_xlfn.XLOOKUP(transakcje[[#This Row],[kategoria]],parametr[kategoria],parametr[typ])</f>
        <v>wydatki</v>
      </c>
      <c r="I2056" s="1">
        <f>ABS(transakcje[[#This Row],[kwota]])</f>
        <v>4.54</v>
      </c>
    </row>
    <row r="2057" spans="1:9" x14ac:dyDescent="0.3">
      <c r="A2057">
        <v>2056</v>
      </c>
      <c r="B2057">
        <v>2017</v>
      </c>
      <c r="C2057">
        <v>4</v>
      </c>
      <c r="D2057">
        <v>1</v>
      </c>
      <c r="E2057" s="1">
        <v>-66.058000000000007</v>
      </c>
      <c r="F2057" t="s">
        <v>31</v>
      </c>
      <c r="G2057" t="str">
        <f>_xlfn.XLOOKUP(transakcje[[#This Row],[podkategoria]],parametr[podkategoria],parametr[kategoria])</f>
        <v>opłaty stałe</v>
      </c>
      <c r="H2057" t="str">
        <f>_xlfn.XLOOKUP(transakcje[[#This Row],[kategoria]],parametr[kategoria],parametr[typ])</f>
        <v>wydatki</v>
      </c>
      <c r="I2057" s="1">
        <f>ABS(transakcje[[#This Row],[kwota]])</f>
        <v>66.058000000000007</v>
      </c>
    </row>
    <row r="2058" spans="1:9" x14ac:dyDescent="0.3">
      <c r="A2058">
        <v>2057</v>
      </c>
      <c r="B2058">
        <v>2017</v>
      </c>
      <c r="C2058">
        <v>4</v>
      </c>
      <c r="D2058">
        <v>1</v>
      </c>
      <c r="E2058" s="1">
        <v>-7.38</v>
      </c>
      <c r="F2058" t="s">
        <v>23</v>
      </c>
      <c r="G2058" t="str">
        <f>_xlfn.XLOOKUP(transakcje[[#This Row],[podkategoria]],parametr[podkategoria],parametr[kategoria])</f>
        <v>opłaty stałe</v>
      </c>
      <c r="H2058" t="str">
        <f>_xlfn.XLOOKUP(transakcje[[#This Row],[kategoria]],parametr[kategoria],parametr[typ])</f>
        <v>wydatki</v>
      </c>
      <c r="I2058" s="1">
        <f>ABS(transakcje[[#This Row],[kwota]])</f>
        <v>7.38</v>
      </c>
    </row>
    <row r="2059" spans="1:9" x14ac:dyDescent="0.3">
      <c r="A2059">
        <v>2058</v>
      </c>
      <c r="B2059">
        <v>2017</v>
      </c>
      <c r="C2059">
        <v>4</v>
      </c>
      <c r="D2059">
        <v>1</v>
      </c>
      <c r="E2059" s="1">
        <v>-6.194</v>
      </c>
      <c r="F2059" t="s">
        <v>25</v>
      </c>
      <c r="G2059" t="str">
        <f>_xlfn.XLOOKUP(transakcje[[#This Row],[podkategoria]],parametr[podkategoria],parametr[kategoria])</f>
        <v>opłaty stałe</v>
      </c>
      <c r="H2059" t="str">
        <f>_xlfn.XLOOKUP(transakcje[[#This Row],[kategoria]],parametr[kategoria],parametr[typ])</f>
        <v>wydatki</v>
      </c>
      <c r="I2059" s="1">
        <f>ABS(transakcje[[#This Row],[kwota]])</f>
        <v>6.194</v>
      </c>
    </row>
    <row r="2060" spans="1:9" x14ac:dyDescent="0.3">
      <c r="A2060">
        <v>2059</v>
      </c>
      <c r="B2060">
        <v>2017</v>
      </c>
      <c r="C2060">
        <v>4</v>
      </c>
      <c r="D2060">
        <v>4</v>
      </c>
      <c r="E2060" s="1">
        <v>-9.2140000000000004</v>
      </c>
      <c r="F2060" t="s">
        <v>26</v>
      </c>
      <c r="G2060" t="str">
        <f>_xlfn.XLOOKUP(transakcje[[#This Row],[podkategoria]],parametr[podkategoria],parametr[kategoria])</f>
        <v>życie</v>
      </c>
      <c r="H2060" t="str">
        <f>_xlfn.XLOOKUP(transakcje[[#This Row],[kategoria]],parametr[kategoria],parametr[typ])</f>
        <v>wydatki</v>
      </c>
      <c r="I2060" s="1">
        <f>ABS(transakcje[[#This Row],[kwota]])</f>
        <v>9.2140000000000004</v>
      </c>
    </row>
    <row r="2061" spans="1:9" x14ac:dyDescent="0.3">
      <c r="A2061">
        <v>2060</v>
      </c>
      <c r="B2061">
        <v>2017</v>
      </c>
      <c r="C2061">
        <v>4</v>
      </c>
      <c r="D2061">
        <v>7</v>
      </c>
      <c r="E2061" s="1">
        <v>-0.84000000000000008</v>
      </c>
      <c r="F2061" t="s">
        <v>26</v>
      </c>
      <c r="G2061" t="str">
        <f>_xlfn.XLOOKUP(transakcje[[#This Row],[podkategoria]],parametr[podkategoria],parametr[kategoria])</f>
        <v>życie</v>
      </c>
      <c r="H2061" t="str">
        <f>_xlfn.XLOOKUP(transakcje[[#This Row],[kategoria]],parametr[kategoria],parametr[typ])</f>
        <v>wydatki</v>
      </c>
      <c r="I2061" s="1">
        <f>ABS(transakcje[[#This Row],[kwota]])</f>
        <v>0.84000000000000008</v>
      </c>
    </row>
    <row r="2062" spans="1:9" x14ac:dyDescent="0.3">
      <c r="A2062">
        <v>2061</v>
      </c>
      <c r="B2062">
        <v>2017</v>
      </c>
      <c r="C2062">
        <v>4</v>
      </c>
      <c r="D2062">
        <v>7</v>
      </c>
      <c r="E2062" s="1">
        <v>-5.1159999999999997</v>
      </c>
      <c r="F2062" t="s">
        <v>26</v>
      </c>
      <c r="G2062" t="str">
        <f>_xlfn.XLOOKUP(transakcje[[#This Row],[podkategoria]],parametr[podkategoria],parametr[kategoria])</f>
        <v>życie</v>
      </c>
      <c r="H2062" t="str">
        <f>_xlfn.XLOOKUP(transakcje[[#This Row],[kategoria]],parametr[kategoria],parametr[typ])</f>
        <v>wydatki</v>
      </c>
      <c r="I2062" s="1">
        <f>ABS(transakcje[[#This Row],[kwota]])</f>
        <v>5.1159999999999997</v>
      </c>
    </row>
    <row r="2063" spans="1:9" x14ac:dyDescent="0.3">
      <c r="A2063">
        <v>2062</v>
      </c>
      <c r="B2063">
        <v>2017</v>
      </c>
      <c r="C2063">
        <v>4</v>
      </c>
      <c r="D2063">
        <v>7</v>
      </c>
      <c r="E2063" s="1">
        <v>-2.044</v>
      </c>
      <c r="F2063" t="s">
        <v>26</v>
      </c>
      <c r="G2063" t="str">
        <f>_xlfn.XLOOKUP(transakcje[[#This Row],[podkategoria]],parametr[podkategoria],parametr[kategoria])</f>
        <v>życie</v>
      </c>
      <c r="H2063" t="str">
        <f>_xlfn.XLOOKUP(transakcje[[#This Row],[kategoria]],parametr[kategoria],parametr[typ])</f>
        <v>wydatki</v>
      </c>
      <c r="I2063" s="1">
        <f>ABS(transakcje[[#This Row],[kwota]])</f>
        <v>2.044</v>
      </c>
    </row>
    <row r="2064" spans="1:9" x14ac:dyDescent="0.3">
      <c r="A2064">
        <v>2063</v>
      </c>
      <c r="B2064">
        <v>2017</v>
      </c>
      <c r="C2064">
        <v>4</v>
      </c>
      <c r="D2064">
        <v>9</v>
      </c>
      <c r="E2064" s="1">
        <v>10.686</v>
      </c>
      <c r="F2064" t="s">
        <v>17</v>
      </c>
      <c r="G2064" t="str">
        <f>_xlfn.XLOOKUP(transakcje[[#This Row],[podkategoria]],parametr[podkategoria],parametr[kategoria])</f>
        <v>dochody pozostałe</v>
      </c>
      <c r="H2064" t="str">
        <f>_xlfn.XLOOKUP(transakcje[[#This Row],[kategoria]],parametr[kategoria],parametr[typ])</f>
        <v>dochody</v>
      </c>
      <c r="I2064" s="1">
        <f>ABS(transakcje[[#This Row],[kwota]])</f>
        <v>10.686</v>
      </c>
    </row>
    <row r="2065" spans="1:9" x14ac:dyDescent="0.3">
      <c r="A2065">
        <v>2064</v>
      </c>
      <c r="B2065">
        <v>2017</v>
      </c>
      <c r="C2065">
        <v>4</v>
      </c>
      <c r="D2065">
        <v>10</v>
      </c>
      <c r="E2065" s="1">
        <v>-0.76400000000000001</v>
      </c>
      <c r="F2065" t="s">
        <v>26</v>
      </c>
      <c r="G2065" t="str">
        <f>_xlfn.XLOOKUP(transakcje[[#This Row],[podkategoria]],parametr[podkategoria],parametr[kategoria])</f>
        <v>życie</v>
      </c>
      <c r="H2065" t="str">
        <f>_xlfn.XLOOKUP(transakcje[[#This Row],[kategoria]],parametr[kategoria],parametr[typ])</f>
        <v>wydatki</v>
      </c>
      <c r="I2065" s="1">
        <f>ABS(transakcje[[#This Row],[kwota]])</f>
        <v>0.76400000000000001</v>
      </c>
    </row>
    <row r="2066" spans="1:9" x14ac:dyDescent="0.3">
      <c r="A2066">
        <v>2065</v>
      </c>
      <c r="B2066">
        <v>2017</v>
      </c>
      <c r="C2066">
        <v>4</v>
      </c>
      <c r="D2066">
        <v>13</v>
      </c>
      <c r="E2066" s="1">
        <v>-1.8660000000000001</v>
      </c>
      <c r="F2066" t="s">
        <v>26</v>
      </c>
      <c r="G2066" t="str">
        <f>_xlfn.XLOOKUP(transakcje[[#This Row],[podkategoria]],parametr[podkategoria],parametr[kategoria])</f>
        <v>życie</v>
      </c>
      <c r="H2066" t="str">
        <f>_xlfn.XLOOKUP(transakcje[[#This Row],[kategoria]],parametr[kategoria],parametr[typ])</f>
        <v>wydatki</v>
      </c>
      <c r="I2066" s="1">
        <f>ABS(transakcje[[#This Row],[kwota]])</f>
        <v>1.8660000000000001</v>
      </c>
    </row>
    <row r="2067" spans="1:9" x14ac:dyDescent="0.3">
      <c r="A2067">
        <v>2066</v>
      </c>
      <c r="B2067">
        <v>2017</v>
      </c>
      <c r="C2067">
        <v>4</v>
      </c>
      <c r="D2067">
        <v>14</v>
      </c>
      <c r="E2067" s="1">
        <v>-0.39800000000000002</v>
      </c>
      <c r="F2067" t="s">
        <v>14</v>
      </c>
      <c r="G2067" t="str">
        <f>_xlfn.XLOOKUP(transakcje[[#This Row],[podkategoria]],parametr[podkategoria],parametr[kategoria])</f>
        <v>opłaty stałe</v>
      </c>
      <c r="H2067" t="str">
        <f>_xlfn.XLOOKUP(transakcje[[#This Row],[kategoria]],parametr[kategoria],parametr[typ])</f>
        <v>wydatki</v>
      </c>
      <c r="I2067" s="1">
        <f>ABS(transakcje[[#This Row],[kwota]])</f>
        <v>0.39800000000000002</v>
      </c>
    </row>
    <row r="2068" spans="1:9" x14ac:dyDescent="0.3">
      <c r="A2068">
        <v>2067</v>
      </c>
      <c r="B2068">
        <v>2017</v>
      </c>
      <c r="C2068">
        <v>4</v>
      </c>
      <c r="D2068">
        <v>16</v>
      </c>
      <c r="E2068" s="1">
        <v>-0.8</v>
      </c>
      <c r="F2068" t="s">
        <v>14</v>
      </c>
      <c r="G2068" t="str">
        <f>_xlfn.XLOOKUP(transakcje[[#This Row],[podkategoria]],parametr[podkategoria],parametr[kategoria])</f>
        <v>opłaty stałe</v>
      </c>
      <c r="H2068" t="str">
        <f>_xlfn.XLOOKUP(transakcje[[#This Row],[kategoria]],parametr[kategoria],parametr[typ])</f>
        <v>wydatki</v>
      </c>
      <c r="I2068" s="1">
        <f>ABS(transakcje[[#This Row],[kwota]])</f>
        <v>0.8</v>
      </c>
    </row>
    <row r="2069" spans="1:9" x14ac:dyDescent="0.3">
      <c r="A2069">
        <v>2068</v>
      </c>
      <c r="B2069">
        <v>2017</v>
      </c>
      <c r="C2069">
        <v>4</v>
      </c>
      <c r="D2069">
        <v>18</v>
      </c>
      <c r="E2069" s="1">
        <v>55.820000000000007</v>
      </c>
      <c r="F2069" t="s">
        <v>19</v>
      </c>
      <c r="G2069" t="str">
        <f>_xlfn.XLOOKUP(transakcje[[#This Row],[podkategoria]],parametr[podkategoria],parametr[kategoria])</f>
        <v>dochody z pracy</v>
      </c>
      <c r="H2069" t="str">
        <f>_xlfn.XLOOKUP(transakcje[[#This Row],[kategoria]],parametr[kategoria],parametr[typ])</f>
        <v>dochody</v>
      </c>
      <c r="I2069" s="1">
        <f>ABS(transakcje[[#This Row],[kwota]])</f>
        <v>55.820000000000007</v>
      </c>
    </row>
    <row r="2070" spans="1:9" x14ac:dyDescent="0.3">
      <c r="A2070">
        <v>2069</v>
      </c>
      <c r="B2070">
        <v>2017</v>
      </c>
      <c r="C2070">
        <v>4</v>
      </c>
      <c r="D2070">
        <v>18</v>
      </c>
      <c r="E2070" s="1">
        <v>-33.06</v>
      </c>
      <c r="F2070" t="s">
        <v>26</v>
      </c>
      <c r="G2070" t="str">
        <f>_xlfn.XLOOKUP(transakcje[[#This Row],[podkategoria]],parametr[podkategoria],parametr[kategoria])</f>
        <v>życie</v>
      </c>
      <c r="H2070" t="str">
        <f>_xlfn.XLOOKUP(transakcje[[#This Row],[kategoria]],parametr[kategoria],parametr[typ])</f>
        <v>wydatki</v>
      </c>
      <c r="I2070" s="1">
        <f>ABS(transakcje[[#This Row],[kwota]])</f>
        <v>33.06</v>
      </c>
    </row>
    <row r="2071" spans="1:9" x14ac:dyDescent="0.3">
      <c r="A2071">
        <v>2070</v>
      </c>
      <c r="B2071">
        <v>2017</v>
      </c>
      <c r="C2071">
        <v>4</v>
      </c>
      <c r="D2071">
        <v>19</v>
      </c>
      <c r="E2071" s="1">
        <v>-2</v>
      </c>
      <c r="F2071" t="s">
        <v>11</v>
      </c>
      <c r="G2071" t="str">
        <f>_xlfn.XLOOKUP(transakcje[[#This Row],[podkategoria]],parametr[podkategoria],parametr[kategoria])</f>
        <v>wydatki inne</v>
      </c>
      <c r="H2071" t="str">
        <f>_xlfn.XLOOKUP(transakcje[[#This Row],[kategoria]],parametr[kategoria],parametr[typ])</f>
        <v>wydatki</v>
      </c>
      <c r="I2071" s="1">
        <f>ABS(transakcje[[#This Row],[kwota]])</f>
        <v>2</v>
      </c>
    </row>
    <row r="2072" spans="1:9" x14ac:dyDescent="0.3">
      <c r="A2072">
        <v>2071</v>
      </c>
      <c r="B2072">
        <v>2017</v>
      </c>
      <c r="C2072">
        <v>4</v>
      </c>
      <c r="D2072">
        <v>21</v>
      </c>
      <c r="E2072" s="1">
        <v>-3</v>
      </c>
      <c r="F2072" t="s">
        <v>26</v>
      </c>
      <c r="G2072" t="str">
        <f>_xlfn.XLOOKUP(transakcje[[#This Row],[podkategoria]],parametr[podkategoria],parametr[kategoria])</f>
        <v>życie</v>
      </c>
      <c r="H2072" t="str">
        <f>_xlfn.XLOOKUP(transakcje[[#This Row],[kategoria]],parametr[kategoria],parametr[typ])</f>
        <v>wydatki</v>
      </c>
      <c r="I2072" s="1">
        <f>ABS(transakcje[[#This Row],[kwota]])</f>
        <v>3</v>
      </c>
    </row>
    <row r="2073" spans="1:9" x14ac:dyDescent="0.3">
      <c r="A2073">
        <v>2072</v>
      </c>
      <c r="B2073">
        <v>2017</v>
      </c>
      <c r="C2073">
        <v>4</v>
      </c>
      <c r="D2073">
        <v>23</v>
      </c>
      <c r="E2073" s="1">
        <v>-46.4</v>
      </c>
      <c r="F2073" t="s">
        <v>30</v>
      </c>
      <c r="G2073" t="str">
        <f>_xlfn.XLOOKUP(transakcje[[#This Row],[podkategoria]],parametr[podkategoria],parametr[kategoria])</f>
        <v>opłaty stałe</v>
      </c>
      <c r="H2073" t="str">
        <f>_xlfn.XLOOKUP(transakcje[[#This Row],[kategoria]],parametr[kategoria],parametr[typ])</f>
        <v>wydatki</v>
      </c>
      <c r="I2073" s="1">
        <f>ABS(transakcje[[#This Row],[kwota]])</f>
        <v>46.4</v>
      </c>
    </row>
    <row r="2074" spans="1:9" x14ac:dyDescent="0.3">
      <c r="A2074">
        <v>2073</v>
      </c>
      <c r="B2074">
        <v>2017</v>
      </c>
      <c r="C2074">
        <v>4</v>
      </c>
      <c r="D2074">
        <v>26</v>
      </c>
      <c r="E2074" s="1">
        <v>-19.8</v>
      </c>
      <c r="F2074" t="s">
        <v>32</v>
      </c>
      <c r="G2074" t="str">
        <f>_xlfn.XLOOKUP(transakcje[[#This Row],[podkategoria]],parametr[podkategoria],parametr[kategoria])</f>
        <v>opłaty stałe</v>
      </c>
      <c r="H2074" t="str">
        <f>_xlfn.XLOOKUP(transakcje[[#This Row],[kategoria]],parametr[kategoria],parametr[typ])</f>
        <v>wydatki</v>
      </c>
      <c r="I2074" s="1">
        <f>ABS(transakcje[[#This Row],[kwota]])</f>
        <v>19.8</v>
      </c>
    </row>
    <row r="2075" spans="1:9" x14ac:dyDescent="0.3">
      <c r="A2075">
        <v>2074</v>
      </c>
      <c r="B2075">
        <v>2017</v>
      </c>
      <c r="C2075">
        <v>4</v>
      </c>
      <c r="D2075">
        <v>26</v>
      </c>
      <c r="E2075" s="1">
        <v>482.65600000000006</v>
      </c>
      <c r="F2075" t="s">
        <v>8</v>
      </c>
      <c r="G2075" t="str">
        <f>_xlfn.XLOOKUP(transakcje[[#This Row],[podkategoria]],parametr[podkategoria],parametr[kategoria])</f>
        <v>dochody z pracy</v>
      </c>
      <c r="H2075" t="str">
        <f>_xlfn.XLOOKUP(transakcje[[#This Row],[kategoria]],parametr[kategoria],parametr[typ])</f>
        <v>dochody</v>
      </c>
      <c r="I2075" s="1">
        <f>ABS(transakcje[[#This Row],[kwota]])</f>
        <v>482.65600000000006</v>
      </c>
    </row>
    <row r="2076" spans="1:9" x14ac:dyDescent="0.3">
      <c r="A2076">
        <v>2075</v>
      </c>
      <c r="B2076">
        <v>2017</v>
      </c>
      <c r="C2076">
        <v>4</v>
      </c>
      <c r="D2076">
        <v>28</v>
      </c>
      <c r="E2076" s="1">
        <v>-3.9979999999999998</v>
      </c>
      <c r="F2076" t="s">
        <v>26</v>
      </c>
      <c r="G2076" t="str">
        <f>_xlfn.XLOOKUP(transakcje[[#This Row],[podkategoria]],parametr[podkategoria],parametr[kategoria])</f>
        <v>życie</v>
      </c>
      <c r="H2076" t="str">
        <f>_xlfn.XLOOKUP(transakcje[[#This Row],[kategoria]],parametr[kategoria],parametr[typ])</f>
        <v>wydatki</v>
      </c>
      <c r="I2076" s="1">
        <f>ABS(transakcje[[#This Row],[kwota]])</f>
        <v>3.9979999999999998</v>
      </c>
    </row>
    <row r="2077" spans="1:9" x14ac:dyDescent="0.3">
      <c r="A2077">
        <v>2076</v>
      </c>
      <c r="B2077">
        <v>2017</v>
      </c>
      <c r="C2077">
        <v>4</v>
      </c>
      <c r="D2077">
        <v>29</v>
      </c>
      <c r="E2077" s="1">
        <v>-4.1479999999999997</v>
      </c>
      <c r="F2077" t="s">
        <v>26</v>
      </c>
      <c r="G2077" t="str">
        <f>_xlfn.XLOOKUP(transakcje[[#This Row],[podkategoria]],parametr[podkategoria],parametr[kategoria])</f>
        <v>życie</v>
      </c>
      <c r="H2077" t="str">
        <f>_xlfn.XLOOKUP(transakcje[[#This Row],[kategoria]],parametr[kategoria],parametr[typ])</f>
        <v>wydatki</v>
      </c>
      <c r="I2077" s="1">
        <f>ABS(transakcje[[#This Row],[kwota]])</f>
        <v>4.1479999999999997</v>
      </c>
    </row>
    <row r="2078" spans="1:9" x14ac:dyDescent="0.3">
      <c r="A2078">
        <v>2077</v>
      </c>
      <c r="B2078">
        <v>2017</v>
      </c>
      <c r="C2078">
        <v>4</v>
      </c>
      <c r="D2078">
        <v>30</v>
      </c>
      <c r="E2078" s="1">
        <v>2E-3</v>
      </c>
      <c r="F2078" t="s">
        <v>17</v>
      </c>
      <c r="G2078" t="str">
        <f>_xlfn.XLOOKUP(transakcje[[#This Row],[podkategoria]],parametr[podkategoria],parametr[kategoria])</f>
        <v>dochody pozostałe</v>
      </c>
      <c r="H2078" t="str">
        <f>_xlfn.XLOOKUP(transakcje[[#This Row],[kategoria]],parametr[kategoria],parametr[typ])</f>
        <v>dochody</v>
      </c>
      <c r="I2078" s="1">
        <f>ABS(transakcje[[#This Row],[kwota]])</f>
        <v>2E-3</v>
      </c>
    </row>
    <row r="2079" spans="1:9" x14ac:dyDescent="0.3">
      <c r="A2079">
        <v>2078</v>
      </c>
      <c r="B2079">
        <v>2017</v>
      </c>
      <c r="C2079">
        <v>4</v>
      </c>
      <c r="D2079">
        <v>30</v>
      </c>
      <c r="E2079" s="1">
        <v>-1.198</v>
      </c>
      <c r="F2079" t="s">
        <v>14</v>
      </c>
      <c r="G2079" t="str">
        <f>_xlfn.XLOOKUP(transakcje[[#This Row],[podkategoria]],parametr[podkategoria],parametr[kategoria])</f>
        <v>opłaty stałe</v>
      </c>
      <c r="H2079" t="str">
        <f>_xlfn.XLOOKUP(transakcje[[#This Row],[kategoria]],parametr[kategoria],parametr[typ])</f>
        <v>wydatki</v>
      </c>
      <c r="I2079" s="1">
        <f>ABS(transakcje[[#This Row],[kwota]])</f>
        <v>1.198</v>
      </c>
    </row>
    <row r="2080" spans="1:9" x14ac:dyDescent="0.3">
      <c r="A2080">
        <v>2079</v>
      </c>
      <c r="B2080">
        <v>2017</v>
      </c>
      <c r="C2080">
        <v>4</v>
      </c>
      <c r="D2080">
        <v>30</v>
      </c>
      <c r="E2080" s="1">
        <v>-0.8</v>
      </c>
      <c r="F2080" t="s">
        <v>14</v>
      </c>
      <c r="G2080" t="str">
        <f>_xlfn.XLOOKUP(transakcje[[#This Row],[podkategoria]],parametr[podkategoria],parametr[kategoria])</f>
        <v>opłaty stałe</v>
      </c>
      <c r="H2080" t="str">
        <f>_xlfn.XLOOKUP(transakcje[[#This Row],[kategoria]],parametr[kategoria],parametr[typ])</f>
        <v>wydatki</v>
      </c>
      <c r="I2080" s="1">
        <f>ABS(transakcje[[#This Row],[kwota]])</f>
        <v>0.8</v>
      </c>
    </row>
    <row r="2081" spans="1:9" x14ac:dyDescent="0.3">
      <c r="A2081">
        <v>2080</v>
      </c>
      <c r="B2081">
        <v>2017</v>
      </c>
      <c r="C2081">
        <v>4</v>
      </c>
      <c r="D2081">
        <v>30</v>
      </c>
      <c r="E2081" s="1">
        <v>-2E-3</v>
      </c>
      <c r="F2081" t="s">
        <v>14</v>
      </c>
      <c r="G2081" t="str">
        <f>_xlfn.XLOOKUP(transakcje[[#This Row],[podkategoria]],parametr[podkategoria],parametr[kategoria])</f>
        <v>opłaty stałe</v>
      </c>
      <c r="H2081" t="str">
        <f>_xlfn.XLOOKUP(transakcje[[#This Row],[kategoria]],parametr[kategoria],parametr[typ])</f>
        <v>wydatki</v>
      </c>
      <c r="I2081" s="1">
        <f>ABS(transakcje[[#This Row],[kwota]])</f>
        <v>2E-3</v>
      </c>
    </row>
    <row r="2082" spans="1:9" x14ac:dyDescent="0.3">
      <c r="A2082">
        <v>2081</v>
      </c>
      <c r="B2082">
        <v>2017</v>
      </c>
      <c r="C2082">
        <v>5</v>
      </c>
      <c r="D2082">
        <v>1</v>
      </c>
      <c r="E2082" s="1">
        <v>-35.200000000000003</v>
      </c>
      <c r="F2082" t="s">
        <v>29</v>
      </c>
      <c r="G2082" t="str">
        <f>_xlfn.XLOOKUP(transakcje[[#This Row],[podkategoria]],parametr[podkategoria],parametr[kategoria])</f>
        <v>opłaty stałe</v>
      </c>
      <c r="H2082" t="str">
        <f>_xlfn.XLOOKUP(transakcje[[#This Row],[kategoria]],parametr[kategoria],parametr[typ])</f>
        <v>wydatki</v>
      </c>
      <c r="I2082" s="1">
        <f>ABS(transakcje[[#This Row],[kwota]])</f>
        <v>35.200000000000003</v>
      </c>
    </row>
    <row r="2083" spans="1:9" x14ac:dyDescent="0.3">
      <c r="A2083">
        <v>2082</v>
      </c>
      <c r="B2083">
        <v>2017</v>
      </c>
      <c r="C2083">
        <v>5</v>
      </c>
      <c r="D2083">
        <v>1</v>
      </c>
      <c r="E2083" s="1">
        <v>-4.54</v>
      </c>
      <c r="F2083" t="s">
        <v>37</v>
      </c>
      <c r="G2083" t="str">
        <f>_xlfn.XLOOKUP(transakcje[[#This Row],[podkategoria]],parametr[podkategoria],parametr[kategoria])</f>
        <v>opłaty stałe</v>
      </c>
      <c r="H2083" t="str">
        <f>_xlfn.XLOOKUP(transakcje[[#This Row],[kategoria]],parametr[kategoria],parametr[typ])</f>
        <v>wydatki</v>
      </c>
      <c r="I2083" s="1">
        <f>ABS(transakcje[[#This Row],[kwota]])</f>
        <v>4.54</v>
      </c>
    </row>
    <row r="2084" spans="1:9" x14ac:dyDescent="0.3">
      <c r="A2084">
        <v>2083</v>
      </c>
      <c r="B2084">
        <v>2017</v>
      </c>
      <c r="C2084">
        <v>5</v>
      </c>
      <c r="D2084">
        <v>1</v>
      </c>
      <c r="E2084" s="1">
        <v>-66.058000000000007</v>
      </c>
      <c r="F2084" t="s">
        <v>31</v>
      </c>
      <c r="G2084" t="str">
        <f>_xlfn.XLOOKUP(transakcje[[#This Row],[podkategoria]],parametr[podkategoria],parametr[kategoria])</f>
        <v>opłaty stałe</v>
      </c>
      <c r="H2084" t="str">
        <f>_xlfn.XLOOKUP(transakcje[[#This Row],[kategoria]],parametr[kategoria],parametr[typ])</f>
        <v>wydatki</v>
      </c>
      <c r="I2084" s="1">
        <f>ABS(transakcje[[#This Row],[kwota]])</f>
        <v>66.058000000000007</v>
      </c>
    </row>
    <row r="2085" spans="1:9" x14ac:dyDescent="0.3">
      <c r="A2085">
        <v>2084</v>
      </c>
      <c r="B2085">
        <v>2017</v>
      </c>
      <c r="C2085">
        <v>5</v>
      </c>
      <c r="D2085">
        <v>1</v>
      </c>
      <c r="E2085" s="1">
        <v>-6.1459999999999999</v>
      </c>
      <c r="F2085" t="s">
        <v>35</v>
      </c>
      <c r="G2085" t="str">
        <f>_xlfn.XLOOKUP(transakcje[[#This Row],[podkategoria]],parametr[podkategoria],parametr[kategoria])</f>
        <v>opłaty stałe</v>
      </c>
      <c r="H2085" t="str">
        <f>_xlfn.XLOOKUP(transakcje[[#This Row],[kategoria]],parametr[kategoria],parametr[typ])</f>
        <v>wydatki</v>
      </c>
      <c r="I2085" s="1">
        <f>ABS(transakcje[[#This Row],[kwota]])</f>
        <v>6.1459999999999999</v>
      </c>
    </row>
    <row r="2086" spans="1:9" x14ac:dyDescent="0.3">
      <c r="A2086">
        <v>2085</v>
      </c>
      <c r="B2086">
        <v>2017</v>
      </c>
      <c r="C2086">
        <v>5</v>
      </c>
      <c r="D2086">
        <v>1</v>
      </c>
      <c r="E2086" s="1">
        <v>-7.38</v>
      </c>
      <c r="F2086" t="s">
        <v>23</v>
      </c>
      <c r="G2086" t="str">
        <f>_xlfn.XLOOKUP(transakcje[[#This Row],[podkategoria]],parametr[podkategoria],parametr[kategoria])</f>
        <v>opłaty stałe</v>
      </c>
      <c r="H2086" t="str">
        <f>_xlfn.XLOOKUP(transakcje[[#This Row],[kategoria]],parametr[kategoria],parametr[typ])</f>
        <v>wydatki</v>
      </c>
      <c r="I2086" s="1">
        <f>ABS(transakcje[[#This Row],[kwota]])</f>
        <v>7.38</v>
      </c>
    </row>
    <row r="2087" spans="1:9" x14ac:dyDescent="0.3">
      <c r="A2087">
        <v>2086</v>
      </c>
      <c r="B2087">
        <v>2017</v>
      </c>
      <c r="C2087">
        <v>5</v>
      </c>
      <c r="D2087">
        <v>1</v>
      </c>
      <c r="E2087" s="1">
        <v>-12.64</v>
      </c>
      <c r="F2087" t="s">
        <v>34</v>
      </c>
      <c r="G2087" t="str">
        <f>_xlfn.XLOOKUP(transakcje[[#This Row],[podkategoria]],parametr[podkategoria],parametr[kategoria])</f>
        <v>opłaty stałe</v>
      </c>
      <c r="H2087" t="str">
        <f>_xlfn.XLOOKUP(transakcje[[#This Row],[kategoria]],parametr[kategoria],parametr[typ])</f>
        <v>wydatki</v>
      </c>
      <c r="I2087" s="1">
        <f>ABS(transakcje[[#This Row],[kwota]])</f>
        <v>12.64</v>
      </c>
    </row>
    <row r="2088" spans="1:9" x14ac:dyDescent="0.3">
      <c r="A2088">
        <v>2087</v>
      </c>
      <c r="B2088">
        <v>2017</v>
      </c>
      <c r="C2088">
        <v>5</v>
      </c>
      <c r="D2088">
        <v>1</v>
      </c>
      <c r="E2088" s="1">
        <v>-6.1479999999999997</v>
      </c>
      <c r="F2088" t="s">
        <v>25</v>
      </c>
      <c r="G2088" t="str">
        <f>_xlfn.XLOOKUP(transakcje[[#This Row],[podkategoria]],parametr[podkategoria],parametr[kategoria])</f>
        <v>opłaty stałe</v>
      </c>
      <c r="H2088" t="str">
        <f>_xlfn.XLOOKUP(transakcje[[#This Row],[kategoria]],parametr[kategoria],parametr[typ])</f>
        <v>wydatki</v>
      </c>
      <c r="I2088" s="1">
        <f>ABS(transakcje[[#This Row],[kwota]])</f>
        <v>6.1479999999999997</v>
      </c>
    </row>
    <row r="2089" spans="1:9" x14ac:dyDescent="0.3">
      <c r="A2089">
        <v>2088</v>
      </c>
      <c r="B2089">
        <v>2017</v>
      </c>
      <c r="C2089">
        <v>5</v>
      </c>
      <c r="D2089">
        <v>4</v>
      </c>
      <c r="E2089" s="1">
        <v>-10.574</v>
      </c>
      <c r="F2089" t="s">
        <v>26</v>
      </c>
      <c r="G2089" t="str">
        <f>_xlfn.XLOOKUP(transakcje[[#This Row],[podkategoria]],parametr[podkategoria],parametr[kategoria])</f>
        <v>życie</v>
      </c>
      <c r="H2089" t="str">
        <f>_xlfn.XLOOKUP(transakcje[[#This Row],[kategoria]],parametr[kategoria],parametr[typ])</f>
        <v>wydatki</v>
      </c>
      <c r="I2089" s="1">
        <f>ABS(transakcje[[#This Row],[kwota]])</f>
        <v>10.574</v>
      </c>
    </row>
    <row r="2090" spans="1:9" x14ac:dyDescent="0.3">
      <c r="A2090">
        <v>2089</v>
      </c>
      <c r="B2090">
        <v>2017</v>
      </c>
      <c r="C2090">
        <v>5</v>
      </c>
      <c r="D2090">
        <v>4</v>
      </c>
      <c r="E2090" s="1">
        <v>-4.25</v>
      </c>
      <c r="F2090" t="s">
        <v>26</v>
      </c>
      <c r="G2090" t="str">
        <f>_xlfn.XLOOKUP(transakcje[[#This Row],[podkategoria]],parametr[podkategoria],parametr[kategoria])</f>
        <v>życie</v>
      </c>
      <c r="H2090" t="str">
        <f>_xlfn.XLOOKUP(transakcje[[#This Row],[kategoria]],parametr[kategoria],parametr[typ])</f>
        <v>wydatki</v>
      </c>
      <c r="I2090" s="1">
        <f>ABS(transakcje[[#This Row],[kwota]])</f>
        <v>4.25</v>
      </c>
    </row>
    <row r="2091" spans="1:9" x14ac:dyDescent="0.3">
      <c r="A2091">
        <v>2090</v>
      </c>
      <c r="B2091">
        <v>2017</v>
      </c>
      <c r="C2091">
        <v>5</v>
      </c>
      <c r="D2091">
        <v>11</v>
      </c>
      <c r="E2091" s="1">
        <v>-1.722</v>
      </c>
      <c r="F2091" t="s">
        <v>26</v>
      </c>
      <c r="G2091" t="str">
        <f>_xlfn.XLOOKUP(transakcje[[#This Row],[podkategoria]],parametr[podkategoria],parametr[kategoria])</f>
        <v>życie</v>
      </c>
      <c r="H2091" t="str">
        <f>_xlfn.XLOOKUP(transakcje[[#This Row],[kategoria]],parametr[kategoria],parametr[typ])</f>
        <v>wydatki</v>
      </c>
      <c r="I2091" s="1">
        <f>ABS(transakcje[[#This Row],[kwota]])</f>
        <v>1.722</v>
      </c>
    </row>
    <row r="2092" spans="1:9" x14ac:dyDescent="0.3">
      <c r="A2092">
        <v>2091</v>
      </c>
      <c r="B2092">
        <v>2017</v>
      </c>
      <c r="C2092">
        <v>5</v>
      </c>
      <c r="D2092">
        <v>13</v>
      </c>
      <c r="E2092" s="1">
        <v>-2.6320000000000001</v>
      </c>
      <c r="F2092" t="s">
        <v>26</v>
      </c>
      <c r="G2092" t="str">
        <f>_xlfn.XLOOKUP(transakcje[[#This Row],[podkategoria]],parametr[podkategoria],parametr[kategoria])</f>
        <v>życie</v>
      </c>
      <c r="H2092" t="str">
        <f>_xlfn.XLOOKUP(transakcje[[#This Row],[kategoria]],parametr[kategoria],parametr[typ])</f>
        <v>wydatki</v>
      </c>
      <c r="I2092" s="1">
        <f>ABS(transakcje[[#This Row],[kwota]])</f>
        <v>2.6320000000000001</v>
      </c>
    </row>
    <row r="2093" spans="1:9" x14ac:dyDescent="0.3">
      <c r="A2093">
        <v>2092</v>
      </c>
      <c r="B2093">
        <v>2017</v>
      </c>
      <c r="C2093">
        <v>5</v>
      </c>
      <c r="D2093">
        <v>15</v>
      </c>
      <c r="E2093" s="1">
        <v>-9.2739999999999991</v>
      </c>
      <c r="F2093" t="s">
        <v>26</v>
      </c>
      <c r="G2093" t="str">
        <f>_xlfn.XLOOKUP(transakcje[[#This Row],[podkategoria]],parametr[podkategoria],parametr[kategoria])</f>
        <v>życie</v>
      </c>
      <c r="H2093" t="str">
        <f>_xlfn.XLOOKUP(transakcje[[#This Row],[kategoria]],parametr[kategoria],parametr[typ])</f>
        <v>wydatki</v>
      </c>
      <c r="I2093" s="1">
        <f>ABS(transakcje[[#This Row],[kwota]])</f>
        <v>9.2739999999999991</v>
      </c>
    </row>
    <row r="2094" spans="1:9" x14ac:dyDescent="0.3">
      <c r="A2094">
        <v>2093</v>
      </c>
      <c r="B2094">
        <v>2017</v>
      </c>
      <c r="C2094">
        <v>5</v>
      </c>
      <c r="D2094">
        <v>16</v>
      </c>
      <c r="E2094" s="1">
        <v>-0.8</v>
      </c>
      <c r="F2094" t="s">
        <v>14</v>
      </c>
      <c r="G2094" t="str">
        <f>_xlfn.XLOOKUP(transakcje[[#This Row],[podkategoria]],parametr[podkategoria],parametr[kategoria])</f>
        <v>opłaty stałe</v>
      </c>
      <c r="H2094" t="str">
        <f>_xlfn.XLOOKUP(transakcje[[#This Row],[kategoria]],parametr[kategoria],parametr[typ])</f>
        <v>wydatki</v>
      </c>
      <c r="I2094" s="1">
        <f>ABS(transakcje[[#This Row],[kwota]])</f>
        <v>0.8</v>
      </c>
    </row>
    <row r="2095" spans="1:9" x14ac:dyDescent="0.3">
      <c r="A2095">
        <v>2094</v>
      </c>
      <c r="B2095">
        <v>2017</v>
      </c>
      <c r="C2095">
        <v>5</v>
      </c>
      <c r="D2095">
        <v>16</v>
      </c>
      <c r="E2095" s="1">
        <v>-0.39800000000000002</v>
      </c>
      <c r="F2095" t="s">
        <v>14</v>
      </c>
      <c r="G2095" t="str">
        <f>_xlfn.XLOOKUP(transakcje[[#This Row],[podkategoria]],parametr[podkategoria],parametr[kategoria])</f>
        <v>opłaty stałe</v>
      </c>
      <c r="H2095" t="str">
        <f>_xlfn.XLOOKUP(transakcje[[#This Row],[kategoria]],parametr[kategoria],parametr[typ])</f>
        <v>wydatki</v>
      </c>
      <c r="I2095" s="1">
        <f>ABS(transakcje[[#This Row],[kwota]])</f>
        <v>0.39800000000000002</v>
      </c>
    </row>
    <row r="2096" spans="1:9" x14ac:dyDescent="0.3">
      <c r="A2096">
        <v>2095</v>
      </c>
      <c r="B2096">
        <v>2017</v>
      </c>
      <c r="C2096">
        <v>5</v>
      </c>
      <c r="D2096">
        <v>17</v>
      </c>
      <c r="E2096" s="1">
        <v>-3.6259999999999999</v>
      </c>
      <c r="F2096" t="s">
        <v>26</v>
      </c>
      <c r="G2096" t="str">
        <f>_xlfn.XLOOKUP(transakcje[[#This Row],[podkategoria]],parametr[podkategoria],parametr[kategoria])</f>
        <v>życie</v>
      </c>
      <c r="H2096" t="str">
        <f>_xlfn.XLOOKUP(transakcje[[#This Row],[kategoria]],parametr[kategoria],parametr[typ])</f>
        <v>wydatki</v>
      </c>
      <c r="I2096" s="1">
        <f>ABS(transakcje[[#This Row],[kwota]])</f>
        <v>3.6259999999999999</v>
      </c>
    </row>
    <row r="2097" spans="1:9" x14ac:dyDescent="0.3">
      <c r="A2097">
        <v>2096</v>
      </c>
      <c r="B2097">
        <v>2017</v>
      </c>
      <c r="C2097">
        <v>5</v>
      </c>
      <c r="D2097">
        <v>19</v>
      </c>
      <c r="E2097" s="1">
        <v>-0.748</v>
      </c>
      <c r="F2097" t="s">
        <v>26</v>
      </c>
      <c r="G2097" t="str">
        <f>_xlfn.XLOOKUP(transakcje[[#This Row],[podkategoria]],parametr[podkategoria],parametr[kategoria])</f>
        <v>życie</v>
      </c>
      <c r="H2097" t="str">
        <f>_xlfn.XLOOKUP(transakcje[[#This Row],[kategoria]],parametr[kategoria],parametr[typ])</f>
        <v>wydatki</v>
      </c>
      <c r="I2097" s="1">
        <f>ABS(transakcje[[#This Row],[kwota]])</f>
        <v>0.748</v>
      </c>
    </row>
    <row r="2098" spans="1:9" x14ac:dyDescent="0.3">
      <c r="A2098">
        <v>2097</v>
      </c>
      <c r="B2098">
        <v>2017</v>
      </c>
      <c r="C2098">
        <v>5</v>
      </c>
      <c r="D2098">
        <v>23</v>
      </c>
      <c r="E2098" s="1">
        <v>-13.206</v>
      </c>
      <c r="F2098" t="s">
        <v>26</v>
      </c>
      <c r="G2098" t="str">
        <f>_xlfn.XLOOKUP(transakcje[[#This Row],[podkategoria]],parametr[podkategoria],parametr[kategoria])</f>
        <v>życie</v>
      </c>
      <c r="H2098" t="str">
        <f>_xlfn.XLOOKUP(transakcje[[#This Row],[kategoria]],parametr[kategoria],parametr[typ])</f>
        <v>wydatki</v>
      </c>
      <c r="I2098" s="1">
        <f>ABS(transakcje[[#This Row],[kwota]])</f>
        <v>13.206</v>
      </c>
    </row>
    <row r="2099" spans="1:9" x14ac:dyDescent="0.3">
      <c r="A2099">
        <v>2098</v>
      </c>
      <c r="B2099">
        <v>2017</v>
      </c>
      <c r="C2099">
        <v>5</v>
      </c>
      <c r="D2099">
        <v>25</v>
      </c>
      <c r="E2099" s="1">
        <v>-19.8</v>
      </c>
      <c r="F2099" t="s">
        <v>32</v>
      </c>
      <c r="G2099" t="str">
        <f>_xlfn.XLOOKUP(transakcje[[#This Row],[podkategoria]],parametr[podkategoria],parametr[kategoria])</f>
        <v>opłaty stałe</v>
      </c>
      <c r="H2099" t="str">
        <f>_xlfn.XLOOKUP(transakcje[[#This Row],[kategoria]],parametr[kategoria],parametr[typ])</f>
        <v>wydatki</v>
      </c>
      <c r="I2099" s="1">
        <f>ABS(transakcje[[#This Row],[kwota]])</f>
        <v>19.8</v>
      </c>
    </row>
    <row r="2100" spans="1:9" x14ac:dyDescent="0.3">
      <c r="A2100">
        <v>2099</v>
      </c>
      <c r="B2100">
        <v>2017</v>
      </c>
      <c r="C2100">
        <v>5</v>
      </c>
      <c r="D2100">
        <v>25</v>
      </c>
      <c r="E2100" s="1">
        <v>-9.3659999999999997</v>
      </c>
      <c r="F2100" t="s">
        <v>26</v>
      </c>
      <c r="G2100" t="str">
        <f>_xlfn.XLOOKUP(transakcje[[#This Row],[podkategoria]],parametr[podkategoria],parametr[kategoria])</f>
        <v>życie</v>
      </c>
      <c r="H2100" t="str">
        <f>_xlfn.XLOOKUP(transakcje[[#This Row],[kategoria]],parametr[kategoria],parametr[typ])</f>
        <v>wydatki</v>
      </c>
      <c r="I2100" s="1">
        <f>ABS(transakcje[[#This Row],[kwota]])</f>
        <v>9.3659999999999997</v>
      </c>
    </row>
    <row r="2101" spans="1:9" x14ac:dyDescent="0.3">
      <c r="A2101">
        <v>2100</v>
      </c>
      <c r="B2101">
        <v>2017</v>
      </c>
      <c r="C2101">
        <v>5</v>
      </c>
      <c r="D2101">
        <v>26</v>
      </c>
      <c r="E2101" s="1">
        <v>492.52600000000001</v>
      </c>
      <c r="F2101" t="s">
        <v>8</v>
      </c>
      <c r="G2101" t="str">
        <f>_xlfn.XLOOKUP(transakcje[[#This Row],[podkategoria]],parametr[podkategoria],parametr[kategoria])</f>
        <v>dochody z pracy</v>
      </c>
      <c r="H2101" t="str">
        <f>_xlfn.XLOOKUP(transakcje[[#This Row],[kategoria]],parametr[kategoria],parametr[typ])</f>
        <v>dochody</v>
      </c>
      <c r="I2101" s="1">
        <f>ABS(transakcje[[#This Row],[kwota]])</f>
        <v>492.52600000000001</v>
      </c>
    </row>
    <row r="2102" spans="1:9" x14ac:dyDescent="0.3">
      <c r="A2102">
        <v>2101</v>
      </c>
      <c r="B2102">
        <v>2017</v>
      </c>
      <c r="C2102">
        <v>5</v>
      </c>
      <c r="D2102">
        <v>27</v>
      </c>
      <c r="E2102" s="1">
        <v>-8.6</v>
      </c>
      <c r="F2102" t="s">
        <v>11</v>
      </c>
      <c r="G2102" t="str">
        <f>_xlfn.XLOOKUP(transakcje[[#This Row],[podkategoria]],parametr[podkategoria],parametr[kategoria])</f>
        <v>wydatki inne</v>
      </c>
      <c r="H2102" t="str">
        <f>_xlfn.XLOOKUP(transakcje[[#This Row],[kategoria]],parametr[kategoria],parametr[typ])</f>
        <v>wydatki</v>
      </c>
      <c r="I2102" s="1">
        <f>ABS(transakcje[[#This Row],[kwota]])</f>
        <v>8.6</v>
      </c>
    </row>
    <row r="2103" spans="1:9" x14ac:dyDescent="0.3">
      <c r="A2103">
        <v>2102</v>
      </c>
      <c r="B2103">
        <v>2017</v>
      </c>
      <c r="C2103">
        <v>5</v>
      </c>
      <c r="D2103">
        <v>29</v>
      </c>
      <c r="E2103" s="1">
        <v>-4.1079999999999997</v>
      </c>
      <c r="F2103" t="s">
        <v>26</v>
      </c>
      <c r="G2103" t="str">
        <f>_xlfn.XLOOKUP(transakcje[[#This Row],[podkategoria]],parametr[podkategoria],parametr[kategoria])</f>
        <v>życie</v>
      </c>
      <c r="H2103" t="str">
        <f>_xlfn.XLOOKUP(transakcje[[#This Row],[kategoria]],parametr[kategoria],parametr[typ])</f>
        <v>wydatki</v>
      </c>
      <c r="I2103" s="1">
        <f>ABS(transakcje[[#This Row],[kwota]])</f>
        <v>4.1079999999999997</v>
      </c>
    </row>
    <row r="2104" spans="1:9" x14ac:dyDescent="0.3">
      <c r="A2104">
        <v>2103</v>
      </c>
      <c r="B2104">
        <v>2017</v>
      </c>
      <c r="C2104">
        <v>5</v>
      </c>
      <c r="D2104">
        <v>30</v>
      </c>
      <c r="E2104" s="1">
        <v>-0.20400000000000001</v>
      </c>
      <c r="F2104" t="s">
        <v>11</v>
      </c>
      <c r="G2104" t="str">
        <f>_xlfn.XLOOKUP(transakcje[[#This Row],[podkategoria]],parametr[podkategoria],parametr[kategoria])</f>
        <v>wydatki inne</v>
      </c>
      <c r="H2104" t="str">
        <f>_xlfn.XLOOKUP(transakcje[[#This Row],[kategoria]],parametr[kategoria],parametr[typ])</f>
        <v>wydatki</v>
      </c>
      <c r="I2104" s="1">
        <f>ABS(transakcje[[#This Row],[kwota]])</f>
        <v>0.20400000000000001</v>
      </c>
    </row>
    <row r="2105" spans="1:9" x14ac:dyDescent="0.3">
      <c r="A2105">
        <v>2104</v>
      </c>
      <c r="B2105">
        <v>2017</v>
      </c>
      <c r="C2105">
        <v>5</v>
      </c>
      <c r="D2105">
        <v>30</v>
      </c>
      <c r="E2105" s="1">
        <v>-1.6620000000000001</v>
      </c>
      <c r="F2105" t="s">
        <v>26</v>
      </c>
      <c r="G2105" t="str">
        <f>_xlfn.XLOOKUP(transakcje[[#This Row],[podkategoria]],parametr[podkategoria],parametr[kategoria])</f>
        <v>życie</v>
      </c>
      <c r="H2105" t="str">
        <f>_xlfn.XLOOKUP(transakcje[[#This Row],[kategoria]],parametr[kategoria],parametr[typ])</f>
        <v>wydatki</v>
      </c>
      <c r="I2105" s="1">
        <f>ABS(transakcje[[#This Row],[kwota]])</f>
        <v>1.6620000000000001</v>
      </c>
    </row>
    <row r="2106" spans="1:9" x14ac:dyDescent="0.3">
      <c r="A2106">
        <v>2105</v>
      </c>
      <c r="B2106">
        <v>2017</v>
      </c>
      <c r="C2106">
        <v>5</v>
      </c>
      <c r="D2106">
        <v>31</v>
      </c>
      <c r="E2106" s="1">
        <v>-4.1079999999999997</v>
      </c>
      <c r="F2106" t="s">
        <v>11</v>
      </c>
      <c r="G2106" t="str">
        <f>_xlfn.XLOOKUP(transakcje[[#This Row],[podkategoria]],parametr[podkategoria],parametr[kategoria])</f>
        <v>wydatki inne</v>
      </c>
      <c r="H2106" t="str">
        <f>_xlfn.XLOOKUP(transakcje[[#This Row],[kategoria]],parametr[kategoria],parametr[typ])</f>
        <v>wydatki</v>
      </c>
      <c r="I2106" s="1">
        <f>ABS(transakcje[[#This Row],[kwota]])</f>
        <v>4.1079999999999997</v>
      </c>
    </row>
    <row r="2107" spans="1:9" x14ac:dyDescent="0.3">
      <c r="A2107">
        <v>2106</v>
      </c>
      <c r="B2107">
        <v>2017</v>
      </c>
      <c r="C2107">
        <v>5</v>
      </c>
      <c r="D2107">
        <v>31</v>
      </c>
      <c r="E2107" s="1">
        <v>4.0000000000000001E-3</v>
      </c>
      <c r="F2107" t="s">
        <v>17</v>
      </c>
      <c r="G2107" t="str">
        <f>_xlfn.XLOOKUP(transakcje[[#This Row],[podkategoria]],parametr[podkategoria],parametr[kategoria])</f>
        <v>dochody pozostałe</v>
      </c>
      <c r="H2107" t="str">
        <f>_xlfn.XLOOKUP(transakcje[[#This Row],[kategoria]],parametr[kategoria],parametr[typ])</f>
        <v>dochody</v>
      </c>
      <c r="I2107" s="1">
        <f>ABS(transakcje[[#This Row],[kwota]])</f>
        <v>4.0000000000000001E-3</v>
      </c>
    </row>
    <row r="2108" spans="1:9" x14ac:dyDescent="0.3">
      <c r="A2108">
        <v>2107</v>
      </c>
      <c r="B2108">
        <v>2017</v>
      </c>
      <c r="C2108">
        <v>5</v>
      </c>
      <c r="D2108">
        <v>31</v>
      </c>
      <c r="E2108" s="1">
        <v>-1.198</v>
      </c>
      <c r="F2108" t="s">
        <v>14</v>
      </c>
      <c r="G2108" t="str">
        <f>_xlfn.XLOOKUP(transakcje[[#This Row],[podkategoria]],parametr[podkategoria],parametr[kategoria])</f>
        <v>opłaty stałe</v>
      </c>
      <c r="H2108" t="str">
        <f>_xlfn.XLOOKUP(transakcje[[#This Row],[kategoria]],parametr[kategoria],parametr[typ])</f>
        <v>wydatki</v>
      </c>
      <c r="I2108" s="1">
        <f>ABS(transakcje[[#This Row],[kwota]])</f>
        <v>1.198</v>
      </c>
    </row>
    <row r="2109" spans="1:9" x14ac:dyDescent="0.3">
      <c r="A2109">
        <v>2108</v>
      </c>
      <c r="B2109">
        <v>2017</v>
      </c>
      <c r="C2109">
        <v>5</v>
      </c>
      <c r="D2109">
        <v>31</v>
      </c>
      <c r="E2109" s="1">
        <v>-2E-3</v>
      </c>
      <c r="F2109" t="s">
        <v>14</v>
      </c>
      <c r="G2109" t="str">
        <f>_xlfn.XLOOKUP(transakcje[[#This Row],[podkategoria]],parametr[podkategoria],parametr[kategoria])</f>
        <v>opłaty stałe</v>
      </c>
      <c r="H2109" t="str">
        <f>_xlfn.XLOOKUP(transakcje[[#This Row],[kategoria]],parametr[kategoria],parametr[typ])</f>
        <v>wydatki</v>
      </c>
      <c r="I2109" s="1">
        <f>ABS(transakcje[[#This Row],[kwota]])</f>
        <v>2E-3</v>
      </c>
    </row>
    <row r="2110" spans="1:9" x14ac:dyDescent="0.3">
      <c r="A2110">
        <v>2109</v>
      </c>
      <c r="B2110">
        <v>2017</v>
      </c>
      <c r="C2110">
        <v>6</v>
      </c>
      <c r="D2110">
        <v>1</v>
      </c>
      <c r="E2110" s="1">
        <v>-15.696000000000002</v>
      </c>
      <c r="F2110" t="s">
        <v>26</v>
      </c>
      <c r="G2110" t="str">
        <f>_xlfn.XLOOKUP(transakcje[[#This Row],[podkategoria]],parametr[podkategoria],parametr[kategoria])</f>
        <v>życie</v>
      </c>
      <c r="H2110" t="str">
        <f>_xlfn.XLOOKUP(transakcje[[#This Row],[kategoria]],parametr[kategoria],parametr[typ])</f>
        <v>wydatki</v>
      </c>
      <c r="I2110" s="1">
        <f>ABS(transakcje[[#This Row],[kwota]])</f>
        <v>15.696000000000002</v>
      </c>
    </row>
    <row r="2111" spans="1:9" x14ac:dyDescent="0.3">
      <c r="A2111">
        <v>2110</v>
      </c>
      <c r="B2111">
        <v>2017</v>
      </c>
      <c r="C2111">
        <v>6</v>
      </c>
      <c r="D2111">
        <v>2</v>
      </c>
      <c r="E2111" s="1">
        <v>-2.46</v>
      </c>
      <c r="F2111" t="s">
        <v>26</v>
      </c>
      <c r="G2111" t="str">
        <f>_xlfn.XLOOKUP(transakcje[[#This Row],[podkategoria]],parametr[podkategoria],parametr[kategoria])</f>
        <v>życie</v>
      </c>
      <c r="H2111" t="str">
        <f>_xlfn.XLOOKUP(transakcje[[#This Row],[kategoria]],parametr[kategoria],parametr[typ])</f>
        <v>wydatki</v>
      </c>
      <c r="I2111" s="1">
        <f>ABS(transakcje[[#This Row],[kwota]])</f>
        <v>2.46</v>
      </c>
    </row>
    <row r="2112" spans="1:9" x14ac:dyDescent="0.3">
      <c r="A2112">
        <v>2111</v>
      </c>
      <c r="B2112">
        <v>2017</v>
      </c>
      <c r="C2112">
        <v>6</v>
      </c>
      <c r="D2112">
        <v>3</v>
      </c>
      <c r="E2112" s="1">
        <v>-4.54</v>
      </c>
      <c r="F2112" t="s">
        <v>37</v>
      </c>
      <c r="G2112" t="str">
        <f>_xlfn.XLOOKUP(transakcje[[#This Row],[podkategoria]],parametr[podkategoria],parametr[kategoria])</f>
        <v>opłaty stałe</v>
      </c>
      <c r="H2112" t="str">
        <f>_xlfn.XLOOKUP(transakcje[[#This Row],[kategoria]],parametr[kategoria],parametr[typ])</f>
        <v>wydatki</v>
      </c>
      <c r="I2112" s="1">
        <f>ABS(transakcje[[#This Row],[kwota]])</f>
        <v>4.54</v>
      </c>
    </row>
    <row r="2113" spans="1:9" x14ac:dyDescent="0.3">
      <c r="A2113">
        <v>2112</v>
      </c>
      <c r="B2113">
        <v>2017</v>
      </c>
      <c r="C2113">
        <v>6</v>
      </c>
      <c r="D2113">
        <v>3</v>
      </c>
      <c r="E2113" s="1">
        <v>-66.058000000000007</v>
      </c>
      <c r="F2113" t="s">
        <v>31</v>
      </c>
      <c r="G2113" t="str">
        <f>_xlfn.XLOOKUP(transakcje[[#This Row],[podkategoria]],parametr[podkategoria],parametr[kategoria])</f>
        <v>opłaty stałe</v>
      </c>
      <c r="H2113" t="str">
        <f>_xlfn.XLOOKUP(transakcje[[#This Row],[kategoria]],parametr[kategoria],parametr[typ])</f>
        <v>wydatki</v>
      </c>
      <c r="I2113" s="1">
        <f>ABS(transakcje[[#This Row],[kwota]])</f>
        <v>66.058000000000007</v>
      </c>
    </row>
    <row r="2114" spans="1:9" x14ac:dyDescent="0.3">
      <c r="A2114">
        <v>2113</v>
      </c>
      <c r="B2114">
        <v>2017</v>
      </c>
      <c r="C2114">
        <v>6</v>
      </c>
      <c r="D2114">
        <v>3</v>
      </c>
      <c r="E2114" s="1">
        <v>-7.38</v>
      </c>
      <c r="F2114" t="s">
        <v>23</v>
      </c>
      <c r="G2114" t="str">
        <f>_xlfn.XLOOKUP(transakcje[[#This Row],[podkategoria]],parametr[podkategoria],parametr[kategoria])</f>
        <v>opłaty stałe</v>
      </c>
      <c r="H2114" t="str">
        <f>_xlfn.XLOOKUP(transakcje[[#This Row],[kategoria]],parametr[kategoria],parametr[typ])</f>
        <v>wydatki</v>
      </c>
      <c r="I2114" s="1">
        <f>ABS(transakcje[[#This Row],[kwota]])</f>
        <v>7.38</v>
      </c>
    </row>
    <row r="2115" spans="1:9" x14ac:dyDescent="0.3">
      <c r="A2115">
        <v>2114</v>
      </c>
      <c r="B2115">
        <v>2017</v>
      </c>
      <c r="C2115">
        <v>6</v>
      </c>
      <c r="D2115">
        <v>3</v>
      </c>
      <c r="E2115" s="1">
        <v>-6.1479999999999997</v>
      </c>
      <c r="F2115" t="s">
        <v>25</v>
      </c>
      <c r="G2115" t="str">
        <f>_xlfn.XLOOKUP(transakcje[[#This Row],[podkategoria]],parametr[podkategoria],parametr[kategoria])</f>
        <v>opłaty stałe</v>
      </c>
      <c r="H2115" t="str">
        <f>_xlfn.XLOOKUP(transakcje[[#This Row],[kategoria]],parametr[kategoria],parametr[typ])</f>
        <v>wydatki</v>
      </c>
      <c r="I2115" s="1">
        <f>ABS(transakcje[[#This Row],[kwota]])</f>
        <v>6.1479999999999997</v>
      </c>
    </row>
    <row r="2116" spans="1:9" x14ac:dyDescent="0.3">
      <c r="A2116">
        <v>2115</v>
      </c>
      <c r="B2116">
        <v>2017</v>
      </c>
      <c r="C2116">
        <v>6</v>
      </c>
      <c r="D2116">
        <v>8</v>
      </c>
      <c r="E2116" s="1">
        <v>-4.5999999999999996</v>
      </c>
      <c r="F2116" t="s">
        <v>26</v>
      </c>
      <c r="G2116" t="str">
        <f>_xlfn.XLOOKUP(transakcje[[#This Row],[podkategoria]],parametr[podkategoria],parametr[kategoria])</f>
        <v>życie</v>
      </c>
      <c r="H2116" t="str">
        <f>_xlfn.XLOOKUP(transakcje[[#This Row],[kategoria]],parametr[kategoria],parametr[typ])</f>
        <v>wydatki</v>
      </c>
      <c r="I2116" s="1">
        <f>ABS(transakcje[[#This Row],[kwota]])</f>
        <v>4.5999999999999996</v>
      </c>
    </row>
    <row r="2117" spans="1:9" x14ac:dyDescent="0.3">
      <c r="A2117">
        <v>2116</v>
      </c>
      <c r="B2117">
        <v>2017</v>
      </c>
      <c r="C2117">
        <v>6</v>
      </c>
      <c r="D2117">
        <v>9</v>
      </c>
      <c r="E2117" s="1">
        <v>-0.77800000000000002</v>
      </c>
      <c r="F2117" t="s">
        <v>26</v>
      </c>
      <c r="G2117" t="str">
        <f>_xlfn.XLOOKUP(transakcje[[#This Row],[podkategoria]],parametr[podkategoria],parametr[kategoria])</f>
        <v>życie</v>
      </c>
      <c r="H2117" t="str">
        <f>_xlfn.XLOOKUP(transakcje[[#This Row],[kategoria]],parametr[kategoria],parametr[typ])</f>
        <v>wydatki</v>
      </c>
      <c r="I2117" s="1">
        <f>ABS(transakcje[[#This Row],[kwota]])</f>
        <v>0.77800000000000002</v>
      </c>
    </row>
    <row r="2118" spans="1:9" x14ac:dyDescent="0.3">
      <c r="A2118">
        <v>2117</v>
      </c>
      <c r="B2118">
        <v>2017</v>
      </c>
      <c r="C2118">
        <v>6</v>
      </c>
      <c r="D2118">
        <v>13</v>
      </c>
      <c r="E2118" s="1">
        <v>-9.0359999999999996</v>
      </c>
      <c r="F2118" t="s">
        <v>26</v>
      </c>
      <c r="G2118" t="str">
        <f>_xlfn.XLOOKUP(transakcje[[#This Row],[podkategoria]],parametr[podkategoria],parametr[kategoria])</f>
        <v>życie</v>
      </c>
      <c r="H2118" t="str">
        <f>_xlfn.XLOOKUP(transakcje[[#This Row],[kategoria]],parametr[kategoria],parametr[typ])</f>
        <v>wydatki</v>
      </c>
      <c r="I2118" s="1">
        <f>ABS(transakcje[[#This Row],[kwota]])</f>
        <v>9.0359999999999996</v>
      </c>
    </row>
    <row r="2119" spans="1:9" x14ac:dyDescent="0.3">
      <c r="A2119">
        <v>2118</v>
      </c>
      <c r="B2119">
        <v>2017</v>
      </c>
      <c r="C2119">
        <v>6</v>
      </c>
      <c r="D2119">
        <v>14</v>
      </c>
      <c r="E2119" s="1">
        <v>-0.39800000000000002</v>
      </c>
      <c r="F2119" t="s">
        <v>14</v>
      </c>
      <c r="G2119" t="str">
        <f>_xlfn.XLOOKUP(transakcje[[#This Row],[podkategoria]],parametr[podkategoria],parametr[kategoria])</f>
        <v>opłaty stałe</v>
      </c>
      <c r="H2119" t="str">
        <f>_xlfn.XLOOKUP(transakcje[[#This Row],[kategoria]],parametr[kategoria],parametr[typ])</f>
        <v>wydatki</v>
      </c>
      <c r="I2119" s="1">
        <f>ABS(transakcje[[#This Row],[kwota]])</f>
        <v>0.39800000000000002</v>
      </c>
    </row>
    <row r="2120" spans="1:9" x14ac:dyDescent="0.3">
      <c r="A2120">
        <v>2119</v>
      </c>
      <c r="B2120">
        <v>2017</v>
      </c>
      <c r="C2120">
        <v>6</v>
      </c>
      <c r="D2120">
        <v>16</v>
      </c>
      <c r="E2120" s="1">
        <v>-37.998000000000005</v>
      </c>
      <c r="F2120" t="s">
        <v>11</v>
      </c>
      <c r="G2120" t="str">
        <f>_xlfn.XLOOKUP(transakcje[[#This Row],[podkategoria]],parametr[podkategoria],parametr[kategoria])</f>
        <v>wydatki inne</v>
      </c>
      <c r="H2120" t="str">
        <f>_xlfn.XLOOKUP(transakcje[[#This Row],[kategoria]],parametr[kategoria],parametr[typ])</f>
        <v>wydatki</v>
      </c>
      <c r="I2120" s="1">
        <f>ABS(transakcje[[#This Row],[kwota]])</f>
        <v>37.998000000000005</v>
      </c>
    </row>
    <row r="2121" spans="1:9" x14ac:dyDescent="0.3">
      <c r="A2121">
        <v>2120</v>
      </c>
      <c r="B2121">
        <v>2017</v>
      </c>
      <c r="C2121">
        <v>6</v>
      </c>
      <c r="D2121">
        <v>16</v>
      </c>
      <c r="E2121" s="1">
        <v>-68.796000000000006</v>
      </c>
      <c r="F2121" t="s">
        <v>24</v>
      </c>
      <c r="G2121" t="str">
        <f>_xlfn.XLOOKUP(transakcje[[#This Row],[podkategoria]],parametr[podkategoria],parametr[kategoria])</f>
        <v>trwałe</v>
      </c>
      <c r="H2121" t="str">
        <f>_xlfn.XLOOKUP(transakcje[[#This Row],[kategoria]],parametr[kategoria],parametr[typ])</f>
        <v>wydatki</v>
      </c>
      <c r="I2121" s="1">
        <f>ABS(transakcje[[#This Row],[kwota]])</f>
        <v>68.796000000000006</v>
      </c>
    </row>
    <row r="2122" spans="1:9" x14ac:dyDescent="0.3">
      <c r="A2122">
        <v>2121</v>
      </c>
      <c r="B2122">
        <v>2017</v>
      </c>
      <c r="C2122">
        <v>6</v>
      </c>
      <c r="D2122">
        <v>16</v>
      </c>
      <c r="E2122" s="1">
        <v>-12.456</v>
      </c>
      <c r="F2122" t="s">
        <v>11</v>
      </c>
      <c r="G2122" t="str">
        <f>_xlfn.XLOOKUP(transakcje[[#This Row],[podkategoria]],parametr[podkategoria],parametr[kategoria])</f>
        <v>wydatki inne</v>
      </c>
      <c r="H2122" t="str">
        <f>_xlfn.XLOOKUP(transakcje[[#This Row],[kategoria]],parametr[kategoria],parametr[typ])</f>
        <v>wydatki</v>
      </c>
      <c r="I2122" s="1">
        <f>ABS(transakcje[[#This Row],[kwota]])</f>
        <v>12.456</v>
      </c>
    </row>
    <row r="2123" spans="1:9" x14ac:dyDescent="0.3">
      <c r="A2123">
        <v>2122</v>
      </c>
      <c r="B2123">
        <v>2017</v>
      </c>
      <c r="C2123">
        <v>6</v>
      </c>
      <c r="D2123">
        <v>16</v>
      </c>
      <c r="E2123" s="1">
        <v>-28</v>
      </c>
      <c r="F2123" t="s">
        <v>11</v>
      </c>
      <c r="G2123" t="str">
        <f>_xlfn.XLOOKUP(transakcje[[#This Row],[podkategoria]],parametr[podkategoria],parametr[kategoria])</f>
        <v>wydatki inne</v>
      </c>
      <c r="H2123" t="str">
        <f>_xlfn.XLOOKUP(transakcje[[#This Row],[kategoria]],parametr[kategoria],parametr[typ])</f>
        <v>wydatki</v>
      </c>
      <c r="I2123" s="1">
        <f>ABS(transakcje[[#This Row],[kwota]])</f>
        <v>28</v>
      </c>
    </row>
    <row r="2124" spans="1:9" x14ac:dyDescent="0.3">
      <c r="A2124">
        <v>2123</v>
      </c>
      <c r="B2124">
        <v>2017</v>
      </c>
      <c r="C2124">
        <v>6</v>
      </c>
      <c r="D2124">
        <v>16</v>
      </c>
      <c r="E2124" s="1">
        <v>-0.8</v>
      </c>
      <c r="F2124" t="s">
        <v>14</v>
      </c>
      <c r="G2124" t="str">
        <f>_xlfn.XLOOKUP(transakcje[[#This Row],[podkategoria]],parametr[podkategoria],parametr[kategoria])</f>
        <v>opłaty stałe</v>
      </c>
      <c r="H2124" t="str">
        <f>_xlfn.XLOOKUP(transakcje[[#This Row],[kategoria]],parametr[kategoria],parametr[typ])</f>
        <v>wydatki</v>
      </c>
      <c r="I2124" s="1">
        <f>ABS(transakcje[[#This Row],[kwota]])</f>
        <v>0.8</v>
      </c>
    </row>
    <row r="2125" spans="1:9" x14ac:dyDescent="0.3">
      <c r="A2125">
        <v>2124</v>
      </c>
      <c r="B2125">
        <v>2017</v>
      </c>
      <c r="C2125">
        <v>6</v>
      </c>
      <c r="D2125">
        <v>16</v>
      </c>
      <c r="E2125" s="1">
        <v>-21.448</v>
      </c>
      <c r="F2125" t="s">
        <v>26</v>
      </c>
      <c r="G2125" t="str">
        <f>_xlfn.XLOOKUP(transakcje[[#This Row],[podkategoria]],parametr[podkategoria],parametr[kategoria])</f>
        <v>życie</v>
      </c>
      <c r="H2125" t="str">
        <f>_xlfn.XLOOKUP(transakcje[[#This Row],[kategoria]],parametr[kategoria],parametr[typ])</f>
        <v>wydatki</v>
      </c>
      <c r="I2125" s="1">
        <f>ABS(transakcje[[#This Row],[kwota]])</f>
        <v>21.448</v>
      </c>
    </row>
    <row r="2126" spans="1:9" x14ac:dyDescent="0.3">
      <c r="A2126">
        <v>2125</v>
      </c>
      <c r="B2126">
        <v>2017</v>
      </c>
      <c r="C2126">
        <v>6</v>
      </c>
      <c r="D2126">
        <v>19</v>
      </c>
      <c r="E2126" s="1">
        <v>-6.0819999999999999</v>
      </c>
      <c r="F2126" t="s">
        <v>26</v>
      </c>
      <c r="G2126" t="str">
        <f>_xlfn.XLOOKUP(transakcje[[#This Row],[podkategoria]],parametr[podkategoria],parametr[kategoria])</f>
        <v>życie</v>
      </c>
      <c r="H2126" t="str">
        <f>_xlfn.XLOOKUP(transakcje[[#This Row],[kategoria]],parametr[kategoria],parametr[typ])</f>
        <v>wydatki</v>
      </c>
      <c r="I2126" s="1">
        <f>ABS(transakcje[[#This Row],[kwota]])</f>
        <v>6.0819999999999999</v>
      </c>
    </row>
    <row r="2127" spans="1:9" x14ac:dyDescent="0.3">
      <c r="A2127">
        <v>2126</v>
      </c>
      <c r="B2127">
        <v>2017</v>
      </c>
      <c r="C2127">
        <v>6</v>
      </c>
      <c r="D2127">
        <v>22</v>
      </c>
      <c r="E2127" s="1">
        <v>-7.9980000000000002</v>
      </c>
      <c r="F2127" t="s">
        <v>24</v>
      </c>
      <c r="G2127" t="str">
        <f>_xlfn.XLOOKUP(transakcje[[#This Row],[podkategoria]],parametr[podkategoria],parametr[kategoria])</f>
        <v>trwałe</v>
      </c>
      <c r="H2127" t="str">
        <f>_xlfn.XLOOKUP(transakcje[[#This Row],[kategoria]],parametr[kategoria],parametr[typ])</f>
        <v>wydatki</v>
      </c>
      <c r="I2127" s="1">
        <f>ABS(transakcje[[#This Row],[kwota]])</f>
        <v>7.9980000000000002</v>
      </c>
    </row>
    <row r="2128" spans="1:9" x14ac:dyDescent="0.3">
      <c r="A2128">
        <v>2127</v>
      </c>
      <c r="B2128">
        <v>2017</v>
      </c>
      <c r="C2128">
        <v>6</v>
      </c>
      <c r="D2128">
        <v>22</v>
      </c>
      <c r="E2128" s="1">
        <v>-16.78</v>
      </c>
      <c r="F2128" t="s">
        <v>26</v>
      </c>
      <c r="G2128" t="str">
        <f>_xlfn.XLOOKUP(transakcje[[#This Row],[podkategoria]],parametr[podkategoria],parametr[kategoria])</f>
        <v>życie</v>
      </c>
      <c r="H2128" t="str">
        <f>_xlfn.XLOOKUP(transakcje[[#This Row],[kategoria]],parametr[kategoria],parametr[typ])</f>
        <v>wydatki</v>
      </c>
      <c r="I2128" s="1">
        <f>ABS(transakcje[[#This Row],[kwota]])</f>
        <v>16.78</v>
      </c>
    </row>
    <row r="2129" spans="1:9" x14ac:dyDescent="0.3">
      <c r="A2129">
        <v>2128</v>
      </c>
      <c r="B2129">
        <v>2017</v>
      </c>
      <c r="C2129">
        <v>6</v>
      </c>
      <c r="D2129">
        <v>23</v>
      </c>
      <c r="E2129" s="1">
        <v>492.52600000000001</v>
      </c>
      <c r="F2129" t="s">
        <v>8</v>
      </c>
      <c r="G2129" t="str">
        <f>_xlfn.XLOOKUP(transakcje[[#This Row],[podkategoria]],parametr[podkategoria],parametr[kategoria])</f>
        <v>dochody z pracy</v>
      </c>
      <c r="H2129" t="str">
        <f>_xlfn.XLOOKUP(transakcje[[#This Row],[kategoria]],parametr[kategoria],parametr[typ])</f>
        <v>dochody</v>
      </c>
      <c r="I2129" s="1">
        <f>ABS(transakcje[[#This Row],[kwota]])</f>
        <v>492.52600000000001</v>
      </c>
    </row>
    <row r="2130" spans="1:9" x14ac:dyDescent="0.3">
      <c r="A2130">
        <v>2129</v>
      </c>
      <c r="B2130">
        <v>2017</v>
      </c>
      <c r="C2130">
        <v>6</v>
      </c>
      <c r="D2130">
        <v>23</v>
      </c>
      <c r="E2130" s="1">
        <v>-6.2859999999999996</v>
      </c>
      <c r="F2130" t="s">
        <v>26</v>
      </c>
      <c r="G2130" t="str">
        <f>_xlfn.XLOOKUP(transakcje[[#This Row],[podkategoria]],parametr[podkategoria],parametr[kategoria])</f>
        <v>życie</v>
      </c>
      <c r="H2130" t="str">
        <f>_xlfn.XLOOKUP(transakcje[[#This Row],[kategoria]],parametr[kategoria],parametr[typ])</f>
        <v>wydatki</v>
      </c>
      <c r="I2130" s="1">
        <f>ABS(transakcje[[#This Row],[kwota]])</f>
        <v>6.2859999999999996</v>
      </c>
    </row>
    <row r="2131" spans="1:9" x14ac:dyDescent="0.3">
      <c r="A2131">
        <v>2130</v>
      </c>
      <c r="B2131">
        <v>2017</v>
      </c>
      <c r="C2131">
        <v>6</v>
      </c>
      <c r="D2131">
        <v>24</v>
      </c>
      <c r="E2131" s="1">
        <v>-247.42</v>
      </c>
      <c r="F2131" t="s">
        <v>33</v>
      </c>
      <c r="G2131" t="str">
        <f>_xlfn.XLOOKUP(transakcje[[#This Row],[podkategoria]],parametr[podkategoria],parametr[kategoria])</f>
        <v>trwałe</v>
      </c>
      <c r="H2131" t="str">
        <f>_xlfn.XLOOKUP(transakcje[[#This Row],[kategoria]],parametr[kategoria],parametr[typ])</f>
        <v>wydatki</v>
      </c>
      <c r="I2131" s="1">
        <f>ABS(transakcje[[#This Row],[kwota]])</f>
        <v>247.42</v>
      </c>
    </row>
    <row r="2132" spans="1:9" x14ac:dyDescent="0.3">
      <c r="A2132">
        <v>2131</v>
      </c>
      <c r="B2132">
        <v>2017</v>
      </c>
      <c r="C2132">
        <v>6</v>
      </c>
      <c r="D2132">
        <v>24</v>
      </c>
      <c r="E2132" s="1">
        <v>-11.864000000000001</v>
      </c>
      <c r="F2132" t="s">
        <v>20</v>
      </c>
      <c r="G2132" t="str">
        <f>_xlfn.XLOOKUP(transakcje[[#This Row],[podkategoria]],parametr[podkategoria],parametr[kategoria])</f>
        <v>trwałe</v>
      </c>
      <c r="H2132" t="str">
        <f>_xlfn.XLOOKUP(transakcje[[#This Row],[kategoria]],parametr[kategoria],parametr[typ])</f>
        <v>wydatki</v>
      </c>
      <c r="I2132" s="1">
        <f>ABS(transakcje[[#This Row],[kwota]])</f>
        <v>11.864000000000001</v>
      </c>
    </row>
    <row r="2133" spans="1:9" x14ac:dyDescent="0.3">
      <c r="A2133">
        <v>2132</v>
      </c>
      <c r="B2133">
        <v>2017</v>
      </c>
      <c r="C2133">
        <v>6</v>
      </c>
      <c r="D2133">
        <v>26</v>
      </c>
      <c r="E2133" s="1">
        <v>-19.8</v>
      </c>
      <c r="F2133" t="s">
        <v>32</v>
      </c>
      <c r="G2133" t="str">
        <f>_xlfn.XLOOKUP(transakcje[[#This Row],[podkategoria]],parametr[podkategoria],parametr[kategoria])</f>
        <v>opłaty stałe</v>
      </c>
      <c r="H2133" t="str">
        <f>_xlfn.XLOOKUP(transakcje[[#This Row],[kategoria]],parametr[kategoria],parametr[typ])</f>
        <v>wydatki</v>
      </c>
      <c r="I2133" s="1">
        <f>ABS(transakcje[[#This Row],[kwota]])</f>
        <v>19.8</v>
      </c>
    </row>
    <row r="2134" spans="1:9" x14ac:dyDescent="0.3">
      <c r="A2134">
        <v>2133</v>
      </c>
      <c r="B2134">
        <v>2017</v>
      </c>
      <c r="C2134">
        <v>6</v>
      </c>
      <c r="D2134">
        <v>26</v>
      </c>
      <c r="E2134" s="1">
        <v>-19.496000000000002</v>
      </c>
      <c r="F2134" t="s">
        <v>20</v>
      </c>
      <c r="G2134" t="str">
        <f>_xlfn.XLOOKUP(transakcje[[#This Row],[podkategoria]],parametr[podkategoria],parametr[kategoria])</f>
        <v>trwałe</v>
      </c>
      <c r="H2134" t="str">
        <f>_xlfn.XLOOKUP(transakcje[[#This Row],[kategoria]],parametr[kategoria],parametr[typ])</f>
        <v>wydatki</v>
      </c>
      <c r="I2134" s="1">
        <f>ABS(transakcje[[#This Row],[kwota]])</f>
        <v>19.496000000000002</v>
      </c>
    </row>
    <row r="2135" spans="1:9" x14ac:dyDescent="0.3">
      <c r="A2135">
        <v>2134</v>
      </c>
      <c r="B2135">
        <v>2017</v>
      </c>
      <c r="C2135">
        <v>6</v>
      </c>
      <c r="D2135">
        <v>28</v>
      </c>
      <c r="E2135" s="1">
        <v>-6.7099999999999991</v>
      </c>
      <c r="F2135" t="s">
        <v>26</v>
      </c>
      <c r="G2135" t="str">
        <f>_xlfn.XLOOKUP(transakcje[[#This Row],[podkategoria]],parametr[podkategoria],parametr[kategoria])</f>
        <v>życie</v>
      </c>
      <c r="H2135" t="str">
        <f>_xlfn.XLOOKUP(transakcje[[#This Row],[kategoria]],parametr[kategoria],parametr[typ])</f>
        <v>wydatki</v>
      </c>
      <c r="I2135" s="1">
        <f>ABS(transakcje[[#This Row],[kwota]])</f>
        <v>6.7099999999999991</v>
      </c>
    </row>
    <row r="2136" spans="1:9" x14ac:dyDescent="0.3">
      <c r="A2136">
        <v>2135</v>
      </c>
      <c r="B2136">
        <v>2017</v>
      </c>
      <c r="C2136">
        <v>6</v>
      </c>
      <c r="D2136">
        <v>29</v>
      </c>
      <c r="E2136" s="1">
        <v>-7.9560000000000004</v>
      </c>
      <c r="F2136" t="s">
        <v>26</v>
      </c>
      <c r="G2136" t="str">
        <f>_xlfn.XLOOKUP(transakcje[[#This Row],[podkategoria]],parametr[podkategoria],parametr[kategoria])</f>
        <v>życie</v>
      </c>
      <c r="H2136" t="str">
        <f>_xlfn.XLOOKUP(transakcje[[#This Row],[kategoria]],parametr[kategoria],parametr[typ])</f>
        <v>wydatki</v>
      </c>
      <c r="I2136" s="1">
        <f>ABS(transakcje[[#This Row],[kwota]])</f>
        <v>7.9560000000000004</v>
      </c>
    </row>
    <row r="2137" spans="1:9" x14ac:dyDescent="0.3">
      <c r="A2137">
        <v>2136</v>
      </c>
      <c r="B2137">
        <v>2017</v>
      </c>
      <c r="C2137">
        <v>6</v>
      </c>
      <c r="D2137">
        <v>30</v>
      </c>
      <c r="E2137" s="1">
        <v>4.0000000000000001E-3</v>
      </c>
      <c r="F2137" t="s">
        <v>17</v>
      </c>
      <c r="G2137" t="str">
        <f>_xlfn.XLOOKUP(transakcje[[#This Row],[podkategoria]],parametr[podkategoria],parametr[kategoria])</f>
        <v>dochody pozostałe</v>
      </c>
      <c r="H2137" t="str">
        <f>_xlfn.XLOOKUP(transakcje[[#This Row],[kategoria]],parametr[kategoria],parametr[typ])</f>
        <v>dochody</v>
      </c>
      <c r="I2137" s="1">
        <f>ABS(transakcje[[#This Row],[kwota]])</f>
        <v>4.0000000000000001E-3</v>
      </c>
    </row>
    <row r="2138" spans="1:9" x14ac:dyDescent="0.3">
      <c r="A2138">
        <v>2137</v>
      </c>
      <c r="B2138">
        <v>2017</v>
      </c>
      <c r="C2138">
        <v>6</v>
      </c>
      <c r="D2138">
        <v>30</v>
      </c>
      <c r="E2138" s="1">
        <v>-1.198</v>
      </c>
      <c r="F2138" t="s">
        <v>14</v>
      </c>
      <c r="G2138" t="str">
        <f>_xlfn.XLOOKUP(transakcje[[#This Row],[podkategoria]],parametr[podkategoria],parametr[kategoria])</f>
        <v>opłaty stałe</v>
      </c>
      <c r="H2138" t="str">
        <f>_xlfn.XLOOKUP(transakcje[[#This Row],[kategoria]],parametr[kategoria],parametr[typ])</f>
        <v>wydatki</v>
      </c>
      <c r="I2138" s="1">
        <f>ABS(transakcje[[#This Row],[kwota]])</f>
        <v>1.198</v>
      </c>
    </row>
    <row r="2139" spans="1:9" x14ac:dyDescent="0.3">
      <c r="A2139">
        <v>2138</v>
      </c>
      <c r="B2139">
        <v>2017</v>
      </c>
      <c r="C2139">
        <v>6</v>
      </c>
      <c r="D2139">
        <v>30</v>
      </c>
      <c r="E2139" s="1">
        <v>-0.4</v>
      </c>
      <c r="F2139" t="s">
        <v>14</v>
      </c>
      <c r="G2139" t="str">
        <f>_xlfn.XLOOKUP(transakcje[[#This Row],[podkategoria]],parametr[podkategoria],parametr[kategoria])</f>
        <v>opłaty stałe</v>
      </c>
      <c r="H2139" t="str">
        <f>_xlfn.XLOOKUP(transakcje[[#This Row],[kategoria]],parametr[kategoria],parametr[typ])</f>
        <v>wydatki</v>
      </c>
      <c r="I2139" s="1">
        <f>ABS(transakcje[[#This Row],[kwota]])</f>
        <v>0.4</v>
      </c>
    </row>
    <row r="2140" spans="1:9" x14ac:dyDescent="0.3">
      <c r="A2140">
        <v>2139</v>
      </c>
      <c r="B2140">
        <v>2017</v>
      </c>
      <c r="C2140">
        <v>6</v>
      </c>
      <c r="D2140">
        <v>30</v>
      </c>
      <c r="E2140" s="1">
        <v>-2E-3</v>
      </c>
      <c r="F2140" t="s">
        <v>14</v>
      </c>
      <c r="G2140" t="str">
        <f>_xlfn.XLOOKUP(transakcje[[#This Row],[podkategoria]],parametr[podkategoria],parametr[kategoria])</f>
        <v>opłaty stałe</v>
      </c>
      <c r="H2140" t="str">
        <f>_xlfn.XLOOKUP(transakcje[[#This Row],[kategoria]],parametr[kategoria],parametr[typ])</f>
        <v>wydatki</v>
      </c>
      <c r="I2140" s="1">
        <f>ABS(transakcje[[#This Row],[kwota]])</f>
        <v>2E-3</v>
      </c>
    </row>
    <row r="2141" spans="1:9" x14ac:dyDescent="0.3">
      <c r="A2141">
        <v>2140</v>
      </c>
      <c r="B2141">
        <v>2017</v>
      </c>
      <c r="C2141">
        <v>7</v>
      </c>
      <c r="D2141">
        <v>1</v>
      </c>
      <c r="E2141" s="1">
        <v>-40.968000000000004</v>
      </c>
      <c r="F2141" t="s">
        <v>20</v>
      </c>
      <c r="G2141" t="str">
        <f>_xlfn.XLOOKUP(transakcje[[#This Row],[podkategoria]],parametr[podkategoria],parametr[kategoria])</f>
        <v>trwałe</v>
      </c>
      <c r="H2141" t="str">
        <f>_xlfn.XLOOKUP(transakcje[[#This Row],[kategoria]],parametr[kategoria],parametr[typ])</f>
        <v>wydatki</v>
      </c>
      <c r="I2141" s="1">
        <f>ABS(transakcje[[#This Row],[kwota]])</f>
        <v>40.968000000000004</v>
      </c>
    </row>
    <row r="2142" spans="1:9" x14ac:dyDescent="0.3">
      <c r="A2142">
        <v>2141</v>
      </c>
      <c r="B2142">
        <v>2017</v>
      </c>
      <c r="C2142">
        <v>7</v>
      </c>
      <c r="D2142">
        <v>2</v>
      </c>
      <c r="E2142" s="1">
        <v>-4.54</v>
      </c>
      <c r="F2142" t="s">
        <v>37</v>
      </c>
      <c r="G2142" t="str">
        <f>_xlfn.XLOOKUP(transakcje[[#This Row],[podkategoria]],parametr[podkategoria],parametr[kategoria])</f>
        <v>opłaty stałe</v>
      </c>
      <c r="H2142" t="str">
        <f>_xlfn.XLOOKUP(transakcje[[#This Row],[kategoria]],parametr[kategoria],parametr[typ])</f>
        <v>wydatki</v>
      </c>
      <c r="I2142" s="1">
        <f>ABS(transakcje[[#This Row],[kwota]])</f>
        <v>4.54</v>
      </c>
    </row>
    <row r="2143" spans="1:9" x14ac:dyDescent="0.3">
      <c r="A2143">
        <v>2142</v>
      </c>
      <c r="B2143">
        <v>2017</v>
      </c>
      <c r="C2143">
        <v>7</v>
      </c>
      <c r="D2143">
        <v>2</v>
      </c>
      <c r="E2143" s="1">
        <v>-66.058000000000007</v>
      </c>
      <c r="F2143" t="s">
        <v>31</v>
      </c>
      <c r="G2143" t="str">
        <f>_xlfn.XLOOKUP(transakcje[[#This Row],[podkategoria]],parametr[podkategoria],parametr[kategoria])</f>
        <v>opłaty stałe</v>
      </c>
      <c r="H2143" t="str">
        <f>_xlfn.XLOOKUP(transakcje[[#This Row],[kategoria]],parametr[kategoria],parametr[typ])</f>
        <v>wydatki</v>
      </c>
      <c r="I2143" s="1">
        <f>ABS(transakcje[[#This Row],[kwota]])</f>
        <v>66.058000000000007</v>
      </c>
    </row>
    <row r="2144" spans="1:9" x14ac:dyDescent="0.3">
      <c r="A2144">
        <v>2143</v>
      </c>
      <c r="B2144">
        <v>2017</v>
      </c>
      <c r="C2144">
        <v>7</v>
      </c>
      <c r="D2144">
        <v>2</v>
      </c>
      <c r="E2144" s="1">
        <v>-10.786</v>
      </c>
      <c r="F2144" t="s">
        <v>11</v>
      </c>
      <c r="G2144" t="str">
        <f>_xlfn.XLOOKUP(transakcje[[#This Row],[podkategoria]],parametr[podkategoria],parametr[kategoria])</f>
        <v>wydatki inne</v>
      </c>
      <c r="H2144" t="str">
        <f>_xlfn.XLOOKUP(transakcje[[#This Row],[kategoria]],parametr[kategoria],parametr[typ])</f>
        <v>wydatki</v>
      </c>
      <c r="I2144" s="1">
        <f>ABS(transakcje[[#This Row],[kwota]])</f>
        <v>10.786</v>
      </c>
    </row>
    <row r="2145" spans="1:9" x14ac:dyDescent="0.3">
      <c r="A2145">
        <v>2144</v>
      </c>
      <c r="B2145">
        <v>2017</v>
      </c>
      <c r="C2145">
        <v>7</v>
      </c>
      <c r="D2145">
        <v>2</v>
      </c>
      <c r="E2145" s="1">
        <v>-6.1479999999999997</v>
      </c>
      <c r="F2145" t="s">
        <v>35</v>
      </c>
      <c r="G2145" t="str">
        <f>_xlfn.XLOOKUP(transakcje[[#This Row],[podkategoria]],parametr[podkategoria],parametr[kategoria])</f>
        <v>opłaty stałe</v>
      </c>
      <c r="H2145" t="str">
        <f>_xlfn.XLOOKUP(transakcje[[#This Row],[kategoria]],parametr[kategoria],parametr[typ])</f>
        <v>wydatki</v>
      </c>
      <c r="I2145" s="1">
        <f>ABS(transakcje[[#This Row],[kwota]])</f>
        <v>6.1479999999999997</v>
      </c>
    </row>
    <row r="2146" spans="1:9" x14ac:dyDescent="0.3">
      <c r="A2146">
        <v>2145</v>
      </c>
      <c r="B2146">
        <v>2017</v>
      </c>
      <c r="C2146">
        <v>7</v>
      </c>
      <c r="D2146">
        <v>2</v>
      </c>
      <c r="E2146" s="1">
        <v>-7.38</v>
      </c>
      <c r="F2146" t="s">
        <v>23</v>
      </c>
      <c r="G2146" t="str">
        <f>_xlfn.XLOOKUP(transakcje[[#This Row],[podkategoria]],parametr[podkategoria],parametr[kategoria])</f>
        <v>opłaty stałe</v>
      </c>
      <c r="H2146" t="str">
        <f>_xlfn.XLOOKUP(transakcje[[#This Row],[kategoria]],parametr[kategoria],parametr[typ])</f>
        <v>wydatki</v>
      </c>
      <c r="I2146" s="1">
        <f>ABS(transakcje[[#This Row],[kwota]])</f>
        <v>7.38</v>
      </c>
    </row>
    <row r="2147" spans="1:9" x14ac:dyDescent="0.3">
      <c r="A2147">
        <v>2146</v>
      </c>
      <c r="B2147">
        <v>2017</v>
      </c>
      <c r="C2147">
        <v>7</v>
      </c>
      <c r="D2147">
        <v>2</v>
      </c>
      <c r="E2147" s="1">
        <v>-16.46</v>
      </c>
      <c r="F2147" t="s">
        <v>34</v>
      </c>
      <c r="G2147" t="str">
        <f>_xlfn.XLOOKUP(transakcje[[#This Row],[podkategoria]],parametr[podkategoria],parametr[kategoria])</f>
        <v>opłaty stałe</v>
      </c>
      <c r="H2147" t="str">
        <f>_xlfn.XLOOKUP(transakcje[[#This Row],[kategoria]],parametr[kategoria],parametr[typ])</f>
        <v>wydatki</v>
      </c>
      <c r="I2147" s="1">
        <f>ABS(transakcje[[#This Row],[kwota]])</f>
        <v>16.46</v>
      </c>
    </row>
    <row r="2148" spans="1:9" x14ac:dyDescent="0.3">
      <c r="A2148">
        <v>2147</v>
      </c>
      <c r="B2148">
        <v>2017</v>
      </c>
      <c r="C2148">
        <v>7</v>
      </c>
      <c r="D2148">
        <v>3</v>
      </c>
      <c r="E2148" s="1">
        <v>-8.6</v>
      </c>
      <c r="F2148" t="s">
        <v>11</v>
      </c>
      <c r="G2148" t="str">
        <f>_xlfn.XLOOKUP(transakcje[[#This Row],[podkategoria]],parametr[podkategoria],parametr[kategoria])</f>
        <v>wydatki inne</v>
      </c>
      <c r="H2148" t="str">
        <f>_xlfn.XLOOKUP(transakcje[[#This Row],[kategoria]],parametr[kategoria],parametr[typ])</f>
        <v>wydatki</v>
      </c>
      <c r="I2148" s="1">
        <f>ABS(transakcje[[#This Row],[kwota]])</f>
        <v>8.6</v>
      </c>
    </row>
    <row r="2149" spans="1:9" x14ac:dyDescent="0.3">
      <c r="A2149">
        <v>2148</v>
      </c>
      <c r="B2149">
        <v>2017</v>
      </c>
      <c r="C2149">
        <v>7</v>
      </c>
      <c r="D2149">
        <v>4</v>
      </c>
      <c r="E2149" s="1">
        <v>-22.158000000000001</v>
      </c>
      <c r="F2149" t="s">
        <v>11</v>
      </c>
      <c r="G2149" t="str">
        <f>_xlfn.XLOOKUP(transakcje[[#This Row],[podkategoria]],parametr[podkategoria],parametr[kategoria])</f>
        <v>wydatki inne</v>
      </c>
      <c r="H2149" t="str">
        <f>_xlfn.XLOOKUP(transakcje[[#This Row],[kategoria]],parametr[kategoria],parametr[typ])</f>
        <v>wydatki</v>
      </c>
      <c r="I2149" s="1">
        <f>ABS(transakcje[[#This Row],[kwota]])</f>
        <v>22.158000000000001</v>
      </c>
    </row>
    <row r="2150" spans="1:9" x14ac:dyDescent="0.3">
      <c r="A2150">
        <v>2149</v>
      </c>
      <c r="B2150">
        <v>2017</v>
      </c>
      <c r="C2150">
        <v>7</v>
      </c>
      <c r="D2150">
        <v>5</v>
      </c>
      <c r="E2150" s="1">
        <v>-6.29</v>
      </c>
      <c r="F2150" t="s">
        <v>25</v>
      </c>
      <c r="G2150" t="str">
        <f>_xlfn.XLOOKUP(transakcje[[#This Row],[podkategoria]],parametr[podkategoria],parametr[kategoria])</f>
        <v>opłaty stałe</v>
      </c>
      <c r="H2150" t="str">
        <f>_xlfn.XLOOKUP(transakcje[[#This Row],[kategoria]],parametr[kategoria],parametr[typ])</f>
        <v>wydatki</v>
      </c>
      <c r="I2150" s="1">
        <f>ABS(transakcje[[#This Row],[kwota]])</f>
        <v>6.29</v>
      </c>
    </row>
    <row r="2151" spans="1:9" x14ac:dyDescent="0.3">
      <c r="A2151">
        <v>2150</v>
      </c>
      <c r="B2151">
        <v>2017</v>
      </c>
      <c r="C2151">
        <v>7</v>
      </c>
      <c r="D2151">
        <v>7</v>
      </c>
      <c r="E2151" s="1">
        <v>-18.797999999999998</v>
      </c>
      <c r="F2151" t="s">
        <v>20</v>
      </c>
      <c r="G2151" t="str">
        <f>_xlfn.XLOOKUP(transakcje[[#This Row],[podkategoria]],parametr[podkategoria],parametr[kategoria])</f>
        <v>trwałe</v>
      </c>
      <c r="H2151" t="str">
        <f>_xlfn.XLOOKUP(transakcje[[#This Row],[kategoria]],parametr[kategoria],parametr[typ])</f>
        <v>wydatki</v>
      </c>
      <c r="I2151" s="1">
        <f>ABS(transakcje[[#This Row],[kwota]])</f>
        <v>18.797999999999998</v>
      </c>
    </row>
    <row r="2152" spans="1:9" x14ac:dyDescent="0.3">
      <c r="A2152">
        <v>2151</v>
      </c>
      <c r="B2152">
        <v>2017</v>
      </c>
      <c r="C2152">
        <v>7</v>
      </c>
      <c r="D2152">
        <v>8</v>
      </c>
      <c r="E2152" s="1">
        <v>-9.0220000000000002</v>
      </c>
      <c r="F2152" t="s">
        <v>26</v>
      </c>
      <c r="G2152" t="str">
        <f>_xlfn.XLOOKUP(transakcje[[#This Row],[podkategoria]],parametr[podkategoria],parametr[kategoria])</f>
        <v>życie</v>
      </c>
      <c r="H2152" t="str">
        <f>_xlfn.XLOOKUP(transakcje[[#This Row],[kategoria]],parametr[kategoria],parametr[typ])</f>
        <v>wydatki</v>
      </c>
      <c r="I2152" s="1">
        <f>ABS(transakcje[[#This Row],[kwota]])</f>
        <v>9.0220000000000002</v>
      </c>
    </row>
    <row r="2153" spans="1:9" x14ac:dyDescent="0.3">
      <c r="A2153">
        <v>2152</v>
      </c>
      <c r="B2153">
        <v>2017</v>
      </c>
      <c r="C2153">
        <v>7</v>
      </c>
      <c r="D2153">
        <v>10</v>
      </c>
      <c r="E2153" s="1">
        <v>12.888</v>
      </c>
      <c r="F2153" t="s">
        <v>17</v>
      </c>
      <c r="G2153" t="str">
        <f>_xlfn.XLOOKUP(transakcje[[#This Row],[podkategoria]],parametr[podkategoria],parametr[kategoria])</f>
        <v>dochody pozostałe</v>
      </c>
      <c r="H2153" t="str">
        <f>_xlfn.XLOOKUP(transakcje[[#This Row],[kategoria]],parametr[kategoria],parametr[typ])</f>
        <v>dochody</v>
      </c>
      <c r="I2153" s="1">
        <f>ABS(transakcje[[#This Row],[kwota]])</f>
        <v>12.888</v>
      </c>
    </row>
    <row r="2154" spans="1:9" x14ac:dyDescent="0.3">
      <c r="A2154">
        <v>2153</v>
      </c>
      <c r="B2154">
        <v>2017</v>
      </c>
      <c r="C2154">
        <v>7</v>
      </c>
      <c r="D2154">
        <v>12</v>
      </c>
      <c r="E2154" s="1">
        <v>-8.3620000000000001</v>
      </c>
      <c r="F2154" t="s">
        <v>26</v>
      </c>
      <c r="G2154" t="str">
        <f>_xlfn.XLOOKUP(transakcje[[#This Row],[podkategoria]],parametr[podkategoria],parametr[kategoria])</f>
        <v>życie</v>
      </c>
      <c r="H2154" t="str">
        <f>_xlfn.XLOOKUP(transakcje[[#This Row],[kategoria]],parametr[kategoria],parametr[typ])</f>
        <v>wydatki</v>
      </c>
      <c r="I2154" s="1">
        <f>ABS(transakcje[[#This Row],[kwota]])</f>
        <v>8.3620000000000001</v>
      </c>
    </row>
    <row r="2155" spans="1:9" x14ac:dyDescent="0.3">
      <c r="A2155">
        <v>2154</v>
      </c>
      <c r="B2155">
        <v>2017</v>
      </c>
      <c r="C2155">
        <v>7</v>
      </c>
      <c r="D2155">
        <v>12</v>
      </c>
      <c r="E2155" s="1">
        <v>-1.8559999999999999</v>
      </c>
      <c r="F2155" t="s">
        <v>26</v>
      </c>
      <c r="G2155" t="str">
        <f>_xlfn.XLOOKUP(transakcje[[#This Row],[podkategoria]],parametr[podkategoria],parametr[kategoria])</f>
        <v>życie</v>
      </c>
      <c r="H2155" t="str">
        <f>_xlfn.XLOOKUP(transakcje[[#This Row],[kategoria]],parametr[kategoria],parametr[typ])</f>
        <v>wydatki</v>
      </c>
      <c r="I2155" s="1">
        <f>ABS(transakcje[[#This Row],[kwota]])</f>
        <v>1.8559999999999999</v>
      </c>
    </row>
    <row r="2156" spans="1:9" x14ac:dyDescent="0.3">
      <c r="A2156">
        <v>2155</v>
      </c>
      <c r="B2156">
        <v>2017</v>
      </c>
      <c r="C2156">
        <v>7</v>
      </c>
      <c r="D2156">
        <v>13</v>
      </c>
      <c r="E2156" s="1">
        <v>-35.6</v>
      </c>
      <c r="F2156" t="s">
        <v>20</v>
      </c>
      <c r="G2156" t="str">
        <f>_xlfn.XLOOKUP(transakcje[[#This Row],[podkategoria]],parametr[podkategoria],parametr[kategoria])</f>
        <v>trwałe</v>
      </c>
      <c r="H2156" t="str">
        <f>_xlfn.XLOOKUP(transakcje[[#This Row],[kategoria]],parametr[kategoria],parametr[typ])</f>
        <v>wydatki</v>
      </c>
      <c r="I2156" s="1">
        <f>ABS(transakcje[[#This Row],[kwota]])</f>
        <v>35.6</v>
      </c>
    </row>
    <row r="2157" spans="1:9" x14ac:dyDescent="0.3">
      <c r="A2157">
        <v>2156</v>
      </c>
      <c r="B2157">
        <v>2017</v>
      </c>
      <c r="C2157">
        <v>7</v>
      </c>
      <c r="D2157">
        <v>14</v>
      </c>
      <c r="E2157" s="1">
        <v>-0.39800000000000002</v>
      </c>
      <c r="F2157" t="s">
        <v>14</v>
      </c>
      <c r="G2157" t="str">
        <f>_xlfn.XLOOKUP(transakcje[[#This Row],[podkategoria]],parametr[podkategoria],parametr[kategoria])</f>
        <v>opłaty stałe</v>
      </c>
      <c r="H2157" t="str">
        <f>_xlfn.XLOOKUP(transakcje[[#This Row],[kategoria]],parametr[kategoria],parametr[typ])</f>
        <v>wydatki</v>
      </c>
      <c r="I2157" s="1">
        <f>ABS(transakcje[[#This Row],[kwota]])</f>
        <v>0.39800000000000002</v>
      </c>
    </row>
    <row r="2158" spans="1:9" x14ac:dyDescent="0.3">
      <c r="A2158">
        <v>2157</v>
      </c>
      <c r="B2158">
        <v>2017</v>
      </c>
      <c r="C2158">
        <v>7</v>
      </c>
      <c r="D2158">
        <v>15</v>
      </c>
      <c r="E2158" s="1">
        <v>-38.275999999999996</v>
      </c>
      <c r="F2158" t="s">
        <v>11</v>
      </c>
      <c r="G2158" t="str">
        <f>_xlfn.XLOOKUP(transakcje[[#This Row],[podkategoria]],parametr[podkategoria],parametr[kategoria])</f>
        <v>wydatki inne</v>
      </c>
      <c r="H2158" t="str">
        <f>_xlfn.XLOOKUP(transakcje[[#This Row],[kategoria]],parametr[kategoria],parametr[typ])</f>
        <v>wydatki</v>
      </c>
      <c r="I2158" s="1">
        <f>ABS(transakcje[[#This Row],[kwota]])</f>
        <v>38.275999999999996</v>
      </c>
    </row>
    <row r="2159" spans="1:9" x14ac:dyDescent="0.3">
      <c r="A2159">
        <v>2158</v>
      </c>
      <c r="B2159">
        <v>2017</v>
      </c>
      <c r="C2159">
        <v>7</v>
      </c>
      <c r="D2159">
        <v>16</v>
      </c>
      <c r="E2159" s="1">
        <v>-0.8</v>
      </c>
      <c r="F2159" t="s">
        <v>14</v>
      </c>
      <c r="G2159" t="str">
        <f>_xlfn.XLOOKUP(transakcje[[#This Row],[podkategoria]],parametr[podkategoria],parametr[kategoria])</f>
        <v>opłaty stałe</v>
      </c>
      <c r="H2159" t="str">
        <f>_xlfn.XLOOKUP(transakcje[[#This Row],[kategoria]],parametr[kategoria],parametr[typ])</f>
        <v>wydatki</v>
      </c>
      <c r="I2159" s="1">
        <f>ABS(transakcje[[#This Row],[kwota]])</f>
        <v>0.8</v>
      </c>
    </row>
    <row r="2160" spans="1:9" x14ac:dyDescent="0.3">
      <c r="A2160">
        <v>2159</v>
      </c>
      <c r="B2160">
        <v>2017</v>
      </c>
      <c r="C2160">
        <v>7</v>
      </c>
      <c r="D2160">
        <v>18</v>
      </c>
      <c r="E2160" s="1">
        <v>-4.2700000000000005</v>
      </c>
      <c r="F2160" t="s">
        <v>26</v>
      </c>
      <c r="G2160" t="str">
        <f>_xlfn.XLOOKUP(transakcje[[#This Row],[podkategoria]],parametr[podkategoria],parametr[kategoria])</f>
        <v>życie</v>
      </c>
      <c r="H2160" t="str">
        <f>_xlfn.XLOOKUP(transakcje[[#This Row],[kategoria]],parametr[kategoria],parametr[typ])</f>
        <v>wydatki</v>
      </c>
      <c r="I2160" s="1">
        <f>ABS(transakcje[[#This Row],[kwota]])</f>
        <v>4.2700000000000005</v>
      </c>
    </row>
    <row r="2161" spans="1:9" x14ac:dyDescent="0.3">
      <c r="A2161">
        <v>2160</v>
      </c>
      <c r="B2161">
        <v>2017</v>
      </c>
      <c r="C2161">
        <v>7</v>
      </c>
      <c r="D2161">
        <v>19</v>
      </c>
      <c r="E2161" s="1">
        <v>-7.0220000000000002</v>
      </c>
      <c r="F2161" t="s">
        <v>26</v>
      </c>
      <c r="G2161" t="str">
        <f>_xlfn.XLOOKUP(transakcje[[#This Row],[podkategoria]],parametr[podkategoria],parametr[kategoria])</f>
        <v>życie</v>
      </c>
      <c r="H2161" t="str">
        <f>_xlfn.XLOOKUP(transakcje[[#This Row],[kategoria]],parametr[kategoria],parametr[typ])</f>
        <v>wydatki</v>
      </c>
      <c r="I2161" s="1">
        <f>ABS(transakcje[[#This Row],[kwota]])</f>
        <v>7.0220000000000002</v>
      </c>
    </row>
    <row r="2162" spans="1:9" x14ac:dyDescent="0.3">
      <c r="A2162">
        <v>2161</v>
      </c>
      <c r="B2162">
        <v>2017</v>
      </c>
      <c r="C2162">
        <v>7</v>
      </c>
      <c r="D2162">
        <v>21</v>
      </c>
      <c r="E2162" s="1">
        <v>-16.240000000000002</v>
      </c>
      <c r="F2162" t="s">
        <v>26</v>
      </c>
      <c r="G2162" t="str">
        <f>_xlfn.XLOOKUP(transakcje[[#This Row],[podkategoria]],parametr[podkategoria],parametr[kategoria])</f>
        <v>życie</v>
      </c>
      <c r="H2162" t="str">
        <f>_xlfn.XLOOKUP(transakcje[[#This Row],[kategoria]],parametr[kategoria],parametr[typ])</f>
        <v>wydatki</v>
      </c>
      <c r="I2162" s="1">
        <f>ABS(transakcje[[#This Row],[kwota]])</f>
        <v>16.240000000000002</v>
      </c>
    </row>
    <row r="2163" spans="1:9" x14ac:dyDescent="0.3">
      <c r="A2163">
        <v>2162</v>
      </c>
      <c r="B2163">
        <v>2017</v>
      </c>
      <c r="C2163">
        <v>7</v>
      </c>
      <c r="D2163">
        <v>22</v>
      </c>
      <c r="E2163" s="1">
        <v>-28.326000000000001</v>
      </c>
      <c r="F2163" t="s">
        <v>26</v>
      </c>
      <c r="G2163" t="str">
        <f>_xlfn.XLOOKUP(transakcje[[#This Row],[podkategoria]],parametr[podkategoria],parametr[kategoria])</f>
        <v>życie</v>
      </c>
      <c r="H2163" t="str">
        <f>_xlfn.XLOOKUP(transakcje[[#This Row],[kategoria]],parametr[kategoria],parametr[typ])</f>
        <v>wydatki</v>
      </c>
      <c r="I2163" s="1">
        <f>ABS(transakcje[[#This Row],[kwota]])</f>
        <v>28.326000000000001</v>
      </c>
    </row>
    <row r="2164" spans="1:9" x14ac:dyDescent="0.3">
      <c r="A2164">
        <v>2163</v>
      </c>
      <c r="B2164">
        <v>2017</v>
      </c>
      <c r="C2164">
        <v>7</v>
      </c>
      <c r="D2164">
        <v>24</v>
      </c>
      <c r="E2164" s="1">
        <v>-19.8</v>
      </c>
      <c r="F2164" t="s">
        <v>32</v>
      </c>
      <c r="G2164" t="str">
        <f>_xlfn.XLOOKUP(transakcje[[#This Row],[podkategoria]],parametr[podkategoria],parametr[kategoria])</f>
        <v>opłaty stałe</v>
      </c>
      <c r="H2164" t="str">
        <f>_xlfn.XLOOKUP(transakcje[[#This Row],[kategoria]],parametr[kategoria],parametr[typ])</f>
        <v>wydatki</v>
      </c>
      <c r="I2164" s="1">
        <f>ABS(transakcje[[#This Row],[kwota]])</f>
        <v>19.8</v>
      </c>
    </row>
    <row r="2165" spans="1:9" x14ac:dyDescent="0.3">
      <c r="A2165">
        <v>2164</v>
      </c>
      <c r="B2165">
        <v>2017</v>
      </c>
      <c r="C2165">
        <v>7</v>
      </c>
      <c r="D2165">
        <v>24</v>
      </c>
      <c r="E2165" s="1">
        <v>-7.6620000000000008</v>
      </c>
      <c r="F2165" t="s">
        <v>26</v>
      </c>
      <c r="G2165" t="str">
        <f>_xlfn.XLOOKUP(transakcje[[#This Row],[podkategoria]],parametr[podkategoria],parametr[kategoria])</f>
        <v>życie</v>
      </c>
      <c r="H2165" t="str">
        <f>_xlfn.XLOOKUP(transakcje[[#This Row],[kategoria]],parametr[kategoria],parametr[typ])</f>
        <v>wydatki</v>
      </c>
      <c r="I2165" s="1">
        <f>ABS(transakcje[[#This Row],[kwota]])</f>
        <v>7.6620000000000008</v>
      </c>
    </row>
    <row r="2166" spans="1:9" x14ac:dyDescent="0.3">
      <c r="A2166">
        <v>2165</v>
      </c>
      <c r="B2166">
        <v>2017</v>
      </c>
      <c r="C2166">
        <v>7</v>
      </c>
      <c r="D2166">
        <v>26</v>
      </c>
      <c r="E2166" s="1">
        <v>492.52600000000001</v>
      </c>
      <c r="F2166" t="s">
        <v>8</v>
      </c>
      <c r="G2166" t="str">
        <f>_xlfn.XLOOKUP(transakcje[[#This Row],[podkategoria]],parametr[podkategoria],parametr[kategoria])</f>
        <v>dochody z pracy</v>
      </c>
      <c r="H2166" t="str">
        <f>_xlfn.XLOOKUP(transakcje[[#This Row],[kategoria]],parametr[kategoria],parametr[typ])</f>
        <v>dochody</v>
      </c>
      <c r="I2166" s="1">
        <f>ABS(transakcje[[#This Row],[kwota]])</f>
        <v>492.52600000000001</v>
      </c>
    </row>
    <row r="2167" spans="1:9" x14ac:dyDescent="0.3">
      <c r="A2167">
        <v>2166</v>
      </c>
      <c r="B2167">
        <v>2017</v>
      </c>
      <c r="C2167">
        <v>7</v>
      </c>
      <c r="D2167">
        <v>27</v>
      </c>
      <c r="E2167" s="1">
        <v>-13.882</v>
      </c>
      <c r="F2167" t="s">
        <v>26</v>
      </c>
      <c r="G2167" t="str">
        <f>_xlfn.XLOOKUP(transakcje[[#This Row],[podkategoria]],parametr[podkategoria],parametr[kategoria])</f>
        <v>życie</v>
      </c>
      <c r="H2167" t="str">
        <f>_xlfn.XLOOKUP(transakcje[[#This Row],[kategoria]],parametr[kategoria],parametr[typ])</f>
        <v>wydatki</v>
      </c>
      <c r="I2167" s="1">
        <f>ABS(transakcje[[#This Row],[kwota]])</f>
        <v>13.882</v>
      </c>
    </row>
    <row r="2168" spans="1:9" x14ac:dyDescent="0.3">
      <c r="A2168">
        <v>2167</v>
      </c>
      <c r="B2168">
        <v>2017</v>
      </c>
      <c r="C2168">
        <v>7</v>
      </c>
      <c r="D2168">
        <v>28</v>
      </c>
      <c r="E2168" s="1">
        <v>-13.616</v>
      </c>
      <c r="F2168" t="s">
        <v>26</v>
      </c>
      <c r="G2168" t="str">
        <f>_xlfn.XLOOKUP(transakcje[[#This Row],[podkategoria]],parametr[podkategoria],parametr[kategoria])</f>
        <v>życie</v>
      </c>
      <c r="H2168" t="str">
        <f>_xlfn.XLOOKUP(transakcje[[#This Row],[kategoria]],parametr[kategoria],parametr[typ])</f>
        <v>wydatki</v>
      </c>
      <c r="I2168" s="1">
        <f>ABS(transakcje[[#This Row],[kwota]])</f>
        <v>13.616</v>
      </c>
    </row>
    <row r="2169" spans="1:9" x14ac:dyDescent="0.3">
      <c r="A2169">
        <v>2168</v>
      </c>
      <c r="B2169">
        <v>2017</v>
      </c>
      <c r="C2169">
        <v>7</v>
      </c>
      <c r="D2169">
        <v>31</v>
      </c>
      <c r="E2169" s="1">
        <v>2E-3</v>
      </c>
      <c r="F2169" t="s">
        <v>17</v>
      </c>
      <c r="G2169" t="str">
        <f>_xlfn.XLOOKUP(transakcje[[#This Row],[podkategoria]],parametr[podkategoria],parametr[kategoria])</f>
        <v>dochody pozostałe</v>
      </c>
      <c r="H2169" t="str">
        <f>_xlfn.XLOOKUP(transakcje[[#This Row],[kategoria]],parametr[kategoria],parametr[typ])</f>
        <v>dochody</v>
      </c>
      <c r="I2169" s="1">
        <f>ABS(transakcje[[#This Row],[kwota]])</f>
        <v>2E-3</v>
      </c>
    </row>
    <row r="2170" spans="1:9" x14ac:dyDescent="0.3">
      <c r="A2170">
        <v>2169</v>
      </c>
      <c r="B2170">
        <v>2017</v>
      </c>
      <c r="C2170">
        <v>7</v>
      </c>
      <c r="D2170">
        <v>31</v>
      </c>
      <c r="E2170" s="1">
        <v>-1.198</v>
      </c>
      <c r="F2170" t="s">
        <v>14</v>
      </c>
      <c r="G2170" t="str">
        <f>_xlfn.XLOOKUP(transakcje[[#This Row],[podkategoria]],parametr[podkategoria],parametr[kategoria])</f>
        <v>opłaty stałe</v>
      </c>
      <c r="H2170" t="str">
        <f>_xlfn.XLOOKUP(transakcje[[#This Row],[kategoria]],parametr[kategoria],parametr[typ])</f>
        <v>wydatki</v>
      </c>
      <c r="I2170" s="1">
        <f>ABS(transakcje[[#This Row],[kwota]])</f>
        <v>1.198</v>
      </c>
    </row>
    <row r="2171" spans="1:9" x14ac:dyDescent="0.3">
      <c r="A2171">
        <v>2170</v>
      </c>
      <c r="B2171">
        <v>2017</v>
      </c>
      <c r="C2171">
        <v>7</v>
      </c>
      <c r="D2171">
        <v>31</v>
      </c>
      <c r="E2171" s="1">
        <v>-0.2</v>
      </c>
      <c r="F2171" t="s">
        <v>14</v>
      </c>
      <c r="G2171" t="str">
        <f>_xlfn.XLOOKUP(transakcje[[#This Row],[podkategoria]],parametr[podkategoria],parametr[kategoria])</f>
        <v>opłaty stałe</v>
      </c>
      <c r="H2171" t="str">
        <f>_xlfn.XLOOKUP(transakcje[[#This Row],[kategoria]],parametr[kategoria],parametr[typ])</f>
        <v>wydatki</v>
      </c>
      <c r="I2171" s="1">
        <f>ABS(transakcje[[#This Row],[kwota]])</f>
        <v>0.2</v>
      </c>
    </row>
    <row r="2172" spans="1:9" x14ac:dyDescent="0.3">
      <c r="A2172">
        <v>2171</v>
      </c>
      <c r="B2172">
        <v>2017</v>
      </c>
      <c r="C2172">
        <v>7</v>
      </c>
      <c r="D2172">
        <v>31</v>
      </c>
      <c r="E2172" s="1">
        <v>-2E-3</v>
      </c>
      <c r="F2172" t="s">
        <v>14</v>
      </c>
      <c r="G2172" t="str">
        <f>_xlfn.XLOOKUP(transakcje[[#This Row],[podkategoria]],parametr[podkategoria],parametr[kategoria])</f>
        <v>opłaty stałe</v>
      </c>
      <c r="H2172" t="str">
        <f>_xlfn.XLOOKUP(transakcje[[#This Row],[kategoria]],parametr[kategoria],parametr[typ])</f>
        <v>wydatki</v>
      </c>
      <c r="I2172" s="1">
        <f>ABS(transakcje[[#This Row],[kwota]])</f>
        <v>2E-3</v>
      </c>
    </row>
    <row r="2173" spans="1:9" x14ac:dyDescent="0.3">
      <c r="A2173">
        <v>2172</v>
      </c>
      <c r="B2173">
        <v>2017</v>
      </c>
      <c r="C2173">
        <v>8</v>
      </c>
      <c r="D2173">
        <v>2</v>
      </c>
      <c r="E2173" s="1">
        <v>-6.5980000000000008</v>
      </c>
      <c r="F2173" t="s">
        <v>26</v>
      </c>
      <c r="G2173" t="str">
        <f>_xlfn.XLOOKUP(transakcje[[#This Row],[podkategoria]],parametr[podkategoria],parametr[kategoria])</f>
        <v>życie</v>
      </c>
      <c r="H2173" t="str">
        <f>_xlfn.XLOOKUP(transakcje[[#This Row],[kategoria]],parametr[kategoria],parametr[typ])</f>
        <v>wydatki</v>
      </c>
      <c r="I2173" s="1">
        <f>ABS(transakcje[[#This Row],[kwota]])</f>
        <v>6.5980000000000008</v>
      </c>
    </row>
    <row r="2174" spans="1:9" x14ac:dyDescent="0.3">
      <c r="A2174">
        <v>2173</v>
      </c>
      <c r="B2174">
        <v>2017</v>
      </c>
      <c r="C2174">
        <v>8</v>
      </c>
      <c r="D2174">
        <v>3</v>
      </c>
      <c r="E2174" s="1">
        <v>-18.584</v>
      </c>
      <c r="F2174" t="s">
        <v>26</v>
      </c>
      <c r="G2174" t="str">
        <f>_xlfn.XLOOKUP(transakcje[[#This Row],[podkategoria]],parametr[podkategoria],parametr[kategoria])</f>
        <v>życie</v>
      </c>
      <c r="H2174" t="str">
        <f>_xlfn.XLOOKUP(transakcje[[#This Row],[kategoria]],parametr[kategoria],parametr[typ])</f>
        <v>wydatki</v>
      </c>
      <c r="I2174" s="1">
        <f>ABS(transakcje[[#This Row],[kwota]])</f>
        <v>18.584</v>
      </c>
    </row>
    <row r="2175" spans="1:9" x14ac:dyDescent="0.3">
      <c r="A2175">
        <v>2174</v>
      </c>
      <c r="B2175">
        <v>2017</v>
      </c>
      <c r="C2175">
        <v>8</v>
      </c>
      <c r="D2175">
        <v>5</v>
      </c>
      <c r="E2175" s="1">
        <v>-15.996</v>
      </c>
      <c r="F2175" t="s">
        <v>11</v>
      </c>
      <c r="G2175" t="str">
        <f>_xlfn.XLOOKUP(transakcje[[#This Row],[podkategoria]],parametr[podkategoria],parametr[kategoria])</f>
        <v>wydatki inne</v>
      </c>
      <c r="H2175" t="str">
        <f>_xlfn.XLOOKUP(transakcje[[#This Row],[kategoria]],parametr[kategoria],parametr[typ])</f>
        <v>wydatki</v>
      </c>
      <c r="I2175" s="1">
        <f>ABS(transakcje[[#This Row],[kwota]])</f>
        <v>15.996</v>
      </c>
    </row>
    <row r="2176" spans="1:9" x14ac:dyDescent="0.3">
      <c r="A2176">
        <v>2175</v>
      </c>
      <c r="B2176">
        <v>2017</v>
      </c>
      <c r="C2176">
        <v>8</v>
      </c>
      <c r="D2176">
        <v>5</v>
      </c>
      <c r="E2176" s="1">
        <v>-5.1920000000000002</v>
      </c>
      <c r="F2176" t="s">
        <v>11</v>
      </c>
      <c r="G2176" t="str">
        <f>_xlfn.XLOOKUP(transakcje[[#This Row],[podkategoria]],parametr[podkategoria],parametr[kategoria])</f>
        <v>wydatki inne</v>
      </c>
      <c r="H2176" t="str">
        <f>_xlfn.XLOOKUP(transakcje[[#This Row],[kategoria]],parametr[kategoria],parametr[typ])</f>
        <v>wydatki</v>
      </c>
      <c r="I2176" s="1">
        <f>ABS(transakcje[[#This Row],[kwota]])</f>
        <v>5.1920000000000002</v>
      </c>
    </row>
    <row r="2177" spans="1:9" x14ac:dyDescent="0.3">
      <c r="A2177">
        <v>2176</v>
      </c>
      <c r="B2177">
        <v>2017</v>
      </c>
      <c r="C2177">
        <v>8</v>
      </c>
      <c r="D2177">
        <v>6</v>
      </c>
      <c r="E2177" s="1">
        <v>-4.54</v>
      </c>
      <c r="F2177" t="s">
        <v>37</v>
      </c>
      <c r="G2177" t="str">
        <f>_xlfn.XLOOKUP(transakcje[[#This Row],[podkategoria]],parametr[podkategoria],parametr[kategoria])</f>
        <v>opłaty stałe</v>
      </c>
      <c r="H2177" t="str">
        <f>_xlfn.XLOOKUP(transakcje[[#This Row],[kategoria]],parametr[kategoria],parametr[typ])</f>
        <v>wydatki</v>
      </c>
      <c r="I2177" s="1">
        <f>ABS(transakcje[[#This Row],[kwota]])</f>
        <v>4.54</v>
      </c>
    </row>
    <row r="2178" spans="1:9" x14ac:dyDescent="0.3">
      <c r="A2178">
        <v>2177</v>
      </c>
      <c r="B2178">
        <v>2017</v>
      </c>
      <c r="C2178">
        <v>8</v>
      </c>
      <c r="D2178">
        <v>6</v>
      </c>
      <c r="E2178" s="1">
        <v>-66.058000000000007</v>
      </c>
      <c r="F2178" t="s">
        <v>31</v>
      </c>
      <c r="G2178" t="str">
        <f>_xlfn.XLOOKUP(transakcje[[#This Row],[podkategoria]],parametr[podkategoria],parametr[kategoria])</f>
        <v>opłaty stałe</v>
      </c>
      <c r="H2178" t="str">
        <f>_xlfn.XLOOKUP(transakcje[[#This Row],[kategoria]],parametr[kategoria],parametr[typ])</f>
        <v>wydatki</v>
      </c>
      <c r="I2178" s="1">
        <f>ABS(transakcje[[#This Row],[kwota]])</f>
        <v>66.058000000000007</v>
      </c>
    </row>
    <row r="2179" spans="1:9" x14ac:dyDescent="0.3">
      <c r="A2179">
        <v>2178</v>
      </c>
      <c r="B2179">
        <v>2017</v>
      </c>
      <c r="C2179">
        <v>8</v>
      </c>
      <c r="D2179">
        <v>6</v>
      </c>
      <c r="E2179" s="1">
        <v>-7.38</v>
      </c>
      <c r="F2179" t="s">
        <v>23</v>
      </c>
      <c r="G2179" t="str">
        <f>_xlfn.XLOOKUP(transakcje[[#This Row],[podkategoria]],parametr[podkategoria],parametr[kategoria])</f>
        <v>opłaty stałe</v>
      </c>
      <c r="H2179" t="str">
        <f>_xlfn.XLOOKUP(transakcje[[#This Row],[kategoria]],parametr[kategoria],parametr[typ])</f>
        <v>wydatki</v>
      </c>
      <c r="I2179" s="1">
        <f>ABS(transakcje[[#This Row],[kwota]])</f>
        <v>7.38</v>
      </c>
    </row>
    <row r="2180" spans="1:9" x14ac:dyDescent="0.3">
      <c r="A2180">
        <v>2179</v>
      </c>
      <c r="B2180">
        <v>2017</v>
      </c>
      <c r="C2180">
        <v>8</v>
      </c>
      <c r="D2180">
        <v>6</v>
      </c>
      <c r="E2180" s="1">
        <v>-6.1579999999999995</v>
      </c>
      <c r="F2180" t="s">
        <v>25</v>
      </c>
      <c r="G2180" t="str">
        <f>_xlfn.XLOOKUP(transakcje[[#This Row],[podkategoria]],parametr[podkategoria],parametr[kategoria])</f>
        <v>opłaty stałe</v>
      </c>
      <c r="H2180" t="str">
        <f>_xlfn.XLOOKUP(transakcje[[#This Row],[kategoria]],parametr[kategoria],parametr[typ])</f>
        <v>wydatki</v>
      </c>
      <c r="I2180" s="1">
        <f>ABS(transakcje[[#This Row],[kwota]])</f>
        <v>6.1579999999999995</v>
      </c>
    </row>
    <row r="2181" spans="1:9" x14ac:dyDescent="0.3">
      <c r="A2181">
        <v>2180</v>
      </c>
      <c r="B2181">
        <v>2017</v>
      </c>
      <c r="C2181">
        <v>8</v>
      </c>
      <c r="D2181">
        <v>8</v>
      </c>
      <c r="E2181" s="1">
        <v>-5.1719999999999997</v>
      </c>
      <c r="F2181" t="s">
        <v>26</v>
      </c>
      <c r="G2181" t="str">
        <f>_xlfn.XLOOKUP(transakcje[[#This Row],[podkategoria]],parametr[podkategoria],parametr[kategoria])</f>
        <v>życie</v>
      </c>
      <c r="H2181" t="str">
        <f>_xlfn.XLOOKUP(transakcje[[#This Row],[kategoria]],parametr[kategoria],parametr[typ])</f>
        <v>wydatki</v>
      </c>
      <c r="I2181" s="1">
        <f>ABS(transakcje[[#This Row],[kwota]])</f>
        <v>5.1719999999999997</v>
      </c>
    </row>
    <row r="2182" spans="1:9" x14ac:dyDescent="0.3">
      <c r="A2182">
        <v>2181</v>
      </c>
      <c r="B2182">
        <v>2017</v>
      </c>
      <c r="C2182">
        <v>8</v>
      </c>
      <c r="D2182">
        <v>9</v>
      </c>
      <c r="E2182" s="1">
        <v>-0.39800000000000002</v>
      </c>
      <c r="F2182" t="s">
        <v>14</v>
      </c>
      <c r="G2182" t="str">
        <f>_xlfn.XLOOKUP(transakcje[[#This Row],[podkategoria]],parametr[podkategoria],parametr[kategoria])</f>
        <v>opłaty stałe</v>
      </c>
      <c r="H2182" t="str">
        <f>_xlfn.XLOOKUP(transakcje[[#This Row],[kategoria]],parametr[kategoria],parametr[typ])</f>
        <v>wydatki</v>
      </c>
      <c r="I2182" s="1">
        <f>ABS(transakcje[[#This Row],[kwota]])</f>
        <v>0.39800000000000002</v>
      </c>
    </row>
    <row r="2183" spans="1:9" x14ac:dyDescent="0.3">
      <c r="A2183">
        <v>2182</v>
      </c>
      <c r="B2183">
        <v>2017</v>
      </c>
      <c r="C2183">
        <v>8</v>
      </c>
      <c r="D2183">
        <v>10</v>
      </c>
      <c r="E2183" s="1">
        <v>-1.04</v>
      </c>
      <c r="F2183" t="s">
        <v>26</v>
      </c>
      <c r="G2183" t="str">
        <f>_xlfn.XLOOKUP(transakcje[[#This Row],[podkategoria]],parametr[podkategoria],parametr[kategoria])</f>
        <v>życie</v>
      </c>
      <c r="H2183" t="str">
        <f>_xlfn.XLOOKUP(transakcje[[#This Row],[kategoria]],parametr[kategoria],parametr[typ])</f>
        <v>wydatki</v>
      </c>
      <c r="I2183" s="1">
        <f>ABS(transakcje[[#This Row],[kwota]])</f>
        <v>1.04</v>
      </c>
    </row>
    <row r="2184" spans="1:9" x14ac:dyDescent="0.3">
      <c r="A2184">
        <v>2183</v>
      </c>
      <c r="B2184">
        <v>2017</v>
      </c>
      <c r="C2184">
        <v>8</v>
      </c>
      <c r="D2184">
        <v>10</v>
      </c>
      <c r="E2184" s="1">
        <v>-6.3420000000000005</v>
      </c>
      <c r="F2184" t="s">
        <v>26</v>
      </c>
      <c r="G2184" t="str">
        <f>_xlfn.XLOOKUP(transakcje[[#This Row],[podkategoria]],parametr[podkategoria],parametr[kategoria])</f>
        <v>życie</v>
      </c>
      <c r="H2184" t="str">
        <f>_xlfn.XLOOKUP(transakcje[[#This Row],[kategoria]],parametr[kategoria],parametr[typ])</f>
        <v>wydatki</v>
      </c>
      <c r="I2184" s="1">
        <f>ABS(transakcje[[#This Row],[kwota]])</f>
        <v>6.3420000000000005</v>
      </c>
    </row>
    <row r="2185" spans="1:9" x14ac:dyDescent="0.3">
      <c r="A2185">
        <v>2184</v>
      </c>
      <c r="B2185">
        <v>2017</v>
      </c>
      <c r="C2185">
        <v>8</v>
      </c>
      <c r="D2185">
        <v>10</v>
      </c>
      <c r="E2185" s="1">
        <v>-1.0820000000000001</v>
      </c>
      <c r="F2185" t="s">
        <v>26</v>
      </c>
      <c r="G2185" t="str">
        <f>_xlfn.XLOOKUP(transakcje[[#This Row],[podkategoria]],parametr[podkategoria],parametr[kategoria])</f>
        <v>życie</v>
      </c>
      <c r="H2185" t="str">
        <f>_xlfn.XLOOKUP(transakcje[[#This Row],[kategoria]],parametr[kategoria],parametr[typ])</f>
        <v>wydatki</v>
      </c>
      <c r="I2185" s="1">
        <f>ABS(transakcje[[#This Row],[kwota]])</f>
        <v>1.0820000000000001</v>
      </c>
    </row>
    <row r="2186" spans="1:9" x14ac:dyDescent="0.3">
      <c r="A2186">
        <v>2185</v>
      </c>
      <c r="B2186">
        <v>2017</v>
      </c>
      <c r="C2186">
        <v>8</v>
      </c>
      <c r="D2186">
        <v>11</v>
      </c>
      <c r="E2186" s="1">
        <v>-14.6</v>
      </c>
      <c r="F2186" t="s">
        <v>11</v>
      </c>
      <c r="G2186" t="str">
        <f>_xlfn.XLOOKUP(transakcje[[#This Row],[podkategoria]],parametr[podkategoria],parametr[kategoria])</f>
        <v>wydatki inne</v>
      </c>
      <c r="H2186" t="str">
        <f>_xlfn.XLOOKUP(transakcje[[#This Row],[kategoria]],parametr[kategoria],parametr[typ])</f>
        <v>wydatki</v>
      </c>
      <c r="I2186" s="1">
        <f>ABS(transakcje[[#This Row],[kwota]])</f>
        <v>14.6</v>
      </c>
    </row>
    <row r="2187" spans="1:9" x14ac:dyDescent="0.3">
      <c r="A2187">
        <v>2186</v>
      </c>
      <c r="B2187">
        <v>2017</v>
      </c>
      <c r="C2187">
        <v>8</v>
      </c>
      <c r="D2187">
        <v>12</v>
      </c>
      <c r="E2187" s="1">
        <v>-23.18</v>
      </c>
      <c r="F2187" t="s">
        <v>20</v>
      </c>
      <c r="G2187" t="str">
        <f>_xlfn.XLOOKUP(transakcje[[#This Row],[podkategoria]],parametr[podkategoria],parametr[kategoria])</f>
        <v>trwałe</v>
      </c>
      <c r="H2187" t="str">
        <f>_xlfn.XLOOKUP(transakcje[[#This Row],[kategoria]],parametr[kategoria],parametr[typ])</f>
        <v>wydatki</v>
      </c>
      <c r="I2187" s="1">
        <f>ABS(transakcje[[#This Row],[kwota]])</f>
        <v>23.18</v>
      </c>
    </row>
    <row r="2188" spans="1:9" x14ac:dyDescent="0.3">
      <c r="A2188">
        <v>2187</v>
      </c>
      <c r="B2188">
        <v>2017</v>
      </c>
      <c r="C2188">
        <v>8</v>
      </c>
      <c r="D2188">
        <v>14</v>
      </c>
      <c r="E2188" s="1">
        <v>-18</v>
      </c>
      <c r="F2188" t="s">
        <v>11</v>
      </c>
      <c r="G2188" t="str">
        <f>_xlfn.XLOOKUP(transakcje[[#This Row],[podkategoria]],parametr[podkategoria],parametr[kategoria])</f>
        <v>wydatki inne</v>
      </c>
      <c r="H2188" t="str">
        <f>_xlfn.XLOOKUP(transakcje[[#This Row],[kategoria]],parametr[kategoria],parametr[typ])</f>
        <v>wydatki</v>
      </c>
      <c r="I2188" s="1">
        <f>ABS(transakcje[[#This Row],[kwota]])</f>
        <v>18</v>
      </c>
    </row>
    <row r="2189" spans="1:9" x14ac:dyDescent="0.3">
      <c r="A2189">
        <v>2188</v>
      </c>
      <c r="B2189">
        <v>2017</v>
      </c>
      <c r="C2189">
        <v>8</v>
      </c>
      <c r="D2189">
        <v>14</v>
      </c>
      <c r="E2189" s="1">
        <v>-20</v>
      </c>
      <c r="F2189" t="s">
        <v>32</v>
      </c>
      <c r="G2189" t="str">
        <f>_xlfn.XLOOKUP(transakcje[[#This Row],[podkategoria]],parametr[podkategoria],parametr[kategoria])</f>
        <v>opłaty stałe</v>
      </c>
      <c r="H2189" t="str">
        <f>_xlfn.XLOOKUP(transakcje[[#This Row],[kategoria]],parametr[kategoria],parametr[typ])</f>
        <v>wydatki</v>
      </c>
      <c r="I2189" s="1">
        <f>ABS(transakcje[[#This Row],[kwota]])</f>
        <v>20</v>
      </c>
    </row>
    <row r="2190" spans="1:9" x14ac:dyDescent="0.3">
      <c r="A2190">
        <v>2189</v>
      </c>
      <c r="B2190">
        <v>2017</v>
      </c>
      <c r="C2190">
        <v>8</v>
      </c>
      <c r="D2190">
        <v>14</v>
      </c>
      <c r="E2190" s="1">
        <v>-28.916000000000004</v>
      </c>
      <c r="F2190" t="s">
        <v>26</v>
      </c>
      <c r="G2190" t="str">
        <f>_xlfn.XLOOKUP(transakcje[[#This Row],[podkategoria]],parametr[podkategoria],parametr[kategoria])</f>
        <v>życie</v>
      </c>
      <c r="H2190" t="str">
        <f>_xlfn.XLOOKUP(transakcje[[#This Row],[kategoria]],parametr[kategoria],parametr[typ])</f>
        <v>wydatki</v>
      </c>
      <c r="I2190" s="1">
        <f>ABS(transakcje[[#This Row],[kwota]])</f>
        <v>28.916000000000004</v>
      </c>
    </row>
    <row r="2191" spans="1:9" x14ac:dyDescent="0.3">
      <c r="A2191">
        <v>2190</v>
      </c>
      <c r="B2191">
        <v>2017</v>
      </c>
      <c r="C2191">
        <v>8</v>
      </c>
      <c r="D2191">
        <v>16</v>
      </c>
      <c r="E2191" s="1">
        <v>-0.8</v>
      </c>
      <c r="F2191" t="s">
        <v>14</v>
      </c>
      <c r="G2191" t="str">
        <f>_xlfn.XLOOKUP(transakcje[[#This Row],[podkategoria]],parametr[podkategoria],parametr[kategoria])</f>
        <v>opłaty stałe</v>
      </c>
      <c r="H2191" t="str">
        <f>_xlfn.XLOOKUP(transakcje[[#This Row],[kategoria]],parametr[kategoria],parametr[typ])</f>
        <v>wydatki</v>
      </c>
      <c r="I2191" s="1">
        <f>ABS(transakcje[[#This Row],[kwota]])</f>
        <v>0.8</v>
      </c>
    </row>
    <row r="2192" spans="1:9" x14ac:dyDescent="0.3">
      <c r="A2192">
        <v>2191</v>
      </c>
      <c r="B2192">
        <v>2017</v>
      </c>
      <c r="C2192">
        <v>8</v>
      </c>
      <c r="D2192">
        <v>16</v>
      </c>
      <c r="E2192" s="1">
        <v>-3.1920000000000002</v>
      </c>
      <c r="F2192" t="s">
        <v>26</v>
      </c>
      <c r="G2192" t="str">
        <f>_xlfn.XLOOKUP(transakcje[[#This Row],[podkategoria]],parametr[podkategoria],parametr[kategoria])</f>
        <v>życie</v>
      </c>
      <c r="H2192" t="str">
        <f>_xlfn.XLOOKUP(transakcje[[#This Row],[kategoria]],parametr[kategoria],parametr[typ])</f>
        <v>wydatki</v>
      </c>
      <c r="I2192" s="1">
        <f>ABS(transakcje[[#This Row],[kwota]])</f>
        <v>3.1920000000000002</v>
      </c>
    </row>
    <row r="2193" spans="1:9" x14ac:dyDescent="0.3">
      <c r="A2193">
        <v>2192</v>
      </c>
      <c r="B2193">
        <v>2017</v>
      </c>
      <c r="C2193">
        <v>8</v>
      </c>
      <c r="D2193">
        <v>17</v>
      </c>
      <c r="E2193" s="1">
        <v>-4.3259999999999996</v>
      </c>
      <c r="F2193" t="s">
        <v>26</v>
      </c>
      <c r="G2193" t="str">
        <f>_xlfn.XLOOKUP(transakcje[[#This Row],[podkategoria]],parametr[podkategoria],parametr[kategoria])</f>
        <v>życie</v>
      </c>
      <c r="H2193" t="str">
        <f>_xlfn.XLOOKUP(transakcje[[#This Row],[kategoria]],parametr[kategoria],parametr[typ])</f>
        <v>wydatki</v>
      </c>
      <c r="I2193" s="1">
        <f>ABS(transakcje[[#This Row],[kwota]])</f>
        <v>4.3259999999999996</v>
      </c>
    </row>
    <row r="2194" spans="1:9" x14ac:dyDescent="0.3">
      <c r="A2194">
        <v>2193</v>
      </c>
      <c r="B2194">
        <v>2017</v>
      </c>
      <c r="C2194">
        <v>8</v>
      </c>
      <c r="D2194">
        <v>17</v>
      </c>
      <c r="E2194" s="1">
        <v>-0.73799999999999999</v>
      </c>
      <c r="F2194" t="s">
        <v>26</v>
      </c>
      <c r="G2194" t="str">
        <f>_xlfn.XLOOKUP(transakcje[[#This Row],[podkategoria]],parametr[podkategoria],parametr[kategoria])</f>
        <v>życie</v>
      </c>
      <c r="H2194" t="str">
        <f>_xlfn.XLOOKUP(transakcje[[#This Row],[kategoria]],parametr[kategoria],parametr[typ])</f>
        <v>wydatki</v>
      </c>
      <c r="I2194" s="1">
        <f>ABS(transakcje[[#This Row],[kwota]])</f>
        <v>0.73799999999999999</v>
      </c>
    </row>
    <row r="2195" spans="1:9" x14ac:dyDescent="0.3">
      <c r="A2195">
        <v>2194</v>
      </c>
      <c r="B2195">
        <v>2017</v>
      </c>
      <c r="C2195">
        <v>8</v>
      </c>
      <c r="D2195">
        <v>20</v>
      </c>
      <c r="E2195" s="1">
        <v>-26.04</v>
      </c>
      <c r="F2195" t="s">
        <v>11</v>
      </c>
      <c r="G2195" t="str">
        <f>_xlfn.XLOOKUP(transakcje[[#This Row],[podkategoria]],parametr[podkategoria],parametr[kategoria])</f>
        <v>wydatki inne</v>
      </c>
      <c r="H2195" t="str">
        <f>_xlfn.XLOOKUP(transakcje[[#This Row],[kategoria]],parametr[kategoria],parametr[typ])</f>
        <v>wydatki</v>
      </c>
      <c r="I2195" s="1">
        <f>ABS(transakcje[[#This Row],[kwota]])</f>
        <v>26.04</v>
      </c>
    </row>
    <row r="2196" spans="1:9" x14ac:dyDescent="0.3">
      <c r="A2196">
        <v>2195</v>
      </c>
      <c r="B2196">
        <v>2017</v>
      </c>
      <c r="C2196">
        <v>8</v>
      </c>
      <c r="D2196">
        <v>20</v>
      </c>
      <c r="E2196" s="1">
        <v>-26.04</v>
      </c>
      <c r="F2196" t="s">
        <v>11</v>
      </c>
      <c r="G2196" t="str">
        <f>_xlfn.XLOOKUP(transakcje[[#This Row],[podkategoria]],parametr[podkategoria],parametr[kategoria])</f>
        <v>wydatki inne</v>
      </c>
      <c r="H2196" t="str">
        <f>_xlfn.XLOOKUP(transakcje[[#This Row],[kategoria]],parametr[kategoria],parametr[typ])</f>
        <v>wydatki</v>
      </c>
      <c r="I2196" s="1">
        <f>ABS(transakcje[[#This Row],[kwota]])</f>
        <v>26.04</v>
      </c>
    </row>
    <row r="2197" spans="1:9" x14ac:dyDescent="0.3">
      <c r="A2197">
        <v>2196</v>
      </c>
      <c r="B2197">
        <v>2017</v>
      </c>
      <c r="C2197">
        <v>8</v>
      </c>
      <c r="D2197">
        <v>21</v>
      </c>
      <c r="E2197" s="1">
        <v>-17.64</v>
      </c>
      <c r="F2197" t="s">
        <v>11</v>
      </c>
      <c r="G2197" t="str">
        <f>_xlfn.XLOOKUP(transakcje[[#This Row],[podkategoria]],parametr[podkategoria],parametr[kategoria])</f>
        <v>wydatki inne</v>
      </c>
      <c r="H2197" t="str">
        <f>_xlfn.XLOOKUP(transakcje[[#This Row],[kategoria]],parametr[kategoria],parametr[typ])</f>
        <v>wydatki</v>
      </c>
      <c r="I2197" s="1">
        <f>ABS(transakcje[[#This Row],[kwota]])</f>
        <v>17.64</v>
      </c>
    </row>
    <row r="2198" spans="1:9" x14ac:dyDescent="0.3">
      <c r="A2198">
        <v>2197</v>
      </c>
      <c r="B2198">
        <v>2017</v>
      </c>
      <c r="C2198">
        <v>8</v>
      </c>
      <c r="D2198">
        <v>22</v>
      </c>
      <c r="E2198" s="1">
        <v>-19.8</v>
      </c>
      <c r="F2198" t="s">
        <v>26</v>
      </c>
      <c r="G2198" t="str">
        <f>_xlfn.XLOOKUP(transakcje[[#This Row],[podkategoria]],parametr[podkategoria],parametr[kategoria])</f>
        <v>życie</v>
      </c>
      <c r="H2198" t="str">
        <f>_xlfn.XLOOKUP(transakcje[[#This Row],[kategoria]],parametr[kategoria],parametr[typ])</f>
        <v>wydatki</v>
      </c>
      <c r="I2198" s="1">
        <f>ABS(transakcje[[#This Row],[kwota]])</f>
        <v>19.8</v>
      </c>
    </row>
    <row r="2199" spans="1:9" x14ac:dyDescent="0.3">
      <c r="A2199">
        <v>2198</v>
      </c>
      <c r="B2199">
        <v>2017</v>
      </c>
      <c r="C2199">
        <v>8</v>
      </c>
      <c r="D2199">
        <v>22</v>
      </c>
      <c r="E2199" s="1">
        <v>-6.6599999999999993</v>
      </c>
      <c r="F2199" t="s">
        <v>26</v>
      </c>
      <c r="G2199" t="str">
        <f>_xlfn.XLOOKUP(transakcje[[#This Row],[podkategoria]],parametr[podkategoria],parametr[kategoria])</f>
        <v>życie</v>
      </c>
      <c r="H2199" t="str">
        <f>_xlfn.XLOOKUP(transakcje[[#This Row],[kategoria]],parametr[kategoria],parametr[typ])</f>
        <v>wydatki</v>
      </c>
      <c r="I2199" s="1">
        <f>ABS(transakcje[[#This Row],[kwota]])</f>
        <v>6.6599999999999993</v>
      </c>
    </row>
    <row r="2200" spans="1:9" x14ac:dyDescent="0.3">
      <c r="A2200">
        <v>2199</v>
      </c>
      <c r="B2200">
        <v>2017</v>
      </c>
      <c r="C2200">
        <v>8</v>
      </c>
      <c r="D2200">
        <v>22</v>
      </c>
      <c r="E2200" s="1">
        <v>-2.444</v>
      </c>
      <c r="F2200" t="s">
        <v>26</v>
      </c>
      <c r="G2200" t="str">
        <f>_xlfn.XLOOKUP(transakcje[[#This Row],[podkategoria]],parametr[podkategoria],parametr[kategoria])</f>
        <v>życie</v>
      </c>
      <c r="H2200" t="str">
        <f>_xlfn.XLOOKUP(transakcje[[#This Row],[kategoria]],parametr[kategoria],parametr[typ])</f>
        <v>wydatki</v>
      </c>
      <c r="I2200" s="1">
        <f>ABS(transakcje[[#This Row],[kwota]])</f>
        <v>2.444</v>
      </c>
    </row>
    <row r="2201" spans="1:9" x14ac:dyDescent="0.3">
      <c r="A2201">
        <v>2200</v>
      </c>
      <c r="B2201">
        <v>2017</v>
      </c>
      <c r="C2201">
        <v>8</v>
      </c>
      <c r="D2201">
        <v>23</v>
      </c>
      <c r="E2201" s="1">
        <v>52.878</v>
      </c>
      <c r="F2201" t="s">
        <v>19</v>
      </c>
      <c r="G2201" t="str">
        <f>_xlfn.XLOOKUP(transakcje[[#This Row],[podkategoria]],parametr[podkategoria],parametr[kategoria])</f>
        <v>dochody z pracy</v>
      </c>
      <c r="H2201" t="str">
        <f>_xlfn.XLOOKUP(transakcje[[#This Row],[kategoria]],parametr[kategoria],parametr[typ])</f>
        <v>dochody</v>
      </c>
      <c r="I2201" s="1">
        <f>ABS(transakcje[[#This Row],[kwota]])</f>
        <v>52.878</v>
      </c>
    </row>
    <row r="2202" spans="1:9" x14ac:dyDescent="0.3">
      <c r="A2202">
        <v>2201</v>
      </c>
      <c r="B2202">
        <v>2017</v>
      </c>
      <c r="C2202">
        <v>8</v>
      </c>
      <c r="D2202">
        <v>23</v>
      </c>
      <c r="E2202" s="1">
        <v>-5.9859999999999998</v>
      </c>
      <c r="F2202" t="s">
        <v>26</v>
      </c>
      <c r="G2202" t="str">
        <f>_xlfn.XLOOKUP(transakcje[[#This Row],[podkategoria]],parametr[podkategoria],parametr[kategoria])</f>
        <v>życie</v>
      </c>
      <c r="H2202" t="str">
        <f>_xlfn.XLOOKUP(transakcje[[#This Row],[kategoria]],parametr[kategoria],parametr[typ])</f>
        <v>wydatki</v>
      </c>
      <c r="I2202" s="1">
        <f>ABS(transakcje[[#This Row],[kwota]])</f>
        <v>5.9859999999999998</v>
      </c>
    </row>
    <row r="2203" spans="1:9" x14ac:dyDescent="0.3">
      <c r="A2203">
        <v>2202</v>
      </c>
      <c r="B2203">
        <v>2017</v>
      </c>
      <c r="C2203">
        <v>8</v>
      </c>
      <c r="D2203">
        <v>26</v>
      </c>
      <c r="E2203" s="1">
        <v>-6.9980000000000002</v>
      </c>
      <c r="F2203" t="s">
        <v>24</v>
      </c>
      <c r="G2203" t="str">
        <f>_xlfn.XLOOKUP(transakcje[[#This Row],[podkategoria]],parametr[podkategoria],parametr[kategoria])</f>
        <v>trwałe</v>
      </c>
      <c r="H2203" t="str">
        <f>_xlfn.XLOOKUP(transakcje[[#This Row],[kategoria]],parametr[kategoria],parametr[typ])</f>
        <v>wydatki</v>
      </c>
      <c r="I2203" s="1">
        <f>ABS(transakcje[[#This Row],[kwota]])</f>
        <v>6.9980000000000002</v>
      </c>
    </row>
    <row r="2204" spans="1:9" x14ac:dyDescent="0.3">
      <c r="A2204">
        <v>2203</v>
      </c>
      <c r="B2204">
        <v>2017</v>
      </c>
      <c r="C2204">
        <v>8</v>
      </c>
      <c r="D2204">
        <v>26</v>
      </c>
      <c r="E2204" s="1">
        <v>-12.26</v>
      </c>
      <c r="F2204" t="s">
        <v>26</v>
      </c>
      <c r="G2204" t="str">
        <f>_xlfn.XLOOKUP(transakcje[[#This Row],[podkategoria]],parametr[podkategoria],parametr[kategoria])</f>
        <v>życie</v>
      </c>
      <c r="H2204" t="str">
        <f>_xlfn.XLOOKUP(transakcje[[#This Row],[kategoria]],parametr[kategoria],parametr[typ])</f>
        <v>wydatki</v>
      </c>
      <c r="I2204" s="1">
        <f>ABS(transakcje[[#This Row],[kwota]])</f>
        <v>12.26</v>
      </c>
    </row>
    <row r="2205" spans="1:9" x14ac:dyDescent="0.3">
      <c r="A2205">
        <v>2204</v>
      </c>
      <c r="B2205">
        <v>2017</v>
      </c>
      <c r="C2205">
        <v>8</v>
      </c>
      <c r="D2205">
        <v>28</v>
      </c>
      <c r="E2205" s="1">
        <v>492.524</v>
      </c>
      <c r="F2205" t="s">
        <v>8</v>
      </c>
      <c r="G2205" t="str">
        <f>_xlfn.XLOOKUP(transakcje[[#This Row],[podkategoria]],parametr[podkategoria],parametr[kategoria])</f>
        <v>dochody z pracy</v>
      </c>
      <c r="H2205" t="str">
        <f>_xlfn.XLOOKUP(transakcje[[#This Row],[kategoria]],parametr[kategoria],parametr[typ])</f>
        <v>dochody</v>
      </c>
      <c r="I2205" s="1">
        <f>ABS(transakcje[[#This Row],[kwota]])</f>
        <v>492.524</v>
      </c>
    </row>
    <row r="2206" spans="1:9" x14ac:dyDescent="0.3">
      <c r="A2206">
        <v>2205</v>
      </c>
      <c r="B2206">
        <v>2017</v>
      </c>
      <c r="C2206">
        <v>8</v>
      </c>
      <c r="D2206">
        <v>28</v>
      </c>
      <c r="E2206" s="1">
        <v>-7.5739999999999998</v>
      </c>
      <c r="F2206" t="s">
        <v>26</v>
      </c>
      <c r="G2206" t="str">
        <f>_xlfn.XLOOKUP(transakcje[[#This Row],[podkategoria]],parametr[podkategoria],parametr[kategoria])</f>
        <v>życie</v>
      </c>
      <c r="H2206" t="str">
        <f>_xlfn.XLOOKUP(transakcje[[#This Row],[kategoria]],parametr[kategoria],parametr[typ])</f>
        <v>wydatki</v>
      </c>
      <c r="I2206" s="1">
        <f>ABS(transakcje[[#This Row],[kwota]])</f>
        <v>7.5739999999999998</v>
      </c>
    </row>
    <row r="2207" spans="1:9" x14ac:dyDescent="0.3">
      <c r="A2207">
        <v>2206</v>
      </c>
      <c r="B2207">
        <v>2017</v>
      </c>
      <c r="C2207">
        <v>8</v>
      </c>
      <c r="D2207">
        <v>29</v>
      </c>
      <c r="E2207" s="1">
        <v>-4.8940000000000001</v>
      </c>
      <c r="F2207" t="s">
        <v>26</v>
      </c>
      <c r="G2207" t="str">
        <f>_xlfn.XLOOKUP(transakcje[[#This Row],[podkategoria]],parametr[podkategoria],parametr[kategoria])</f>
        <v>życie</v>
      </c>
      <c r="H2207" t="str">
        <f>_xlfn.XLOOKUP(transakcje[[#This Row],[kategoria]],parametr[kategoria],parametr[typ])</f>
        <v>wydatki</v>
      </c>
      <c r="I2207" s="1">
        <f>ABS(transakcje[[#This Row],[kwota]])</f>
        <v>4.8940000000000001</v>
      </c>
    </row>
    <row r="2208" spans="1:9" x14ac:dyDescent="0.3">
      <c r="A2208">
        <v>2207</v>
      </c>
      <c r="B2208">
        <v>2017</v>
      </c>
      <c r="C2208">
        <v>8</v>
      </c>
      <c r="D2208">
        <v>30</v>
      </c>
      <c r="E2208" s="1">
        <v>-0.91799999999999993</v>
      </c>
      <c r="F2208" t="s">
        <v>26</v>
      </c>
      <c r="G2208" t="str">
        <f>_xlfn.XLOOKUP(transakcje[[#This Row],[podkategoria]],parametr[podkategoria],parametr[kategoria])</f>
        <v>życie</v>
      </c>
      <c r="H2208" t="str">
        <f>_xlfn.XLOOKUP(transakcje[[#This Row],[kategoria]],parametr[kategoria],parametr[typ])</f>
        <v>wydatki</v>
      </c>
      <c r="I2208" s="1">
        <f>ABS(transakcje[[#This Row],[kwota]])</f>
        <v>0.91799999999999993</v>
      </c>
    </row>
    <row r="2209" spans="1:9" x14ac:dyDescent="0.3">
      <c r="A2209">
        <v>2208</v>
      </c>
      <c r="B2209">
        <v>2017</v>
      </c>
      <c r="C2209">
        <v>8</v>
      </c>
      <c r="D2209">
        <v>31</v>
      </c>
      <c r="E2209" s="1">
        <v>4.0000000000000001E-3</v>
      </c>
      <c r="F2209" t="s">
        <v>17</v>
      </c>
      <c r="G2209" t="str">
        <f>_xlfn.XLOOKUP(transakcje[[#This Row],[podkategoria]],parametr[podkategoria],parametr[kategoria])</f>
        <v>dochody pozostałe</v>
      </c>
      <c r="H2209" t="str">
        <f>_xlfn.XLOOKUP(transakcje[[#This Row],[kategoria]],parametr[kategoria],parametr[typ])</f>
        <v>dochody</v>
      </c>
      <c r="I2209" s="1">
        <f>ABS(transakcje[[#This Row],[kwota]])</f>
        <v>4.0000000000000001E-3</v>
      </c>
    </row>
    <row r="2210" spans="1:9" x14ac:dyDescent="0.3">
      <c r="A2210">
        <v>2209</v>
      </c>
      <c r="B2210">
        <v>2017</v>
      </c>
      <c r="C2210">
        <v>8</v>
      </c>
      <c r="D2210">
        <v>31</v>
      </c>
      <c r="E2210" s="1">
        <v>-1.198</v>
      </c>
      <c r="F2210" t="s">
        <v>14</v>
      </c>
      <c r="G2210" t="str">
        <f>_xlfn.XLOOKUP(transakcje[[#This Row],[podkategoria]],parametr[podkategoria],parametr[kategoria])</f>
        <v>opłaty stałe</v>
      </c>
      <c r="H2210" t="str">
        <f>_xlfn.XLOOKUP(transakcje[[#This Row],[kategoria]],parametr[kategoria],parametr[typ])</f>
        <v>wydatki</v>
      </c>
      <c r="I2210" s="1">
        <f>ABS(transakcje[[#This Row],[kwota]])</f>
        <v>1.198</v>
      </c>
    </row>
    <row r="2211" spans="1:9" x14ac:dyDescent="0.3">
      <c r="A2211">
        <v>2210</v>
      </c>
      <c r="B2211">
        <v>2017</v>
      </c>
      <c r="C2211">
        <v>8</v>
      </c>
      <c r="D2211">
        <v>31</v>
      </c>
      <c r="E2211" s="1">
        <v>-0.2</v>
      </c>
      <c r="F2211" t="s">
        <v>14</v>
      </c>
      <c r="G2211" t="str">
        <f>_xlfn.XLOOKUP(transakcje[[#This Row],[podkategoria]],parametr[podkategoria],parametr[kategoria])</f>
        <v>opłaty stałe</v>
      </c>
      <c r="H2211" t="str">
        <f>_xlfn.XLOOKUP(transakcje[[#This Row],[kategoria]],parametr[kategoria],parametr[typ])</f>
        <v>wydatki</v>
      </c>
      <c r="I2211" s="1">
        <f>ABS(transakcje[[#This Row],[kwota]])</f>
        <v>0.2</v>
      </c>
    </row>
    <row r="2212" spans="1:9" x14ac:dyDescent="0.3">
      <c r="A2212">
        <v>2211</v>
      </c>
      <c r="B2212">
        <v>2017</v>
      </c>
      <c r="C2212">
        <v>8</v>
      </c>
      <c r="D2212">
        <v>31</v>
      </c>
      <c r="E2212" s="1">
        <v>-2E-3</v>
      </c>
      <c r="F2212" t="s">
        <v>14</v>
      </c>
      <c r="G2212" t="str">
        <f>_xlfn.XLOOKUP(transakcje[[#This Row],[podkategoria]],parametr[podkategoria],parametr[kategoria])</f>
        <v>opłaty stałe</v>
      </c>
      <c r="H2212" t="str">
        <f>_xlfn.XLOOKUP(transakcje[[#This Row],[kategoria]],parametr[kategoria],parametr[typ])</f>
        <v>wydatki</v>
      </c>
      <c r="I2212" s="1">
        <f>ABS(transakcje[[#This Row],[kwota]])</f>
        <v>2E-3</v>
      </c>
    </row>
    <row r="2213" spans="1:9" x14ac:dyDescent="0.3">
      <c r="A2213">
        <v>2212</v>
      </c>
      <c r="B2213">
        <v>2017</v>
      </c>
      <c r="C2213">
        <v>9</v>
      </c>
      <c r="D2213">
        <v>1</v>
      </c>
      <c r="E2213" s="1">
        <v>-4.5999999999999996</v>
      </c>
      <c r="F2213" t="s">
        <v>26</v>
      </c>
      <c r="G2213" t="str">
        <f>_xlfn.XLOOKUP(transakcje[[#This Row],[podkategoria]],parametr[podkategoria],parametr[kategoria])</f>
        <v>życie</v>
      </c>
      <c r="H2213" t="str">
        <f>_xlfn.XLOOKUP(transakcje[[#This Row],[kategoria]],parametr[kategoria],parametr[typ])</f>
        <v>wydatki</v>
      </c>
      <c r="I2213" s="1">
        <f>ABS(transakcje[[#This Row],[kwota]])</f>
        <v>4.5999999999999996</v>
      </c>
    </row>
    <row r="2214" spans="1:9" x14ac:dyDescent="0.3">
      <c r="A2214">
        <v>2213</v>
      </c>
      <c r="B2214">
        <v>2017</v>
      </c>
      <c r="C2214">
        <v>9</v>
      </c>
      <c r="D2214">
        <v>2</v>
      </c>
      <c r="E2214" s="1">
        <v>-4.54</v>
      </c>
      <c r="F2214" t="s">
        <v>37</v>
      </c>
      <c r="G2214" t="str">
        <f>_xlfn.XLOOKUP(transakcje[[#This Row],[podkategoria]],parametr[podkategoria],parametr[kategoria])</f>
        <v>opłaty stałe</v>
      </c>
      <c r="H2214" t="str">
        <f>_xlfn.XLOOKUP(transakcje[[#This Row],[kategoria]],parametr[kategoria],parametr[typ])</f>
        <v>wydatki</v>
      </c>
      <c r="I2214" s="1">
        <f>ABS(transakcje[[#This Row],[kwota]])</f>
        <v>4.54</v>
      </c>
    </row>
    <row r="2215" spans="1:9" x14ac:dyDescent="0.3">
      <c r="A2215">
        <v>2214</v>
      </c>
      <c r="B2215">
        <v>2017</v>
      </c>
      <c r="C2215">
        <v>9</v>
      </c>
      <c r="D2215">
        <v>2</v>
      </c>
      <c r="E2215" s="1">
        <v>-66.058000000000007</v>
      </c>
      <c r="F2215" t="s">
        <v>31</v>
      </c>
      <c r="G2215" t="str">
        <f>_xlfn.XLOOKUP(transakcje[[#This Row],[podkategoria]],parametr[podkategoria],parametr[kategoria])</f>
        <v>opłaty stałe</v>
      </c>
      <c r="H2215" t="str">
        <f>_xlfn.XLOOKUP(transakcje[[#This Row],[kategoria]],parametr[kategoria],parametr[typ])</f>
        <v>wydatki</v>
      </c>
      <c r="I2215" s="1">
        <f>ABS(transakcje[[#This Row],[kwota]])</f>
        <v>66.058000000000007</v>
      </c>
    </row>
    <row r="2216" spans="1:9" x14ac:dyDescent="0.3">
      <c r="A2216">
        <v>2215</v>
      </c>
      <c r="B2216">
        <v>2017</v>
      </c>
      <c r="C2216">
        <v>9</v>
      </c>
      <c r="D2216">
        <v>2</v>
      </c>
      <c r="E2216" s="1">
        <v>-6.34</v>
      </c>
      <c r="F2216" t="s">
        <v>35</v>
      </c>
      <c r="G2216" t="str">
        <f>_xlfn.XLOOKUP(transakcje[[#This Row],[podkategoria]],parametr[podkategoria],parametr[kategoria])</f>
        <v>opłaty stałe</v>
      </c>
      <c r="H2216" t="str">
        <f>_xlfn.XLOOKUP(transakcje[[#This Row],[kategoria]],parametr[kategoria],parametr[typ])</f>
        <v>wydatki</v>
      </c>
      <c r="I2216" s="1">
        <f>ABS(transakcje[[#This Row],[kwota]])</f>
        <v>6.34</v>
      </c>
    </row>
    <row r="2217" spans="1:9" x14ac:dyDescent="0.3">
      <c r="A2217">
        <v>2216</v>
      </c>
      <c r="B2217">
        <v>2017</v>
      </c>
      <c r="C2217">
        <v>9</v>
      </c>
      <c r="D2217">
        <v>2</v>
      </c>
      <c r="E2217" s="1">
        <v>-7.38</v>
      </c>
      <c r="F2217" t="s">
        <v>23</v>
      </c>
      <c r="G2217" t="str">
        <f>_xlfn.XLOOKUP(transakcje[[#This Row],[podkategoria]],parametr[podkategoria],parametr[kategoria])</f>
        <v>opłaty stałe</v>
      </c>
      <c r="H2217" t="str">
        <f>_xlfn.XLOOKUP(transakcje[[#This Row],[kategoria]],parametr[kategoria],parametr[typ])</f>
        <v>wydatki</v>
      </c>
      <c r="I2217" s="1">
        <f>ABS(transakcje[[#This Row],[kwota]])</f>
        <v>7.38</v>
      </c>
    </row>
    <row r="2218" spans="1:9" x14ac:dyDescent="0.3">
      <c r="A2218">
        <v>2217</v>
      </c>
      <c r="B2218">
        <v>2017</v>
      </c>
      <c r="C2218">
        <v>9</v>
      </c>
      <c r="D2218">
        <v>2</v>
      </c>
      <c r="E2218" s="1">
        <v>-13.058000000000002</v>
      </c>
      <c r="F2218" t="s">
        <v>34</v>
      </c>
      <c r="G2218" t="str">
        <f>_xlfn.XLOOKUP(transakcje[[#This Row],[podkategoria]],parametr[podkategoria],parametr[kategoria])</f>
        <v>opłaty stałe</v>
      </c>
      <c r="H2218" t="str">
        <f>_xlfn.XLOOKUP(transakcje[[#This Row],[kategoria]],parametr[kategoria],parametr[typ])</f>
        <v>wydatki</v>
      </c>
      <c r="I2218" s="1">
        <f>ABS(transakcje[[#This Row],[kwota]])</f>
        <v>13.058000000000002</v>
      </c>
    </row>
    <row r="2219" spans="1:9" x14ac:dyDescent="0.3">
      <c r="A2219">
        <v>2218</v>
      </c>
      <c r="B2219">
        <v>2017</v>
      </c>
      <c r="C2219">
        <v>9</v>
      </c>
      <c r="D2219">
        <v>2</v>
      </c>
      <c r="E2219" s="1">
        <v>-8.6</v>
      </c>
      <c r="F2219" t="s">
        <v>11</v>
      </c>
      <c r="G2219" t="str">
        <f>_xlfn.XLOOKUP(transakcje[[#This Row],[podkategoria]],parametr[podkategoria],parametr[kategoria])</f>
        <v>wydatki inne</v>
      </c>
      <c r="H2219" t="str">
        <f>_xlfn.XLOOKUP(transakcje[[#This Row],[kategoria]],parametr[kategoria],parametr[typ])</f>
        <v>wydatki</v>
      </c>
      <c r="I2219" s="1">
        <f>ABS(transakcje[[#This Row],[kwota]])</f>
        <v>8.6</v>
      </c>
    </row>
    <row r="2220" spans="1:9" x14ac:dyDescent="0.3">
      <c r="A2220">
        <v>2219</v>
      </c>
      <c r="B2220">
        <v>2017</v>
      </c>
      <c r="C2220">
        <v>9</v>
      </c>
      <c r="D2220">
        <v>2</v>
      </c>
      <c r="E2220" s="1">
        <v>-6.9959999999999996</v>
      </c>
      <c r="F2220" t="s">
        <v>25</v>
      </c>
      <c r="G2220" t="str">
        <f>_xlfn.XLOOKUP(transakcje[[#This Row],[podkategoria]],parametr[podkategoria],parametr[kategoria])</f>
        <v>opłaty stałe</v>
      </c>
      <c r="H2220" t="str">
        <f>_xlfn.XLOOKUP(transakcje[[#This Row],[kategoria]],parametr[kategoria],parametr[typ])</f>
        <v>wydatki</v>
      </c>
      <c r="I2220" s="1">
        <f>ABS(transakcje[[#This Row],[kwota]])</f>
        <v>6.9959999999999996</v>
      </c>
    </row>
    <row r="2221" spans="1:9" x14ac:dyDescent="0.3">
      <c r="A2221">
        <v>2220</v>
      </c>
      <c r="B2221">
        <v>2017</v>
      </c>
      <c r="C2221">
        <v>9</v>
      </c>
      <c r="D2221">
        <v>7</v>
      </c>
      <c r="E2221" s="1">
        <v>-2.4460000000000002</v>
      </c>
      <c r="F2221" t="s">
        <v>26</v>
      </c>
      <c r="G2221" t="str">
        <f>_xlfn.XLOOKUP(transakcje[[#This Row],[podkategoria]],parametr[podkategoria],parametr[kategoria])</f>
        <v>życie</v>
      </c>
      <c r="H2221" t="str">
        <f>_xlfn.XLOOKUP(transakcje[[#This Row],[kategoria]],parametr[kategoria],parametr[typ])</f>
        <v>wydatki</v>
      </c>
      <c r="I2221" s="1">
        <f>ABS(transakcje[[#This Row],[kwota]])</f>
        <v>2.4460000000000002</v>
      </c>
    </row>
    <row r="2222" spans="1:9" x14ac:dyDescent="0.3">
      <c r="A2222">
        <v>2221</v>
      </c>
      <c r="B2222">
        <v>2017</v>
      </c>
      <c r="C2222">
        <v>9</v>
      </c>
      <c r="D2222">
        <v>7</v>
      </c>
      <c r="E2222" s="1">
        <v>-3.6680000000000001</v>
      </c>
      <c r="F2222" t="s">
        <v>26</v>
      </c>
      <c r="G2222" t="str">
        <f>_xlfn.XLOOKUP(transakcje[[#This Row],[podkategoria]],parametr[podkategoria],parametr[kategoria])</f>
        <v>życie</v>
      </c>
      <c r="H2222" t="str">
        <f>_xlfn.XLOOKUP(transakcje[[#This Row],[kategoria]],parametr[kategoria],parametr[typ])</f>
        <v>wydatki</v>
      </c>
      <c r="I2222" s="1">
        <f>ABS(transakcje[[#This Row],[kwota]])</f>
        <v>3.6680000000000001</v>
      </c>
    </row>
    <row r="2223" spans="1:9" x14ac:dyDescent="0.3">
      <c r="A2223">
        <v>2222</v>
      </c>
      <c r="B2223">
        <v>2017</v>
      </c>
      <c r="C2223">
        <v>9</v>
      </c>
      <c r="D2223">
        <v>8</v>
      </c>
      <c r="E2223" s="1">
        <v>-2.2960000000000003</v>
      </c>
      <c r="F2223" t="s">
        <v>26</v>
      </c>
      <c r="G2223" t="str">
        <f>_xlfn.XLOOKUP(transakcje[[#This Row],[podkategoria]],parametr[podkategoria],parametr[kategoria])</f>
        <v>życie</v>
      </c>
      <c r="H2223" t="str">
        <f>_xlfn.XLOOKUP(transakcje[[#This Row],[kategoria]],parametr[kategoria],parametr[typ])</f>
        <v>wydatki</v>
      </c>
      <c r="I2223" s="1">
        <f>ABS(transakcje[[#This Row],[kwota]])</f>
        <v>2.2960000000000003</v>
      </c>
    </row>
    <row r="2224" spans="1:9" x14ac:dyDescent="0.3">
      <c r="A2224">
        <v>2223</v>
      </c>
      <c r="B2224">
        <v>2017</v>
      </c>
      <c r="C2224">
        <v>9</v>
      </c>
      <c r="D2224">
        <v>11</v>
      </c>
      <c r="E2224" s="1">
        <v>-1.1519999999999999</v>
      </c>
      <c r="F2224" t="s">
        <v>26</v>
      </c>
      <c r="G2224" t="str">
        <f>_xlfn.XLOOKUP(transakcje[[#This Row],[podkategoria]],parametr[podkategoria],parametr[kategoria])</f>
        <v>życie</v>
      </c>
      <c r="H2224" t="str">
        <f>_xlfn.XLOOKUP(transakcje[[#This Row],[kategoria]],parametr[kategoria],parametr[typ])</f>
        <v>wydatki</v>
      </c>
      <c r="I2224" s="1">
        <f>ABS(transakcje[[#This Row],[kwota]])</f>
        <v>1.1519999999999999</v>
      </c>
    </row>
    <row r="2225" spans="1:9" x14ac:dyDescent="0.3">
      <c r="A2225">
        <v>2224</v>
      </c>
      <c r="B2225">
        <v>2017</v>
      </c>
      <c r="C2225">
        <v>9</v>
      </c>
      <c r="D2225">
        <v>11</v>
      </c>
      <c r="E2225" s="1">
        <v>-2.1260000000000003</v>
      </c>
      <c r="F2225" t="s">
        <v>26</v>
      </c>
      <c r="G2225" t="str">
        <f>_xlfn.XLOOKUP(transakcje[[#This Row],[podkategoria]],parametr[podkategoria],parametr[kategoria])</f>
        <v>życie</v>
      </c>
      <c r="H2225" t="str">
        <f>_xlfn.XLOOKUP(transakcje[[#This Row],[kategoria]],parametr[kategoria],parametr[typ])</f>
        <v>wydatki</v>
      </c>
      <c r="I2225" s="1">
        <f>ABS(transakcje[[#This Row],[kwota]])</f>
        <v>2.1260000000000003</v>
      </c>
    </row>
    <row r="2226" spans="1:9" x14ac:dyDescent="0.3">
      <c r="A2226">
        <v>2225</v>
      </c>
      <c r="B2226">
        <v>2017</v>
      </c>
      <c r="C2226">
        <v>9</v>
      </c>
      <c r="D2226">
        <v>12</v>
      </c>
      <c r="E2226" s="1">
        <v>-9.9580000000000002</v>
      </c>
      <c r="F2226" t="s">
        <v>26</v>
      </c>
      <c r="G2226" t="str">
        <f>_xlfn.XLOOKUP(transakcje[[#This Row],[podkategoria]],parametr[podkategoria],parametr[kategoria])</f>
        <v>życie</v>
      </c>
      <c r="H2226" t="str">
        <f>_xlfn.XLOOKUP(transakcje[[#This Row],[kategoria]],parametr[kategoria],parametr[typ])</f>
        <v>wydatki</v>
      </c>
      <c r="I2226" s="1">
        <f>ABS(transakcje[[#This Row],[kwota]])</f>
        <v>9.9580000000000002</v>
      </c>
    </row>
    <row r="2227" spans="1:9" x14ac:dyDescent="0.3">
      <c r="A2227">
        <v>2226</v>
      </c>
      <c r="B2227">
        <v>2017</v>
      </c>
      <c r="C2227">
        <v>9</v>
      </c>
      <c r="D2227">
        <v>13</v>
      </c>
      <c r="E2227" s="1">
        <v>-0.39800000000000002</v>
      </c>
      <c r="F2227" t="s">
        <v>14</v>
      </c>
      <c r="G2227" t="str">
        <f>_xlfn.XLOOKUP(transakcje[[#This Row],[podkategoria]],parametr[podkategoria],parametr[kategoria])</f>
        <v>opłaty stałe</v>
      </c>
      <c r="H2227" t="str">
        <f>_xlfn.XLOOKUP(transakcje[[#This Row],[kategoria]],parametr[kategoria],parametr[typ])</f>
        <v>wydatki</v>
      </c>
      <c r="I2227" s="1">
        <f>ABS(transakcje[[#This Row],[kwota]])</f>
        <v>0.39800000000000002</v>
      </c>
    </row>
    <row r="2228" spans="1:9" x14ac:dyDescent="0.3">
      <c r="A2228">
        <v>2227</v>
      </c>
      <c r="B2228">
        <v>2017</v>
      </c>
      <c r="C2228">
        <v>9</v>
      </c>
      <c r="D2228">
        <v>16</v>
      </c>
      <c r="E2228" s="1">
        <v>-0.8</v>
      </c>
      <c r="F2228" t="s">
        <v>14</v>
      </c>
      <c r="G2228" t="str">
        <f>_xlfn.XLOOKUP(transakcje[[#This Row],[podkategoria]],parametr[podkategoria],parametr[kategoria])</f>
        <v>opłaty stałe</v>
      </c>
      <c r="H2228" t="str">
        <f>_xlfn.XLOOKUP(transakcje[[#This Row],[kategoria]],parametr[kategoria],parametr[typ])</f>
        <v>wydatki</v>
      </c>
      <c r="I2228" s="1">
        <f>ABS(transakcje[[#This Row],[kwota]])</f>
        <v>0.8</v>
      </c>
    </row>
    <row r="2229" spans="1:9" x14ac:dyDescent="0.3">
      <c r="A2229">
        <v>2228</v>
      </c>
      <c r="B2229">
        <v>2017</v>
      </c>
      <c r="C2229">
        <v>9</v>
      </c>
      <c r="D2229">
        <v>17</v>
      </c>
      <c r="E2229" s="1">
        <v>-38.880000000000003</v>
      </c>
      <c r="F2229" t="s">
        <v>11</v>
      </c>
      <c r="G2229" t="str">
        <f>_xlfn.XLOOKUP(transakcje[[#This Row],[podkategoria]],parametr[podkategoria],parametr[kategoria])</f>
        <v>wydatki inne</v>
      </c>
      <c r="H2229" t="str">
        <f>_xlfn.XLOOKUP(transakcje[[#This Row],[kategoria]],parametr[kategoria],parametr[typ])</f>
        <v>wydatki</v>
      </c>
      <c r="I2229" s="1">
        <f>ABS(transakcje[[#This Row],[kwota]])</f>
        <v>38.880000000000003</v>
      </c>
    </row>
    <row r="2230" spans="1:9" x14ac:dyDescent="0.3">
      <c r="A2230">
        <v>2229</v>
      </c>
      <c r="B2230">
        <v>2017</v>
      </c>
      <c r="C2230">
        <v>9</v>
      </c>
      <c r="D2230">
        <v>18</v>
      </c>
      <c r="E2230" s="1">
        <v>-19.8</v>
      </c>
      <c r="F2230" t="s">
        <v>32</v>
      </c>
      <c r="G2230" t="str">
        <f>_xlfn.XLOOKUP(transakcje[[#This Row],[podkategoria]],parametr[podkategoria],parametr[kategoria])</f>
        <v>opłaty stałe</v>
      </c>
      <c r="H2230" t="str">
        <f>_xlfn.XLOOKUP(transakcje[[#This Row],[kategoria]],parametr[kategoria],parametr[typ])</f>
        <v>wydatki</v>
      </c>
      <c r="I2230" s="1">
        <f>ABS(transakcje[[#This Row],[kwota]])</f>
        <v>19.8</v>
      </c>
    </row>
    <row r="2231" spans="1:9" x14ac:dyDescent="0.3">
      <c r="A2231">
        <v>2230</v>
      </c>
      <c r="B2231">
        <v>2017</v>
      </c>
      <c r="C2231">
        <v>9</v>
      </c>
      <c r="D2231">
        <v>19</v>
      </c>
      <c r="E2231" s="1">
        <v>-2</v>
      </c>
      <c r="F2231" t="s">
        <v>26</v>
      </c>
      <c r="G2231" t="str">
        <f>_xlfn.XLOOKUP(transakcje[[#This Row],[podkategoria]],parametr[podkategoria],parametr[kategoria])</f>
        <v>życie</v>
      </c>
      <c r="H2231" t="str">
        <f>_xlfn.XLOOKUP(transakcje[[#This Row],[kategoria]],parametr[kategoria],parametr[typ])</f>
        <v>wydatki</v>
      </c>
      <c r="I2231" s="1">
        <f>ABS(transakcje[[#This Row],[kwota]])</f>
        <v>2</v>
      </c>
    </row>
    <row r="2232" spans="1:9" x14ac:dyDescent="0.3">
      <c r="A2232">
        <v>2231</v>
      </c>
      <c r="B2232">
        <v>2017</v>
      </c>
      <c r="C2232">
        <v>9</v>
      </c>
      <c r="D2232">
        <v>19</v>
      </c>
      <c r="E2232" s="1">
        <v>-9.9980000000000011</v>
      </c>
      <c r="F2232" t="s">
        <v>26</v>
      </c>
      <c r="G2232" t="str">
        <f>_xlfn.XLOOKUP(transakcje[[#This Row],[podkategoria]],parametr[podkategoria],parametr[kategoria])</f>
        <v>życie</v>
      </c>
      <c r="H2232" t="str">
        <f>_xlfn.XLOOKUP(transakcje[[#This Row],[kategoria]],parametr[kategoria],parametr[typ])</f>
        <v>wydatki</v>
      </c>
      <c r="I2232" s="1">
        <f>ABS(transakcje[[#This Row],[kwota]])</f>
        <v>9.9980000000000011</v>
      </c>
    </row>
    <row r="2233" spans="1:9" x14ac:dyDescent="0.3">
      <c r="A2233">
        <v>2232</v>
      </c>
      <c r="B2233">
        <v>2017</v>
      </c>
      <c r="C2233">
        <v>9</v>
      </c>
      <c r="D2233">
        <v>21</v>
      </c>
      <c r="E2233" s="1">
        <v>-45.78</v>
      </c>
      <c r="F2233" t="s">
        <v>11</v>
      </c>
      <c r="G2233" t="str">
        <f>_xlfn.XLOOKUP(transakcje[[#This Row],[podkategoria]],parametr[podkategoria],parametr[kategoria])</f>
        <v>wydatki inne</v>
      </c>
      <c r="H2233" t="str">
        <f>_xlfn.XLOOKUP(transakcje[[#This Row],[kategoria]],parametr[kategoria],parametr[typ])</f>
        <v>wydatki</v>
      </c>
      <c r="I2233" s="1">
        <f>ABS(transakcje[[#This Row],[kwota]])</f>
        <v>45.78</v>
      </c>
    </row>
    <row r="2234" spans="1:9" x14ac:dyDescent="0.3">
      <c r="A2234">
        <v>2233</v>
      </c>
      <c r="B2234">
        <v>2017</v>
      </c>
      <c r="C2234">
        <v>9</v>
      </c>
      <c r="D2234">
        <v>21</v>
      </c>
      <c r="E2234" s="1">
        <v>-25.85</v>
      </c>
      <c r="F2234" t="s">
        <v>20</v>
      </c>
      <c r="G2234" t="str">
        <f>_xlfn.XLOOKUP(transakcje[[#This Row],[podkategoria]],parametr[podkategoria],parametr[kategoria])</f>
        <v>trwałe</v>
      </c>
      <c r="H2234" t="str">
        <f>_xlfn.XLOOKUP(transakcje[[#This Row],[kategoria]],parametr[kategoria],parametr[typ])</f>
        <v>wydatki</v>
      </c>
      <c r="I2234" s="1">
        <f>ABS(transakcje[[#This Row],[kwota]])</f>
        <v>25.85</v>
      </c>
    </row>
    <row r="2235" spans="1:9" x14ac:dyDescent="0.3">
      <c r="A2235">
        <v>2234</v>
      </c>
      <c r="B2235">
        <v>2017</v>
      </c>
      <c r="C2235">
        <v>9</v>
      </c>
      <c r="D2235">
        <v>21</v>
      </c>
      <c r="E2235" s="1">
        <v>-2.5499999999999998</v>
      </c>
      <c r="F2235" t="s">
        <v>26</v>
      </c>
      <c r="G2235" t="str">
        <f>_xlfn.XLOOKUP(transakcje[[#This Row],[podkategoria]],parametr[podkategoria],parametr[kategoria])</f>
        <v>życie</v>
      </c>
      <c r="H2235" t="str">
        <f>_xlfn.XLOOKUP(transakcje[[#This Row],[kategoria]],parametr[kategoria],parametr[typ])</f>
        <v>wydatki</v>
      </c>
      <c r="I2235" s="1">
        <f>ABS(transakcje[[#This Row],[kwota]])</f>
        <v>2.5499999999999998</v>
      </c>
    </row>
    <row r="2236" spans="1:9" x14ac:dyDescent="0.3">
      <c r="A2236">
        <v>2235</v>
      </c>
      <c r="B2236">
        <v>2017</v>
      </c>
      <c r="C2236">
        <v>9</v>
      </c>
      <c r="D2236">
        <v>21</v>
      </c>
      <c r="E2236" s="1">
        <v>-7.7840000000000007</v>
      </c>
      <c r="F2236" t="s">
        <v>26</v>
      </c>
      <c r="G2236" t="str">
        <f>_xlfn.XLOOKUP(transakcje[[#This Row],[podkategoria]],parametr[podkategoria],parametr[kategoria])</f>
        <v>życie</v>
      </c>
      <c r="H2236" t="str">
        <f>_xlfn.XLOOKUP(transakcje[[#This Row],[kategoria]],parametr[kategoria],parametr[typ])</f>
        <v>wydatki</v>
      </c>
      <c r="I2236" s="1">
        <f>ABS(transakcje[[#This Row],[kwota]])</f>
        <v>7.7840000000000007</v>
      </c>
    </row>
    <row r="2237" spans="1:9" x14ac:dyDescent="0.3">
      <c r="A2237">
        <v>2236</v>
      </c>
      <c r="B2237">
        <v>2017</v>
      </c>
      <c r="C2237">
        <v>9</v>
      </c>
      <c r="D2237">
        <v>24</v>
      </c>
      <c r="E2237" s="1">
        <v>-14.280000000000001</v>
      </c>
      <c r="F2237" t="s">
        <v>26</v>
      </c>
      <c r="G2237" t="str">
        <f>_xlfn.XLOOKUP(transakcje[[#This Row],[podkategoria]],parametr[podkategoria],parametr[kategoria])</f>
        <v>życie</v>
      </c>
      <c r="H2237" t="str">
        <f>_xlfn.XLOOKUP(transakcje[[#This Row],[kategoria]],parametr[kategoria],parametr[typ])</f>
        <v>wydatki</v>
      </c>
      <c r="I2237" s="1">
        <f>ABS(transakcje[[#This Row],[kwota]])</f>
        <v>14.280000000000001</v>
      </c>
    </row>
    <row r="2238" spans="1:9" x14ac:dyDescent="0.3">
      <c r="A2238">
        <v>2237</v>
      </c>
      <c r="B2238">
        <v>2017</v>
      </c>
      <c r="C2238">
        <v>9</v>
      </c>
      <c r="D2238">
        <v>25</v>
      </c>
      <c r="E2238" s="1">
        <v>-3.3180000000000001</v>
      </c>
      <c r="F2238" t="s">
        <v>26</v>
      </c>
      <c r="G2238" t="str">
        <f>_xlfn.XLOOKUP(transakcje[[#This Row],[podkategoria]],parametr[podkategoria],parametr[kategoria])</f>
        <v>życie</v>
      </c>
      <c r="H2238" t="str">
        <f>_xlfn.XLOOKUP(transakcje[[#This Row],[kategoria]],parametr[kategoria],parametr[typ])</f>
        <v>wydatki</v>
      </c>
      <c r="I2238" s="1">
        <f>ABS(transakcje[[#This Row],[kwota]])</f>
        <v>3.3180000000000001</v>
      </c>
    </row>
    <row r="2239" spans="1:9" x14ac:dyDescent="0.3">
      <c r="A2239">
        <v>2238</v>
      </c>
      <c r="B2239">
        <v>2017</v>
      </c>
      <c r="C2239">
        <v>9</v>
      </c>
      <c r="D2239">
        <v>26</v>
      </c>
      <c r="E2239" s="1">
        <v>511.11</v>
      </c>
      <c r="F2239" t="s">
        <v>8</v>
      </c>
      <c r="G2239" t="str">
        <f>_xlfn.XLOOKUP(transakcje[[#This Row],[podkategoria]],parametr[podkategoria],parametr[kategoria])</f>
        <v>dochody z pracy</v>
      </c>
      <c r="H2239" t="str">
        <f>_xlfn.XLOOKUP(transakcje[[#This Row],[kategoria]],parametr[kategoria],parametr[typ])</f>
        <v>dochody</v>
      </c>
      <c r="I2239" s="1">
        <f>ABS(transakcje[[#This Row],[kwota]])</f>
        <v>511.11</v>
      </c>
    </row>
    <row r="2240" spans="1:9" x14ac:dyDescent="0.3">
      <c r="A2240">
        <v>2239</v>
      </c>
      <c r="B2240">
        <v>2017</v>
      </c>
      <c r="C2240">
        <v>9</v>
      </c>
      <c r="D2240">
        <v>30</v>
      </c>
      <c r="E2240" s="1">
        <v>4.0000000000000001E-3</v>
      </c>
      <c r="F2240" t="s">
        <v>17</v>
      </c>
      <c r="G2240" t="str">
        <f>_xlfn.XLOOKUP(transakcje[[#This Row],[podkategoria]],parametr[podkategoria],parametr[kategoria])</f>
        <v>dochody pozostałe</v>
      </c>
      <c r="H2240" t="str">
        <f>_xlfn.XLOOKUP(transakcje[[#This Row],[kategoria]],parametr[kategoria],parametr[typ])</f>
        <v>dochody</v>
      </c>
      <c r="I2240" s="1">
        <f>ABS(transakcje[[#This Row],[kwota]])</f>
        <v>4.0000000000000001E-3</v>
      </c>
    </row>
    <row r="2241" spans="1:9" x14ac:dyDescent="0.3">
      <c r="A2241">
        <v>2240</v>
      </c>
      <c r="B2241">
        <v>2017</v>
      </c>
      <c r="C2241">
        <v>9</v>
      </c>
      <c r="D2241">
        <v>30</v>
      </c>
      <c r="E2241" s="1">
        <v>-1.198</v>
      </c>
      <c r="F2241" t="s">
        <v>14</v>
      </c>
      <c r="G2241" t="str">
        <f>_xlfn.XLOOKUP(transakcje[[#This Row],[podkategoria]],parametr[podkategoria],parametr[kategoria])</f>
        <v>opłaty stałe</v>
      </c>
      <c r="H2241" t="str">
        <f>_xlfn.XLOOKUP(transakcje[[#This Row],[kategoria]],parametr[kategoria],parametr[typ])</f>
        <v>wydatki</v>
      </c>
      <c r="I2241" s="1">
        <f>ABS(transakcje[[#This Row],[kwota]])</f>
        <v>1.198</v>
      </c>
    </row>
    <row r="2242" spans="1:9" x14ac:dyDescent="0.3">
      <c r="A2242">
        <v>2241</v>
      </c>
      <c r="B2242">
        <v>2017</v>
      </c>
      <c r="C2242">
        <v>9</v>
      </c>
      <c r="D2242">
        <v>30</v>
      </c>
      <c r="E2242" s="1">
        <v>-1</v>
      </c>
      <c r="F2242" t="s">
        <v>14</v>
      </c>
      <c r="G2242" t="str">
        <f>_xlfn.XLOOKUP(transakcje[[#This Row],[podkategoria]],parametr[podkategoria],parametr[kategoria])</f>
        <v>opłaty stałe</v>
      </c>
      <c r="H2242" t="str">
        <f>_xlfn.XLOOKUP(transakcje[[#This Row],[kategoria]],parametr[kategoria],parametr[typ])</f>
        <v>wydatki</v>
      </c>
      <c r="I2242" s="1">
        <f>ABS(transakcje[[#This Row],[kwota]])</f>
        <v>1</v>
      </c>
    </row>
    <row r="2243" spans="1:9" x14ac:dyDescent="0.3">
      <c r="A2243">
        <v>2242</v>
      </c>
      <c r="B2243">
        <v>2017</v>
      </c>
      <c r="C2243">
        <v>9</v>
      </c>
      <c r="D2243">
        <v>30</v>
      </c>
      <c r="E2243" s="1">
        <v>-2E-3</v>
      </c>
      <c r="F2243" t="s">
        <v>14</v>
      </c>
      <c r="G2243" t="str">
        <f>_xlfn.XLOOKUP(transakcje[[#This Row],[podkategoria]],parametr[podkategoria],parametr[kategoria])</f>
        <v>opłaty stałe</v>
      </c>
      <c r="H2243" t="str">
        <f>_xlfn.XLOOKUP(transakcje[[#This Row],[kategoria]],parametr[kategoria],parametr[typ])</f>
        <v>wydatki</v>
      </c>
      <c r="I2243" s="1">
        <f>ABS(transakcje[[#This Row],[kwota]])</f>
        <v>2E-3</v>
      </c>
    </row>
    <row r="2244" spans="1:9" x14ac:dyDescent="0.3">
      <c r="A2244">
        <v>2243</v>
      </c>
      <c r="B2244">
        <v>2017</v>
      </c>
      <c r="C2244">
        <v>9</v>
      </c>
      <c r="D2244">
        <v>30</v>
      </c>
      <c r="E2244" s="1">
        <v>-46.4</v>
      </c>
      <c r="F2244" t="s">
        <v>30</v>
      </c>
      <c r="G2244" t="str">
        <f>_xlfn.XLOOKUP(transakcje[[#This Row],[podkategoria]],parametr[podkategoria],parametr[kategoria])</f>
        <v>opłaty stałe</v>
      </c>
      <c r="H2244" t="str">
        <f>_xlfn.XLOOKUP(transakcje[[#This Row],[kategoria]],parametr[kategoria],parametr[typ])</f>
        <v>wydatki</v>
      </c>
      <c r="I2244" s="1">
        <f>ABS(transakcje[[#This Row],[kwota]])</f>
        <v>46.4</v>
      </c>
    </row>
    <row r="2245" spans="1:9" x14ac:dyDescent="0.3">
      <c r="A2245">
        <v>2244</v>
      </c>
      <c r="B2245">
        <v>2017</v>
      </c>
      <c r="C2245">
        <v>10</v>
      </c>
      <c r="D2245">
        <v>1</v>
      </c>
      <c r="E2245" s="1">
        <v>-4.54</v>
      </c>
      <c r="F2245" t="s">
        <v>37</v>
      </c>
      <c r="G2245" t="str">
        <f>_xlfn.XLOOKUP(transakcje[[#This Row],[podkategoria]],parametr[podkategoria],parametr[kategoria])</f>
        <v>opłaty stałe</v>
      </c>
      <c r="H2245" t="str">
        <f>_xlfn.XLOOKUP(transakcje[[#This Row],[kategoria]],parametr[kategoria],parametr[typ])</f>
        <v>wydatki</v>
      </c>
      <c r="I2245" s="1">
        <f>ABS(transakcje[[#This Row],[kwota]])</f>
        <v>4.54</v>
      </c>
    </row>
    <row r="2246" spans="1:9" x14ac:dyDescent="0.3">
      <c r="A2246">
        <v>2245</v>
      </c>
      <c r="B2246">
        <v>2017</v>
      </c>
      <c r="C2246">
        <v>10</v>
      </c>
      <c r="D2246">
        <v>1</v>
      </c>
      <c r="E2246" s="1">
        <v>-66.058000000000007</v>
      </c>
      <c r="F2246" t="s">
        <v>31</v>
      </c>
      <c r="G2246" t="str">
        <f>_xlfn.XLOOKUP(transakcje[[#This Row],[podkategoria]],parametr[podkategoria],parametr[kategoria])</f>
        <v>opłaty stałe</v>
      </c>
      <c r="H2246" t="str">
        <f>_xlfn.XLOOKUP(transakcje[[#This Row],[kategoria]],parametr[kategoria],parametr[typ])</f>
        <v>wydatki</v>
      </c>
      <c r="I2246" s="1">
        <f>ABS(transakcje[[#This Row],[kwota]])</f>
        <v>66.058000000000007</v>
      </c>
    </row>
    <row r="2247" spans="1:9" x14ac:dyDescent="0.3">
      <c r="A2247">
        <v>2246</v>
      </c>
      <c r="B2247">
        <v>2017</v>
      </c>
      <c r="C2247">
        <v>10</v>
      </c>
      <c r="D2247">
        <v>1</v>
      </c>
      <c r="E2247" s="1">
        <v>-7.38</v>
      </c>
      <c r="F2247" t="s">
        <v>23</v>
      </c>
      <c r="G2247" t="str">
        <f>_xlfn.XLOOKUP(transakcje[[#This Row],[podkategoria]],parametr[podkategoria],parametr[kategoria])</f>
        <v>opłaty stałe</v>
      </c>
      <c r="H2247" t="str">
        <f>_xlfn.XLOOKUP(transakcje[[#This Row],[kategoria]],parametr[kategoria],parametr[typ])</f>
        <v>wydatki</v>
      </c>
      <c r="I2247" s="1">
        <f>ABS(transakcje[[#This Row],[kwota]])</f>
        <v>7.38</v>
      </c>
    </row>
    <row r="2248" spans="1:9" x14ac:dyDescent="0.3">
      <c r="A2248">
        <v>2247</v>
      </c>
      <c r="B2248">
        <v>2017</v>
      </c>
      <c r="C2248">
        <v>10</v>
      </c>
      <c r="D2248">
        <v>1</v>
      </c>
      <c r="E2248" s="1">
        <v>-11.778</v>
      </c>
      <c r="F2248" t="s">
        <v>26</v>
      </c>
      <c r="G2248" t="str">
        <f>_xlfn.XLOOKUP(transakcje[[#This Row],[podkategoria]],parametr[podkategoria],parametr[kategoria])</f>
        <v>życie</v>
      </c>
      <c r="H2248" t="str">
        <f>_xlfn.XLOOKUP(transakcje[[#This Row],[kategoria]],parametr[kategoria],parametr[typ])</f>
        <v>wydatki</v>
      </c>
      <c r="I2248" s="1">
        <f>ABS(transakcje[[#This Row],[kwota]])</f>
        <v>11.778</v>
      </c>
    </row>
    <row r="2249" spans="1:9" x14ac:dyDescent="0.3">
      <c r="A2249">
        <v>2248</v>
      </c>
      <c r="B2249">
        <v>2017</v>
      </c>
      <c r="C2249">
        <v>10</v>
      </c>
      <c r="D2249">
        <v>3</v>
      </c>
      <c r="E2249" s="1">
        <v>120.2</v>
      </c>
      <c r="F2249" t="s">
        <v>16</v>
      </c>
      <c r="G2249" t="str">
        <f>_xlfn.XLOOKUP(transakcje[[#This Row],[podkategoria]],parametr[podkategoria],parametr[kategoria])</f>
        <v>dochody z pracy</v>
      </c>
      <c r="H2249" t="str">
        <f>_xlfn.XLOOKUP(transakcje[[#This Row],[kategoria]],parametr[kategoria],parametr[typ])</f>
        <v>dochody</v>
      </c>
      <c r="I2249" s="1">
        <f>ABS(transakcje[[#This Row],[kwota]])</f>
        <v>120.2</v>
      </c>
    </row>
    <row r="2250" spans="1:9" x14ac:dyDescent="0.3">
      <c r="A2250">
        <v>2249</v>
      </c>
      <c r="B2250">
        <v>2017</v>
      </c>
      <c r="C2250">
        <v>10</v>
      </c>
      <c r="D2250">
        <v>6</v>
      </c>
      <c r="E2250" s="1">
        <v>-7.67</v>
      </c>
      <c r="F2250" t="s">
        <v>25</v>
      </c>
      <c r="G2250" t="str">
        <f>_xlfn.XLOOKUP(transakcje[[#This Row],[podkategoria]],parametr[podkategoria],parametr[kategoria])</f>
        <v>opłaty stałe</v>
      </c>
      <c r="H2250" t="str">
        <f>_xlfn.XLOOKUP(transakcje[[#This Row],[kategoria]],parametr[kategoria],parametr[typ])</f>
        <v>wydatki</v>
      </c>
      <c r="I2250" s="1">
        <f>ABS(transakcje[[#This Row],[kwota]])</f>
        <v>7.67</v>
      </c>
    </row>
    <row r="2251" spans="1:9" x14ac:dyDescent="0.3">
      <c r="A2251">
        <v>2250</v>
      </c>
      <c r="B2251">
        <v>2017</v>
      </c>
      <c r="C2251">
        <v>10</v>
      </c>
      <c r="D2251">
        <v>9</v>
      </c>
      <c r="E2251" s="1">
        <v>-8.0259999999999998</v>
      </c>
      <c r="F2251" t="s">
        <v>26</v>
      </c>
      <c r="G2251" t="str">
        <f>_xlfn.XLOOKUP(transakcje[[#This Row],[podkategoria]],parametr[podkategoria],parametr[kategoria])</f>
        <v>życie</v>
      </c>
      <c r="H2251" t="str">
        <f>_xlfn.XLOOKUP(transakcje[[#This Row],[kategoria]],parametr[kategoria],parametr[typ])</f>
        <v>wydatki</v>
      </c>
      <c r="I2251" s="1">
        <f>ABS(transakcje[[#This Row],[kwota]])</f>
        <v>8.0259999999999998</v>
      </c>
    </row>
    <row r="2252" spans="1:9" x14ac:dyDescent="0.3">
      <c r="A2252">
        <v>2251</v>
      </c>
      <c r="B2252">
        <v>2017</v>
      </c>
      <c r="C2252">
        <v>10</v>
      </c>
      <c r="D2252">
        <v>9</v>
      </c>
      <c r="E2252" s="1">
        <v>-0.77800000000000002</v>
      </c>
      <c r="F2252" t="s">
        <v>26</v>
      </c>
      <c r="G2252" t="str">
        <f>_xlfn.XLOOKUP(transakcje[[#This Row],[podkategoria]],parametr[podkategoria],parametr[kategoria])</f>
        <v>życie</v>
      </c>
      <c r="H2252" t="str">
        <f>_xlfn.XLOOKUP(transakcje[[#This Row],[kategoria]],parametr[kategoria],parametr[typ])</f>
        <v>wydatki</v>
      </c>
      <c r="I2252" s="1">
        <f>ABS(transakcje[[#This Row],[kwota]])</f>
        <v>0.77800000000000002</v>
      </c>
    </row>
    <row r="2253" spans="1:9" x14ac:dyDescent="0.3">
      <c r="A2253">
        <v>2252</v>
      </c>
      <c r="B2253">
        <v>2017</v>
      </c>
      <c r="C2253">
        <v>10</v>
      </c>
      <c r="D2253">
        <v>13</v>
      </c>
      <c r="E2253" s="1">
        <v>-0.39800000000000002</v>
      </c>
      <c r="F2253" t="s">
        <v>14</v>
      </c>
      <c r="G2253" t="str">
        <f>_xlfn.XLOOKUP(transakcje[[#This Row],[podkategoria]],parametr[podkategoria],parametr[kategoria])</f>
        <v>opłaty stałe</v>
      </c>
      <c r="H2253" t="str">
        <f>_xlfn.XLOOKUP(transakcje[[#This Row],[kategoria]],parametr[kategoria],parametr[typ])</f>
        <v>wydatki</v>
      </c>
      <c r="I2253" s="1">
        <f>ABS(transakcje[[#This Row],[kwota]])</f>
        <v>0.39800000000000002</v>
      </c>
    </row>
    <row r="2254" spans="1:9" x14ac:dyDescent="0.3">
      <c r="A2254">
        <v>2253</v>
      </c>
      <c r="B2254">
        <v>2017</v>
      </c>
      <c r="C2254">
        <v>10</v>
      </c>
      <c r="D2254">
        <v>14</v>
      </c>
      <c r="E2254" s="1">
        <v>-10.209999999999999</v>
      </c>
      <c r="F2254" t="s">
        <v>26</v>
      </c>
      <c r="G2254" t="str">
        <f>_xlfn.XLOOKUP(transakcje[[#This Row],[podkategoria]],parametr[podkategoria],parametr[kategoria])</f>
        <v>życie</v>
      </c>
      <c r="H2254" t="str">
        <f>_xlfn.XLOOKUP(transakcje[[#This Row],[kategoria]],parametr[kategoria],parametr[typ])</f>
        <v>wydatki</v>
      </c>
      <c r="I2254" s="1">
        <f>ABS(transakcje[[#This Row],[kwota]])</f>
        <v>10.209999999999999</v>
      </c>
    </row>
    <row r="2255" spans="1:9" x14ac:dyDescent="0.3">
      <c r="A2255">
        <v>2254</v>
      </c>
      <c r="B2255">
        <v>2017</v>
      </c>
      <c r="C2255">
        <v>10</v>
      </c>
      <c r="D2255">
        <v>16</v>
      </c>
      <c r="E2255" s="1">
        <v>-0.8</v>
      </c>
      <c r="F2255" t="s">
        <v>14</v>
      </c>
      <c r="G2255" t="str">
        <f>_xlfn.XLOOKUP(transakcje[[#This Row],[podkategoria]],parametr[podkategoria],parametr[kategoria])</f>
        <v>opłaty stałe</v>
      </c>
      <c r="H2255" t="str">
        <f>_xlfn.XLOOKUP(transakcje[[#This Row],[kategoria]],parametr[kategoria],parametr[typ])</f>
        <v>wydatki</v>
      </c>
      <c r="I2255" s="1">
        <f>ABS(transakcje[[#This Row],[kwota]])</f>
        <v>0.8</v>
      </c>
    </row>
    <row r="2256" spans="1:9" x14ac:dyDescent="0.3">
      <c r="A2256">
        <v>2255</v>
      </c>
      <c r="B2256">
        <v>2017</v>
      </c>
      <c r="C2256">
        <v>10</v>
      </c>
      <c r="D2256">
        <v>19</v>
      </c>
      <c r="E2256" s="1">
        <v>-16.347999999999999</v>
      </c>
      <c r="F2256" t="s">
        <v>26</v>
      </c>
      <c r="G2256" t="str">
        <f>_xlfn.XLOOKUP(transakcje[[#This Row],[podkategoria]],parametr[podkategoria],parametr[kategoria])</f>
        <v>życie</v>
      </c>
      <c r="H2256" t="str">
        <f>_xlfn.XLOOKUP(transakcje[[#This Row],[kategoria]],parametr[kategoria],parametr[typ])</f>
        <v>wydatki</v>
      </c>
      <c r="I2256" s="1">
        <f>ABS(transakcje[[#This Row],[kwota]])</f>
        <v>16.347999999999999</v>
      </c>
    </row>
    <row r="2257" spans="1:9" x14ac:dyDescent="0.3">
      <c r="A2257">
        <v>2256</v>
      </c>
      <c r="B2257">
        <v>2017</v>
      </c>
      <c r="C2257">
        <v>10</v>
      </c>
      <c r="D2257">
        <v>20</v>
      </c>
      <c r="E2257" s="1">
        <v>-4.4479999999999995</v>
      </c>
      <c r="F2257" t="s">
        <v>26</v>
      </c>
      <c r="G2257" t="str">
        <f>_xlfn.XLOOKUP(transakcje[[#This Row],[podkategoria]],parametr[podkategoria],parametr[kategoria])</f>
        <v>życie</v>
      </c>
      <c r="H2257" t="str">
        <f>_xlfn.XLOOKUP(transakcje[[#This Row],[kategoria]],parametr[kategoria],parametr[typ])</f>
        <v>wydatki</v>
      </c>
      <c r="I2257" s="1">
        <f>ABS(transakcje[[#This Row],[kwota]])</f>
        <v>4.4479999999999995</v>
      </c>
    </row>
    <row r="2258" spans="1:9" x14ac:dyDescent="0.3">
      <c r="A2258">
        <v>2257</v>
      </c>
      <c r="B2258">
        <v>2017</v>
      </c>
      <c r="C2258">
        <v>10</v>
      </c>
      <c r="D2258">
        <v>20</v>
      </c>
      <c r="E2258" s="1">
        <v>-0.82799999999999996</v>
      </c>
      <c r="F2258" t="s">
        <v>26</v>
      </c>
      <c r="G2258" t="str">
        <f>_xlfn.XLOOKUP(transakcje[[#This Row],[podkategoria]],parametr[podkategoria],parametr[kategoria])</f>
        <v>życie</v>
      </c>
      <c r="H2258" t="str">
        <f>_xlfn.XLOOKUP(transakcje[[#This Row],[kategoria]],parametr[kategoria],parametr[typ])</f>
        <v>wydatki</v>
      </c>
      <c r="I2258" s="1">
        <f>ABS(transakcje[[#This Row],[kwota]])</f>
        <v>0.82799999999999996</v>
      </c>
    </row>
    <row r="2259" spans="1:9" x14ac:dyDescent="0.3">
      <c r="A2259">
        <v>2258</v>
      </c>
      <c r="B2259">
        <v>2017</v>
      </c>
      <c r="C2259">
        <v>10</v>
      </c>
      <c r="D2259">
        <v>23</v>
      </c>
      <c r="E2259" s="1">
        <v>-22.2</v>
      </c>
      <c r="F2259" t="s">
        <v>32</v>
      </c>
      <c r="G2259" t="str">
        <f>_xlfn.XLOOKUP(transakcje[[#This Row],[podkategoria]],parametr[podkategoria],parametr[kategoria])</f>
        <v>opłaty stałe</v>
      </c>
      <c r="H2259" t="str">
        <f>_xlfn.XLOOKUP(transakcje[[#This Row],[kategoria]],parametr[kategoria],parametr[typ])</f>
        <v>wydatki</v>
      </c>
      <c r="I2259" s="1">
        <f>ABS(transakcje[[#This Row],[kwota]])</f>
        <v>22.2</v>
      </c>
    </row>
    <row r="2260" spans="1:9" x14ac:dyDescent="0.3">
      <c r="A2260">
        <v>2259</v>
      </c>
      <c r="B2260">
        <v>2017</v>
      </c>
      <c r="C2260">
        <v>10</v>
      </c>
      <c r="D2260">
        <v>24</v>
      </c>
      <c r="E2260" s="1">
        <v>105.328</v>
      </c>
      <c r="F2260" t="s">
        <v>19</v>
      </c>
      <c r="G2260" t="str">
        <f>_xlfn.XLOOKUP(transakcje[[#This Row],[podkategoria]],parametr[podkategoria],parametr[kategoria])</f>
        <v>dochody z pracy</v>
      </c>
      <c r="H2260" t="str">
        <f>_xlfn.XLOOKUP(transakcje[[#This Row],[kategoria]],parametr[kategoria],parametr[typ])</f>
        <v>dochody</v>
      </c>
      <c r="I2260" s="1">
        <f>ABS(transakcje[[#This Row],[kwota]])</f>
        <v>105.328</v>
      </c>
    </row>
    <row r="2261" spans="1:9" x14ac:dyDescent="0.3">
      <c r="A2261">
        <v>2260</v>
      </c>
      <c r="B2261">
        <v>2017</v>
      </c>
      <c r="C2261">
        <v>10</v>
      </c>
      <c r="D2261">
        <v>26</v>
      </c>
      <c r="E2261" s="1">
        <v>511.108</v>
      </c>
      <c r="F2261" t="s">
        <v>8</v>
      </c>
      <c r="G2261" t="str">
        <f>_xlfn.XLOOKUP(transakcje[[#This Row],[podkategoria]],parametr[podkategoria],parametr[kategoria])</f>
        <v>dochody z pracy</v>
      </c>
      <c r="H2261" t="str">
        <f>_xlfn.XLOOKUP(transakcje[[#This Row],[kategoria]],parametr[kategoria],parametr[typ])</f>
        <v>dochody</v>
      </c>
      <c r="I2261" s="1">
        <f>ABS(transakcje[[#This Row],[kwota]])</f>
        <v>511.108</v>
      </c>
    </row>
    <row r="2262" spans="1:9" x14ac:dyDescent="0.3">
      <c r="A2262">
        <v>2261</v>
      </c>
      <c r="B2262">
        <v>2017</v>
      </c>
      <c r="C2262">
        <v>10</v>
      </c>
      <c r="D2262">
        <v>26</v>
      </c>
      <c r="E2262" s="1">
        <v>-9.51</v>
      </c>
      <c r="F2262" t="s">
        <v>26</v>
      </c>
      <c r="G2262" t="str">
        <f>_xlfn.XLOOKUP(transakcje[[#This Row],[podkategoria]],parametr[podkategoria],parametr[kategoria])</f>
        <v>życie</v>
      </c>
      <c r="H2262" t="str">
        <f>_xlfn.XLOOKUP(transakcje[[#This Row],[kategoria]],parametr[kategoria],parametr[typ])</f>
        <v>wydatki</v>
      </c>
      <c r="I2262" s="1">
        <f>ABS(transakcje[[#This Row],[kwota]])</f>
        <v>9.51</v>
      </c>
    </row>
    <row r="2263" spans="1:9" x14ac:dyDescent="0.3">
      <c r="A2263">
        <v>2262</v>
      </c>
      <c r="B2263">
        <v>2017</v>
      </c>
      <c r="C2263">
        <v>10</v>
      </c>
      <c r="D2263">
        <v>27</v>
      </c>
      <c r="E2263" s="1">
        <v>-6.99</v>
      </c>
      <c r="F2263" t="s">
        <v>26</v>
      </c>
      <c r="G2263" t="str">
        <f>_xlfn.XLOOKUP(transakcje[[#This Row],[podkategoria]],parametr[podkategoria],parametr[kategoria])</f>
        <v>życie</v>
      </c>
      <c r="H2263" t="str">
        <f>_xlfn.XLOOKUP(transakcje[[#This Row],[kategoria]],parametr[kategoria],parametr[typ])</f>
        <v>wydatki</v>
      </c>
      <c r="I2263" s="1">
        <f>ABS(transakcje[[#This Row],[kwota]])</f>
        <v>6.99</v>
      </c>
    </row>
    <row r="2264" spans="1:9" x14ac:dyDescent="0.3">
      <c r="A2264">
        <v>2263</v>
      </c>
      <c r="B2264">
        <v>2017</v>
      </c>
      <c r="C2264">
        <v>10</v>
      </c>
      <c r="D2264">
        <v>28</v>
      </c>
      <c r="E2264" s="1">
        <v>-14.148</v>
      </c>
      <c r="F2264" t="s">
        <v>26</v>
      </c>
      <c r="G2264" t="str">
        <f>_xlfn.XLOOKUP(transakcje[[#This Row],[podkategoria]],parametr[podkategoria],parametr[kategoria])</f>
        <v>życie</v>
      </c>
      <c r="H2264" t="str">
        <f>_xlfn.XLOOKUP(transakcje[[#This Row],[kategoria]],parametr[kategoria],parametr[typ])</f>
        <v>wydatki</v>
      </c>
      <c r="I2264" s="1">
        <f>ABS(transakcje[[#This Row],[kwota]])</f>
        <v>14.148</v>
      </c>
    </row>
    <row r="2265" spans="1:9" x14ac:dyDescent="0.3">
      <c r="A2265">
        <v>2264</v>
      </c>
      <c r="B2265">
        <v>2017</v>
      </c>
      <c r="C2265">
        <v>10</v>
      </c>
      <c r="D2265">
        <v>30</v>
      </c>
      <c r="E2265" s="1">
        <v>-8.4</v>
      </c>
      <c r="F2265" t="s">
        <v>26</v>
      </c>
      <c r="G2265" t="str">
        <f>_xlfn.XLOOKUP(transakcje[[#This Row],[podkategoria]],parametr[podkategoria],parametr[kategoria])</f>
        <v>życie</v>
      </c>
      <c r="H2265" t="str">
        <f>_xlfn.XLOOKUP(transakcje[[#This Row],[kategoria]],parametr[kategoria],parametr[typ])</f>
        <v>wydatki</v>
      </c>
      <c r="I2265" s="1">
        <f>ABS(transakcje[[#This Row],[kwota]])</f>
        <v>8.4</v>
      </c>
    </row>
    <row r="2266" spans="1:9" x14ac:dyDescent="0.3">
      <c r="A2266">
        <v>2265</v>
      </c>
      <c r="B2266">
        <v>2017</v>
      </c>
      <c r="C2266">
        <v>10</v>
      </c>
      <c r="D2266">
        <v>31</v>
      </c>
      <c r="E2266" s="1">
        <v>2E-3</v>
      </c>
      <c r="F2266" t="s">
        <v>17</v>
      </c>
      <c r="G2266" t="str">
        <f>_xlfn.XLOOKUP(transakcje[[#This Row],[podkategoria]],parametr[podkategoria],parametr[kategoria])</f>
        <v>dochody pozostałe</v>
      </c>
      <c r="H2266" t="str">
        <f>_xlfn.XLOOKUP(transakcje[[#This Row],[kategoria]],parametr[kategoria],parametr[typ])</f>
        <v>dochody</v>
      </c>
      <c r="I2266" s="1">
        <f>ABS(transakcje[[#This Row],[kwota]])</f>
        <v>2E-3</v>
      </c>
    </row>
    <row r="2267" spans="1:9" x14ac:dyDescent="0.3">
      <c r="A2267">
        <v>2266</v>
      </c>
      <c r="B2267">
        <v>2017</v>
      </c>
      <c r="C2267">
        <v>10</v>
      </c>
      <c r="D2267">
        <v>31</v>
      </c>
      <c r="E2267" s="1">
        <v>-1.198</v>
      </c>
      <c r="F2267" t="s">
        <v>14</v>
      </c>
      <c r="G2267" t="str">
        <f>_xlfn.XLOOKUP(transakcje[[#This Row],[podkategoria]],parametr[podkategoria],parametr[kategoria])</f>
        <v>opłaty stałe</v>
      </c>
      <c r="H2267" t="str">
        <f>_xlfn.XLOOKUP(transakcje[[#This Row],[kategoria]],parametr[kategoria],parametr[typ])</f>
        <v>wydatki</v>
      </c>
      <c r="I2267" s="1">
        <f>ABS(transakcje[[#This Row],[kwota]])</f>
        <v>1.198</v>
      </c>
    </row>
    <row r="2268" spans="1:9" x14ac:dyDescent="0.3">
      <c r="A2268">
        <v>2267</v>
      </c>
      <c r="B2268">
        <v>2017</v>
      </c>
      <c r="C2268">
        <v>10</v>
      </c>
      <c r="D2268">
        <v>31</v>
      </c>
      <c r="E2268" s="1">
        <v>-2E-3</v>
      </c>
      <c r="F2268" t="s">
        <v>14</v>
      </c>
      <c r="G2268" t="str">
        <f>_xlfn.XLOOKUP(transakcje[[#This Row],[podkategoria]],parametr[podkategoria],parametr[kategoria])</f>
        <v>opłaty stałe</v>
      </c>
      <c r="H2268" t="str">
        <f>_xlfn.XLOOKUP(transakcje[[#This Row],[kategoria]],parametr[kategoria],parametr[typ])</f>
        <v>wydatki</v>
      </c>
      <c r="I2268" s="1">
        <f>ABS(transakcje[[#This Row],[kwota]])</f>
        <v>2E-3</v>
      </c>
    </row>
    <row r="2269" spans="1:9" x14ac:dyDescent="0.3">
      <c r="A2269">
        <v>2268</v>
      </c>
      <c r="B2269">
        <v>2017</v>
      </c>
      <c r="C2269">
        <v>11</v>
      </c>
      <c r="D2269">
        <v>1</v>
      </c>
      <c r="E2269" s="1">
        <v>-4.54</v>
      </c>
      <c r="F2269" t="s">
        <v>37</v>
      </c>
      <c r="G2269" t="str">
        <f>_xlfn.XLOOKUP(transakcje[[#This Row],[podkategoria]],parametr[podkategoria],parametr[kategoria])</f>
        <v>opłaty stałe</v>
      </c>
      <c r="H2269" t="str">
        <f>_xlfn.XLOOKUP(transakcje[[#This Row],[kategoria]],parametr[kategoria],parametr[typ])</f>
        <v>wydatki</v>
      </c>
      <c r="I2269" s="1">
        <f>ABS(transakcje[[#This Row],[kwota]])</f>
        <v>4.54</v>
      </c>
    </row>
    <row r="2270" spans="1:9" x14ac:dyDescent="0.3">
      <c r="A2270">
        <v>2269</v>
      </c>
      <c r="B2270">
        <v>2017</v>
      </c>
      <c r="C2270">
        <v>11</v>
      </c>
      <c r="D2270">
        <v>1</v>
      </c>
      <c r="E2270" s="1">
        <v>-66.058000000000007</v>
      </c>
      <c r="F2270" t="s">
        <v>31</v>
      </c>
      <c r="G2270" t="str">
        <f>_xlfn.XLOOKUP(transakcje[[#This Row],[podkategoria]],parametr[podkategoria],parametr[kategoria])</f>
        <v>opłaty stałe</v>
      </c>
      <c r="H2270" t="str">
        <f>_xlfn.XLOOKUP(transakcje[[#This Row],[kategoria]],parametr[kategoria],parametr[typ])</f>
        <v>wydatki</v>
      </c>
      <c r="I2270" s="1">
        <f>ABS(transakcje[[#This Row],[kwota]])</f>
        <v>66.058000000000007</v>
      </c>
    </row>
    <row r="2271" spans="1:9" x14ac:dyDescent="0.3">
      <c r="A2271">
        <v>2270</v>
      </c>
      <c r="B2271">
        <v>2017</v>
      </c>
      <c r="C2271">
        <v>11</v>
      </c>
      <c r="D2271">
        <v>1</v>
      </c>
      <c r="E2271" s="1">
        <v>-6.44</v>
      </c>
      <c r="F2271" t="s">
        <v>35</v>
      </c>
      <c r="G2271" t="str">
        <f>_xlfn.XLOOKUP(transakcje[[#This Row],[podkategoria]],parametr[podkategoria],parametr[kategoria])</f>
        <v>opłaty stałe</v>
      </c>
      <c r="H2271" t="str">
        <f>_xlfn.XLOOKUP(transakcje[[#This Row],[kategoria]],parametr[kategoria],parametr[typ])</f>
        <v>wydatki</v>
      </c>
      <c r="I2271" s="1">
        <f>ABS(transakcje[[#This Row],[kwota]])</f>
        <v>6.44</v>
      </c>
    </row>
    <row r="2272" spans="1:9" x14ac:dyDescent="0.3">
      <c r="A2272">
        <v>2271</v>
      </c>
      <c r="B2272">
        <v>2017</v>
      </c>
      <c r="C2272">
        <v>11</v>
      </c>
      <c r="D2272">
        <v>1</v>
      </c>
      <c r="E2272" s="1">
        <v>-7.38</v>
      </c>
      <c r="F2272" t="s">
        <v>23</v>
      </c>
      <c r="G2272" t="str">
        <f>_xlfn.XLOOKUP(transakcje[[#This Row],[podkategoria]],parametr[podkategoria],parametr[kategoria])</f>
        <v>opłaty stałe</v>
      </c>
      <c r="H2272" t="str">
        <f>_xlfn.XLOOKUP(transakcje[[#This Row],[kategoria]],parametr[kategoria],parametr[typ])</f>
        <v>wydatki</v>
      </c>
      <c r="I2272" s="1">
        <f>ABS(transakcje[[#This Row],[kwota]])</f>
        <v>7.38</v>
      </c>
    </row>
    <row r="2273" spans="1:9" x14ac:dyDescent="0.3">
      <c r="A2273">
        <v>2272</v>
      </c>
      <c r="B2273">
        <v>2017</v>
      </c>
      <c r="C2273">
        <v>11</v>
      </c>
      <c r="D2273">
        <v>1</v>
      </c>
      <c r="E2273" s="1">
        <v>-15.013999999999999</v>
      </c>
      <c r="F2273" t="s">
        <v>34</v>
      </c>
      <c r="G2273" t="str">
        <f>_xlfn.XLOOKUP(transakcje[[#This Row],[podkategoria]],parametr[podkategoria],parametr[kategoria])</f>
        <v>opłaty stałe</v>
      </c>
      <c r="H2273" t="str">
        <f>_xlfn.XLOOKUP(transakcje[[#This Row],[kategoria]],parametr[kategoria],parametr[typ])</f>
        <v>wydatki</v>
      </c>
      <c r="I2273" s="1">
        <f>ABS(transakcje[[#This Row],[kwota]])</f>
        <v>15.013999999999999</v>
      </c>
    </row>
    <row r="2274" spans="1:9" x14ac:dyDescent="0.3">
      <c r="A2274">
        <v>2273</v>
      </c>
      <c r="B2274">
        <v>2017</v>
      </c>
      <c r="C2274">
        <v>11</v>
      </c>
      <c r="D2274">
        <v>4</v>
      </c>
      <c r="E2274" s="1">
        <v>-13.752000000000001</v>
      </c>
      <c r="F2274" t="s">
        <v>26</v>
      </c>
      <c r="G2274" t="str">
        <f>_xlfn.XLOOKUP(transakcje[[#This Row],[podkategoria]],parametr[podkategoria],parametr[kategoria])</f>
        <v>życie</v>
      </c>
      <c r="H2274" t="str">
        <f>_xlfn.XLOOKUP(transakcje[[#This Row],[kategoria]],parametr[kategoria],parametr[typ])</f>
        <v>wydatki</v>
      </c>
      <c r="I2274" s="1">
        <f>ABS(transakcje[[#This Row],[kwota]])</f>
        <v>13.752000000000001</v>
      </c>
    </row>
    <row r="2275" spans="1:9" x14ac:dyDescent="0.3">
      <c r="A2275">
        <v>2274</v>
      </c>
      <c r="B2275">
        <v>2017</v>
      </c>
      <c r="C2275">
        <v>11</v>
      </c>
      <c r="D2275">
        <v>6</v>
      </c>
      <c r="E2275" s="1">
        <v>-4.21</v>
      </c>
      <c r="F2275" t="s">
        <v>26</v>
      </c>
      <c r="G2275" t="str">
        <f>_xlfn.XLOOKUP(transakcje[[#This Row],[podkategoria]],parametr[podkategoria],parametr[kategoria])</f>
        <v>życie</v>
      </c>
      <c r="H2275" t="str">
        <f>_xlfn.XLOOKUP(transakcje[[#This Row],[kategoria]],parametr[kategoria],parametr[typ])</f>
        <v>wydatki</v>
      </c>
      <c r="I2275" s="1">
        <f>ABS(transakcje[[#This Row],[kwota]])</f>
        <v>4.21</v>
      </c>
    </row>
    <row r="2276" spans="1:9" x14ac:dyDescent="0.3">
      <c r="A2276">
        <v>2275</v>
      </c>
      <c r="B2276">
        <v>2017</v>
      </c>
      <c r="C2276">
        <v>11</v>
      </c>
      <c r="D2276">
        <v>9</v>
      </c>
      <c r="E2276" s="1">
        <v>-0.74</v>
      </c>
      <c r="F2276" t="s">
        <v>26</v>
      </c>
      <c r="G2276" t="str">
        <f>_xlfn.XLOOKUP(transakcje[[#This Row],[podkategoria]],parametr[podkategoria],parametr[kategoria])</f>
        <v>życie</v>
      </c>
      <c r="H2276" t="str">
        <f>_xlfn.XLOOKUP(transakcje[[#This Row],[kategoria]],parametr[kategoria],parametr[typ])</f>
        <v>wydatki</v>
      </c>
      <c r="I2276" s="1">
        <f>ABS(transakcje[[#This Row],[kwota]])</f>
        <v>0.74</v>
      </c>
    </row>
    <row r="2277" spans="1:9" x14ac:dyDescent="0.3">
      <c r="A2277">
        <v>2276</v>
      </c>
      <c r="B2277">
        <v>2017</v>
      </c>
      <c r="C2277">
        <v>11</v>
      </c>
      <c r="D2277">
        <v>9</v>
      </c>
      <c r="E2277" s="1">
        <v>-4.91</v>
      </c>
      <c r="F2277" t="s">
        <v>26</v>
      </c>
      <c r="G2277" t="str">
        <f>_xlfn.XLOOKUP(transakcje[[#This Row],[podkategoria]],parametr[podkategoria],parametr[kategoria])</f>
        <v>życie</v>
      </c>
      <c r="H2277" t="str">
        <f>_xlfn.XLOOKUP(transakcje[[#This Row],[kategoria]],parametr[kategoria],parametr[typ])</f>
        <v>wydatki</v>
      </c>
      <c r="I2277" s="1">
        <f>ABS(transakcje[[#This Row],[kwota]])</f>
        <v>4.91</v>
      </c>
    </row>
    <row r="2278" spans="1:9" x14ac:dyDescent="0.3">
      <c r="A2278">
        <v>2277</v>
      </c>
      <c r="B2278">
        <v>2017</v>
      </c>
      <c r="C2278">
        <v>11</v>
      </c>
      <c r="D2278">
        <v>13</v>
      </c>
      <c r="E2278" s="1">
        <v>-5.2539999999999996</v>
      </c>
      <c r="F2278" t="s">
        <v>26</v>
      </c>
      <c r="G2278" t="str">
        <f>_xlfn.XLOOKUP(transakcje[[#This Row],[podkategoria]],parametr[podkategoria],parametr[kategoria])</f>
        <v>życie</v>
      </c>
      <c r="H2278" t="str">
        <f>_xlfn.XLOOKUP(transakcje[[#This Row],[kategoria]],parametr[kategoria],parametr[typ])</f>
        <v>wydatki</v>
      </c>
      <c r="I2278" s="1">
        <f>ABS(transakcje[[#This Row],[kwota]])</f>
        <v>5.2539999999999996</v>
      </c>
    </row>
    <row r="2279" spans="1:9" x14ac:dyDescent="0.3">
      <c r="A2279">
        <v>2278</v>
      </c>
      <c r="B2279">
        <v>2017</v>
      </c>
      <c r="C2279">
        <v>11</v>
      </c>
      <c r="D2279">
        <v>13</v>
      </c>
      <c r="E2279" s="1">
        <v>-0.84600000000000009</v>
      </c>
      <c r="F2279" t="s">
        <v>26</v>
      </c>
      <c r="G2279" t="str">
        <f>_xlfn.XLOOKUP(transakcje[[#This Row],[podkategoria]],parametr[podkategoria],parametr[kategoria])</f>
        <v>życie</v>
      </c>
      <c r="H2279" t="str">
        <f>_xlfn.XLOOKUP(transakcje[[#This Row],[kategoria]],parametr[kategoria],parametr[typ])</f>
        <v>wydatki</v>
      </c>
      <c r="I2279" s="1">
        <f>ABS(transakcje[[#This Row],[kwota]])</f>
        <v>0.84600000000000009</v>
      </c>
    </row>
    <row r="2280" spans="1:9" x14ac:dyDescent="0.3">
      <c r="A2280">
        <v>2279</v>
      </c>
      <c r="B2280">
        <v>2017</v>
      </c>
      <c r="C2280">
        <v>11</v>
      </c>
      <c r="D2280">
        <v>15</v>
      </c>
      <c r="E2280" s="1">
        <v>-0.39800000000000002</v>
      </c>
      <c r="F2280" t="s">
        <v>14</v>
      </c>
      <c r="G2280" t="str">
        <f>_xlfn.XLOOKUP(transakcje[[#This Row],[podkategoria]],parametr[podkategoria],parametr[kategoria])</f>
        <v>opłaty stałe</v>
      </c>
      <c r="H2280" t="str">
        <f>_xlfn.XLOOKUP(transakcje[[#This Row],[kategoria]],parametr[kategoria],parametr[typ])</f>
        <v>wydatki</v>
      </c>
      <c r="I2280" s="1">
        <f>ABS(transakcje[[#This Row],[kwota]])</f>
        <v>0.39800000000000002</v>
      </c>
    </row>
    <row r="2281" spans="1:9" x14ac:dyDescent="0.3">
      <c r="A2281">
        <v>2280</v>
      </c>
      <c r="B2281">
        <v>2017</v>
      </c>
      <c r="C2281">
        <v>11</v>
      </c>
      <c r="D2281">
        <v>16</v>
      </c>
      <c r="E2281" s="1">
        <v>-0.8</v>
      </c>
      <c r="F2281" t="s">
        <v>14</v>
      </c>
      <c r="G2281" t="str">
        <f>_xlfn.XLOOKUP(transakcje[[#This Row],[podkategoria]],parametr[podkategoria],parametr[kategoria])</f>
        <v>opłaty stałe</v>
      </c>
      <c r="H2281" t="str">
        <f>_xlfn.XLOOKUP(transakcje[[#This Row],[kategoria]],parametr[kategoria],parametr[typ])</f>
        <v>wydatki</v>
      </c>
      <c r="I2281" s="1">
        <f>ABS(transakcje[[#This Row],[kwota]])</f>
        <v>0.8</v>
      </c>
    </row>
    <row r="2282" spans="1:9" x14ac:dyDescent="0.3">
      <c r="A2282">
        <v>2281</v>
      </c>
      <c r="B2282">
        <v>2017</v>
      </c>
      <c r="C2282">
        <v>11</v>
      </c>
      <c r="D2282">
        <v>16</v>
      </c>
      <c r="E2282" s="1">
        <v>-0.54</v>
      </c>
      <c r="F2282" t="s">
        <v>26</v>
      </c>
      <c r="G2282" t="str">
        <f>_xlfn.XLOOKUP(transakcje[[#This Row],[podkategoria]],parametr[podkategoria],parametr[kategoria])</f>
        <v>życie</v>
      </c>
      <c r="H2282" t="str">
        <f>_xlfn.XLOOKUP(transakcje[[#This Row],[kategoria]],parametr[kategoria],parametr[typ])</f>
        <v>wydatki</v>
      </c>
      <c r="I2282" s="1">
        <f>ABS(transakcje[[#This Row],[kwota]])</f>
        <v>0.54</v>
      </c>
    </row>
    <row r="2283" spans="1:9" x14ac:dyDescent="0.3">
      <c r="A2283">
        <v>2282</v>
      </c>
      <c r="B2283">
        <v>2017</v>
      </c>
      <c r="C2283">
        <v>11</v>
      </c>
      <c r="D2283">
        <v>16</v>
      </c>
      <c r="E2283" s="1">
        <v>-6.604000000000001</v>
      </c>
      <c r="F2283" t="s">
        <v>25</v>
      </c>
      <c r="G2283" t="str">
        <f>_xlfn.XLOOKUP(transakcje[[#This Row],[podkategoria]],parametr[podkategoria],parametr[kategoria])</f>
        <v>opłaty stałe</v>
      </c>
      <c r="H2283" t="str">
        <f>_xlfn.XLOOKUP(transakcje[[#This Row],[kategoria]],parametr[kategoria],parametr[typ])</f>
        <v>wydatki</v>
      </c>
      <c r="I2283" s="1">
        <f>ABS(transakcje[[#This Row],[kwota]])</f>
        <v>6.604000000000001</v>
      </c>
    </row>
    <row r="2284" spans="1:9" x14ac:dyDescent="0.3">
      <c r="A2284">
        <v>2283</v>
      </c>
      <c r="B2284">
        <v>2017</v>
      </c>
      <c r="C2284">
        <v>11</v>
      </c>
      <c r="D2284">
        <v>18</v>
      </c>
      <c r="E2284" s="1">
        <v>-41.251999999999995</v>
      </c>
      <c r="F2284" t="s">
        <v>11</v>
      </c>
      <c r="G2284" t="str">
        <f>_xlfn.XLOOKUP(transakcje[[#This Row],[podkategoria]],parametr[podkategoria],parametr[kategoria])</f>
        <v>wydatki inne</v>
      </c>
      <c r="H2284" t="str">
        <f>_xlfn.XLOOKUP(transakcje[[#This Row],[kategoria]],parametr[kategoria],parametr[typ])</f>
        <v>wydatki</v>
      </c>
      <c r="I2284" s="1">
        <f>ABS(transakcje[[#This Row],[kwota]])</f>
        <v>41.251999999999995</v>
      </c>
    </row>
    <row r="2285" spans="1:9" x14ac:dyDescent="0.3">
      <c r="A2285">
        <v>2284</v>
      </c>
      <c r="B2285">
        <v>2017</v>
      </c>
      <c r="C2285">
        <v>11</v>
      </c>
      <c r="D2285">
        <v>21</v>
      </c>
      <c r="E2285" s="1">
        <v>-13.146000000000001</v>
      </c>
      <c r="F2285" t="s">
        <v>26</v>
      </c>
      <c r="G2285" t="str">
        <f>_xlfn.XLOOKUP(transakcje[[#This Row],[podkategoria]],parametr[podkategoria],parametr[kategoria])</f>
        <v>życie</v>
      </c>
      <c r="H2285" t="str">
        <f>_xlfn.XLOOKUP(transakcje[[#This Row],[kategoria]],parametr[kategoria],parametr[typ])</f>
        <v>wydatki</v>
      </c>
      <c r="I2285" s="1">
        <f>ABS(transakcje[[#This Row],[kwota]])</f>
        <v>13.146000000000001</v>
      </c>
    </row>
    <row r="2286" spans="1:9" x14ac:dyDescent="0.3">
      <c r="A2286">
        <v>2285</v>
      </c>
      <c r="B2286">
        <v>2017</v>
      </c>
      <c r="C2286">
        <v>11</v>
      </c>
      <c r="D2286">
        <v>22</v>
      </c>
      <c r="E2286" s="1">
        <v>-5.9979999999999993</v>
      </c>
      <c r="F2286" t="s">
        <v>11</v>
      </c>
      <c r="G2286" t="str">
        <f>_xlfn.XLOOKUP(transakcje[[#This Row],[podkategoria]],parametr[podkategoria],parametr[kategoria])</f>
        <v>wydatki inne</v>
      </c>
      <c r="H2286" t="str">
        <f>_xlfn.XLOOKUP(transakcje[[#This Row],[kategoria]],parametr[kategoria],parametr[typ])</f>
        <v>wydatki</v>
      </c>
      <c r="I2286" s="1">
        <f>ABS(transakcje[[#This Row],[kwota]])</f>
        <v>5.9979999999999993</v>
      </c>
    </row>
    <row r="2287" spans="1:9" x14ac:dyDescent="0.3">
      <c r="A2287">
        <v>2286</v>
      </c>
      <c r="B2287">
        <v>2017</v>
      </c>
      <c r="C2287">
        <v>11</v>
      </c>
      <c r="D2287">
        <v>24</v>
      </c>
      <c r="E2287" s="1">
        <v>-20.399999999999999</v>
      </c>
      <c r="F2287" t="s">
        <v>32</v>
      </c>
      <c r="G2287" t="str">
        <f>_xlfn.XLOOKUP(transakcje[[#This Row],[podkategoria]],parametr[podkategoria],parametr[kategoria])</f>
        <v>opłaty stałe</v>
      </c>
      <c r="H2287" t="str">
        <f>_xlfn.XLOOKUP(transakcje[[#This Row],[kategoria]],parametr[kategoria],parametr[typ])</f>
        <v>wydatki</v>
      </c>
      <c r="I2287" s="1">
        <f>ABS(transakcje[[#This Row],[kwota]])</f>
        <v>20.399999999999999</v>
      </c>
    </row>
    <row r="2288" spans="1:9" x14ac:dyDescent="0.3">
      <c r="A2288">
        <v>2287</v>
      </c>
      <c r="B2288">
        <v>2017</v>
      </c>
      <c r="C2288">
        <v>11</v>
      </c>
      <c r="D2288">
        <v>24</v>
      </c>
      <c r="E2288" s="1">
        <v>-54.872</v>
      </c>
      <c r="F2288" t="s">
        <v>26</v>
      </c>
      <c r="G2288" t="str">
        <f>_xlfn.XLOOKUP(transakcje[[#This Row],[podkategoria]],parametr[podkategoria],parametr[kategoria])</f>
        <v>życie</v>
      </c>
      <c r="H2288" t="str">
        <f>_xlfn.XLOOKUP(transakcje[[#This Row],[kategoria]],parametr[kategoria],parametr[typ])</f>
        <v>wydatki</v>
      </c>
      <c r="I2288" s="1">
        <f>ABS(transakcje[[#This Row],[kwota]])</f>
        <v>54.872</v>
      </c>
    </row>
    <row r="2289" spans="1:9" x14ac:dyDescent="0.3">
      <c r="A2289">
        <v>2288</v>
      </c>
      <c r="B2289">
        <v>2017</v>
      </c>
      <c r="C2289">
        <v>11</v>
      </c>
      <c r="D2289">
        <v>27</v>
      </c>
      <c r="E2289" s="1">
        <v>515.24799999999993</v>
      </c>
      <c r="F2289" t="s">
        <v>8</v>
      </c>
      <c r="G2289" t="str">
        <f>_xlfn.XLOOKUP(transakcje[[#This Row],[podkategoria]],parametr[podkategoria],parametr[kategoria])</f>
        <v>dochody z pracy</v>
      </c>
      <c r="H2289" t="str">
        <f>_xlfn.XLOOKUP(transakcje[[#This Row],[kategoria]],parametr[kategoria],parametr[typ])</f>
        <v>dochody</v>
      </c>
      <c r="I2289" s="1">
        <f>ABS(transakcje[[#This Row],[kwota]])</f>
        <v>515.24799999999993</v>
      </c>
    </row>
    <row r="2290" spans="1:9" x14ac:dyDescent="0.3">
      <c r="A2290">
        <v>2289</v>
      </c>
      <c r="B2290">
        <v>2017</v>
      </c>
      <c r="C2290">
        <v>11</v>
      </c>
      <c r="D2290">
        <v>28</v>
      </c>
      <c r="E2290" s="1">
        <v>-0.27</v>
      </c>
      <c r="F2290" t="s">
        <v>26</v>
      </c>
      <c r="G2290" t="str">
        <f>_xlfn.XLOOKUP(transakcje[[#This Row],[podkategoria]],parametr[podkategoria],parametr[kategoria])</f>
        <v>życie</v>
      </c>
      <c r="H2290" t="str">
        <f>_xlfn.XLOOKUP(transakcje[[#This Row],[kategoria]],parametr[kategoria],parametr[typ])</f>
        <v>wydatki</v>
      </c>
      <c r="I2290" s="1">
        <f>ABS(transakcje[[#This Row],[kwota]])</f>
        <v>0.27</v>
      </c>
    </row>
    <row r="2291" spans="1:9" x14ac:dyDescent="0.3">
      <c r="A2291">
        <v>2290</v>
      </c>
      <c r="B2291">
        <v>2017</v>
      </c>
      <c r="C2291">
        <v>11</v>
      </c>
      <c r="D2291">
        <v>28</v>
      </c>
      <c r="E2291" s="1">
        <v>-8.0259999999999998</v>
      </c>
      <c r="F2291" t="s">
        <v>26</v>
      </c>
      <c r="G2291" t="str">
        <f>_xlfn.XLOOKUP(transakcje[[#This Row],[podkategoria]],parametr[podkategoria],parametr[kategoria])</f>
        <v>życie</v>
      </c>
      <c r="H2291" t="str">
        <f>_xlfn.XLOOKUP(transakcje[[#This Row],[kategoria]],parametr[kategoria],parametr[typ])</f>
        <v>wydatki</v>
      </c>
      <c r="I2291" s="1">
        <f>ABS(transakcje[[#This Row],[kwota]])</f>
        <v>8.0259999999999998</v>
      </c>
    </row>
    <row r="2292" spans="1:9" x14ac:dyDescent="0.3">
      <c r="A2292">
        <v>2291</v>
      </c>
      <c r="B2292">
        <v>2017</v>
      </c>
      <c r="C2292">
        <v>11</v>
      </c>
      <c r="D2292">
        <v>30</v>
      </c>
      <c r="E2292" s="1">
        <v>4.0000000000000001E-3</v>
      </c>
      <c r="F2292" t="s">
        <v>17</v>
      </c>
      <c r="G2292" t="str">
        <f>_xlfn.XLOOKUP(transakcje[[#This Row],[podkategoria]],parametr[podkategoria],parametr[kategoria])</f>
        <v>dochody pozostałe</v>
      </c>
      <c r="H2292" t="str">
        <f>_xlfn.XLOOKUP(transakcje[[#This Row],[kategoria]],parametr[kategoria],parametr[typ])</f>
        <v>dochody</v>
      </c>
      <c r="I2292" s="1">
        <f>ABS(transakcje[[#This Row],[kwota]])</f>
        <v>4.0000000000000001E-3</v>
      </c>
    </row>
    <row r="2293" spans="1:9" x14ac:dyDescent="0.3">
      <c r="A2293">
        <v>2292</v>
      </c>
      <c r="B2293">
        <v>2017</v>
      </c>
      <c r="C2293">
        <v>11</v>
      </c>
      <c r="D2293">
        <v>30</v>
      </c>
      <c r="E2293" s="1">
        <v>-1.198</v>
      </c>
      <c r="F2293" t="s">
        <v>14</v>
      </c>
      <c r="G2293" t="str">
        <f>_xlfn.XLOOKUP(transakcje[[#This Row],[podkategoria]],parametr[podkategoria],parametr[kategoria])</f>
        <v>opłaty stałe</v>
      </c>
      <c r="H2293" t="str">
        <f>_xlfn.XLOOKUP(transakcje[[#This Row],[kategoria]],parametr[kategoria],parametr[typ])</f>
        <v>wydatki</v>
      </c>
      <c r="I2293" s="1">
        <f>ABS(transakcje[[#This Row],[kwota]])</f>
        <v>1.198</v>
      </c>
    </row>
    <row r="2294" spans="1:9" x14ac:dyDescent="0.3">
      <c r="A2294">
        <v>2293</v>
      </c>
      <c r="B2294">
        <v>2017</v>
      </c>
      <c r="C2294">
        <v>11</v>
      </c>
      <c r="D2294">
        <v>30</v>
      </c>
      <c r="E2294" s="1">
        <v>-0.3</v>
      </c>
      <c r="F2294" t="s">
        <v>14</v>
      </c>
      <c r="G2294" t="str">
        <f>_xlfn.XLOOKUP(transakcje[[#This Row],[podkategoria]],parametr[podkategoria],parametr[kategoria])</f>
        <v>opłaty stałe</v>
      </c>
      <c r="H2294" t="str">
        <f>_xlfn.XLOOKUP(transakcje[[#This Row],[kategoria]],parametr[kategoria],parametr[typ])</f>
        <v>wydatki</v>
      </c>
      <c r="I2294" s="1">
        <f>ABS(transakcje[[#This Row],[kwota]])</f>
        <v>0.3</v>
      </c>
    </row>
    <row r="2295" spans="1:9" x14ac:dyDescent="0.3">
      <c r="A2295">
        <v>2294</v>
      </c>
      <c r="B2295">
        <v>2017</v>
      </c>
      <c r="C2295">
        <v>11</v>
      </c>
      <c r="D2295">
        <v>30</v>
      </c>
      <c r="E2295" s="1">
        <v>-2E-3</v>
      </c>
      <c r="F2295" t="s">
        <v>14</v>
      </c>
      <c r="G2295" t="str">
        <f>_xlfn.XLOOKUP(transakcje[[#This Row],[podkategoria]],parametr[podkategoria],parametr[kategoria])</f>
        <v>opłaty stałe</v>
      </c>
      <c r="H2295" t="str">
        <f>_xlfn.XLOOKUP(transakcje[[#This Row],[kategoria]],parametr[kategoria],parametr[typ])</f>
        <v>wydatki</v>
      </c>
      <c r="I2295" s="1">
        <f>ABS(transakcje[[#This Row],[kwota]])</f>
        <v>2E-3</v>
      </c>
    </row>
    <row r="2296" spans="1:9" x14ac:dyDescent="0.3">
      <c r="A2296">
        <v>2295</v>
      </c>
      <c r="B2296">
        <v>2017</v>
      </c>
      <c r="C2296">
        <v>11</v>
      </c>
      <c r="D2296">
        <v>30</v>
      </c>
      <c r="E2296" s="1">
        <v>-3.556</v>
      </c>
      <c r="F2296" t="s">
        <v>26</v>
      </c>
      <c r="G2296" t="str">
        <f>_xlfn.XLOOKUP(transakcje[[#This Row],[podkategoria]],parametr[podkategoria],parametr[kategoria])</f>
        <v>życie</v>
      </c>
      <c r="H2296" t="str">
        <f>_xlfn.XLOOKUP(transakcje[[#This Row],[kategoria]],parametr[kategoria],parametr[typ])</f>
        <v>wydatki</v>
      </c>
      <c r="I2296" s="1">
        <f>ABS(transakcje[[#This Row],[kwota]])</f>
        <v>3.556</v>
      </c>
    </row>
    <row r="2297" spans="1:9" x14ac:dyDescent="0.3">
      <c r="A2297">
        <v>2296</v>
      </c>
      <c r="B2297">
        <v>2017</v>
      </c>
      <c r="C2297">
        <v>12</v>
      </c>
      <c r="D2297">
        <v>2</v>
      </c>
      <c r="E2297" s="1">
        <v>-4.54</v>
      </c>
      <c r="F2297" t="s">
        <v>37</v>
      </c>
      <c r="G2297" t="str">
        <f>_xlfn.XLOOKUP(transakcje[[#This Row],[podkategoria]],parametr[podkategoria],parametr[kategoria])</f>
        <v>opłaty stałe</v>
      </c>
      <c r="H2297" t="str">
        <f>_xlfn.XLOOKUP(transakcje[[#This Row],[kategoria]],parametr[kategoria],parametr[typ])</f>
        <v>wydatki</v>
      </c>
      <c r="I2297" s="1">
        <f>ABS(transakcje[[#This Row],[kwota]])</f>
        <v>4.54</v>
      </c>
    </row>
    <row r="2298" spans="1:9" x14ac:dyDescent="0.3">
      <c r="A2298">
        <v>2297</v>
      </c>
      <c r="B2298">
        <v>2017</v>
      </c>
      <c r="C2298">
        <v>12</v>
      </c>
      <c r="D2298">
        <v>2</v>
      </c>
      <c r="E2298" s="1">
        <v>-66.058000000000007</v>
      </c>
      <c r="F2298" t="s">
        <v>31</v>
      </c>
      <c r="G2298" t="str">
        <f>_xlfn.XLOOKUP(transakcje[[#This Row],[podkategoria]],parametr[podkategoria],parametr[kategoria])</f>
        <v>opłaty stałe</v>
      </c>
      <c r="H2298" t="str">
        <f>_xlfn.XLOOKUP(transakcje[[#This Row],[kategoria]],parametr[kategoria],parametr[typ])</f>
        <v>wydatki</v>
      </c>
      <c r="I2298" s="1">
        <f>ABS(transakcje[[#This Row],[kwota]])</f>
        <v>66.058000000000007</v>
      </c>
    </row>
    <row r="2299" spans="1:9" x14ac:dyDescent="0.3">
      <c r="A2299">
        <v>2298</v>
      </c>
      <c r="B2299">
        <v>2017</v>
      </c>
      <c r="C2299">
        <v>12</v>
      </c>
      <c r="D2299">
        <v>2</v>
      </c>
      <c r="E2299" s="1">
        <v>-7.38</v>
      </c>
      <c r="F2299" t="s">
        <v>23</v>
      </c>
      <c r="G2299" t="str">
        <f>_xlfn.XLOOKUP(transakcje[[#This Row],[podkategoria]],parametr[podkategoria],parametr[kategoria])</f>
        <v>opłaty stałe</v>
      </c>
      <c r="H2299" t="str">
        <f>_xlfn.XLOOKUP(transakcje[[#This Row],[kategoria]],parametr[kategoria],parametr[typ])</f>
        <v>wydatki</v>
      </c>
      <c r="I2299" s="1">
        <f>ABS(transakcje[[#This Row],[kwota]])</f>
        <v>7.38</v>
      </c>
    </row>
    <row r="2300" spans="1:9" x14ac:dyDescent="0.3">
      <c r="A2300">
        <v>2299</v>
      </c>
      <c r="B2300">
        <v>2017</v>
      </c>
      <c r="C2300">
        <v>12</v>
      </c>
      <c r="D2300">
        <v>2</v>
      </c>
      <c r="E2300" s="1">
        <v>-4.7679999999999998</v>
      </c>
      <c r="F2300" t="s">
        <v>25</v>
      </c>
      <c r="G2300" t="str">
        <f>_xlfn.XLOOKUP(transakcje[[#This Row],[podkategoria]],parametr[podkategoria],parametr[kategoria])</f>
        <v>opłaty stałe</v>
      </c>
      <c r="H2300" t="str">
        <f>_xlfn.XLOOKUP(transakcje[[#This Row],[kategoria]],parametr[kategoria],parametr[typ])</f>
        <v>wydatki</v>
      </c>
      <c r="I2300" s="1">
        <f>ABS(transakcje[[#This Row],[kwota]])</f>
        <v>4.7679999999999998</v>
      </c>
    </row>
    <row r="2301" spans="1:9" x14ac:dyDescent="0.3">
      <c r="A2301">
        <v>2300</v>
      </c>
      <c r="B2301">
        <v>2017</v>
      </c>
      <c r="C2301">
        <v>12</v>
      </c>
      <c r="D2301">
        <v>5</v>
      </c>
      <c r="E2301" s="1">
        <v>-15.069999999999999</v>
      </c>
      <c r="F2301" t="s">
        <v>26</v>
      </c>
      <c r="G2301" t="str">
        <f>_xlfn.XLOOKUP(transakcje[[#This Row],[podkategoria]],parametr[podkategoria],parametr[kategoria])</f>
        <v>życie</v>
      </c>
      <c r="H2301" t="str">
        <f>_xlfn.XLOOKUP(transakcje[[#This Row],[kategoria]],parametr[kategoria],parametr[typ])</f>
        <v>wydatki</v>
      </c>
      <c r="I2301" s="1">
        <f>ABS(transakcje[[#This Row],[kwota]])</f>
        <v>15.069999999999999</v>
      </c>
    </row>
    <row r="2302" spans="1:9" x14ac:dyDescent="0.3">
      <c r="A2302">
        <v>2301</v>
      </c>
      <c r="B2302">
        <v>2017</v>
      </c>
      <c r="C2302">
        <v>12</v>
      </c>
      <c r="D2302">
        <v>8</v>
      </c>
      <c r="E2302" s="1">
        <v>-16.350000000000001</v>
      </c>
      <c r="F2302" t="s">
        <v>26</v>
      </c>
      <c r="G2302" t="str">
        <f>_xlfn.XLOOKUP(transakcje[[#This Row],[podkategoria]],parametr[podkategoria],parametr[kategoria])</f>
        <v>życie</v>
      </c>
      <c r="H2302" t="str">
        <f>_xlfn.XLOOKUP(transakcje[[#This Row],[kategoria]],parametr[kategoria],parametr[typ])</f>
        <v>wydatki</v>
      </c>
      <c r="I2302" s="1">
        <f>ABS(transakcje[[#This Row],[kwota]])</f>
        <v>16.350000000000001</v>
      </c>
    </row>
    <row r="2303" spans="1:9" x14ac:dyDescent="0.3">
      <c r="A2303">
        <v>2302</v>
      </c>
      <c r="B2303">
        <v>2017</v>
      </c>
      <c r="C2303">
        <v>12</v>
      </c>
      <c r="D2303">
        <v>13</v>
      </c>
      <c r="E2303" s="1">
        <v>-4.2799999999999994</v>
      </c>
      <c r="F2303" t="s">
        <v>26</v>
      </c>
      <c r="G2303" t="str">
        <f>_xlfn.XLOOKUP(transakcje[[#This Row],[podkategoria]],parametr[podkategoria],parametr[kategoria])</f>
        <v>życie</v>
      </c>
      <c r="H2303" t="str">
        <f>_xlfn.XLOOKUP(transakcje[[#This Row],[kategoria]],parametr[kategoria],parametr[typ])</f>
        <v>wydatki</v>
      </c>
      <c r="I2303" s="1">
        <f>ABS(transakcje[[#This Row],[kwota]])</f>
        <v>4.2799999999999994</v>
      </c>
    </row>
    <row r="2304" spans="1:9" x14ac:dyDescent="0.3">
      <c r="A2304">
        <v>2303</v>
      </c>
      <c r="B2304">
        <v>2017</v>
      </c>
      <c r="C2304">
        <v>12</v>
      </c>
      <c r="D2304">
        <v>13</v>
      </c>
      <c r="E2304" s="1">
        <v>-4.4619999999999997</v>
      </c>
      <c r="F2304" t="s">
        <v>26</v>
      </c>
      <c r="G2304" t="str">
        <f>_xlfn.XLOOKUP(transakcje[[#This Row],[podkategoria]],parametr[podkategoria],parametr[kategoria])</f>
        <v>życie</v>
      </c>
      <c r="H2304" t="str">
        <f>_xlfn.XLOOKUP(transakcje[[#This Row],[kategoria]],parametr[kategoria],parametr[typ])</f>
        <v>wydatki</v>
      </c>
      <c r="I2304" s="1">
        <f>ABS(transakcje[[#This Row],[kwota]])</f>
        <v>4.4619999999999997</v>
      </c>
    </row>
    <row r="2305" spans="1:9" x14ac:dyDescent="0.3">
      <c r="A2305">
        <v>2304</v>
      </c>
      <c r="B2305">
        <v>2017</v>
      </c>
      <c r="C2305">
        <v>12</v>
      </c>
      <c r="D2305">
        <v>14</v>
      </c>
      <c r="E2305" s="1">
        <v>-0.39800000000000002</v>
      </c>
      <c r="F2305" t="s">
        <v>14</v>
      </c>
      <c r="G2305" t="str">
        <f>_xlfn.XLOOKUP(transakcje[[#This Row],[podkategoria]],parametr[podkategoria],parametr[kategoria])</f>
        <v>opłaty stałe</v>
      </c>
      <c r="H2305" t="str">
        <f>_xlfn.XLOOKUP(transakcje[[#This Row],[kategoria]],parametr[kategoria],parametr[typ])</f>
        <v>wydatki</v>
      </c>
      <c r="I2305" s="1">
        <f>ABS(transakcje[[#This Row],[kwota]])</f>
        <v>0.39800000000000002</v>
      </c>
    </row>
    <row r="2306" spans="1:9" x14ac:dyDescent="0.3">
      <c r="A2306">
        <v>2305</v>
      </c>
      <c r="B2306">
        <v>2017</v>
      </c>
      <c r="C2306">
        <v>12</v>
      </c>
      <c r="D2306">
        <v>14</v>
      </c>
      <c r="E2306" s="1">
        <v>554.57799999999997</v>
      </c>
      <c r="F2306" t="s">
        <v>8</v>
      </c>
      <c r="G2306" t="str">
        <f>_xlfn.XLOOKUP(transakcje[[#This Row],[podkategoria]],parametr[podkategoria],parametr[kategoria])</f>
        <v>dochody z pracy</v>
      </c>
      <c r="H2306" t="str">
        <f>_xlfn.XLOOKUP(transakcje[[#This Row],[kategoria]],parametr[kategoria],parametr[typ])</f>
        <v>dochody</v>
      </c>
      <c r="I2306" s="1">
        <f>ABS(transakcje[[#This Row],[kwota]])</f>
        <v>554.57799999999997</v>
      </c>
    </row>
    <row r="2307" spans="1:9" x14ac:dyDescent="0.3">
      <c r="A2307">
        <v>2306</v>
      </c>
      <c r="B2307">
        <v>2017</v>
      </c>
      <c r="C2307">
        <v>12</v>
      </c>
      <c r="D2307">
        <v>14</v>
      </c>
      <c r="E2307" s="1">
        <v>-8.0019999999999989</v>
      </c>
      <c r="F2307" t="s">
        <v>26</v>
      </c>
      <c r="G2307" t="str">
        <f>_xlfn.XLOOKUP(transakcje[[#This Row],[podkategoria]],parametr[podkategoria],parametr[kategoria])</f>
        <v>życie</v>
      </c>
      <c r="H2307" t="str">
        <f>_xlfn.XLOOKUP(transakcje[[#This Row],[kategoria]],parametr[kategoria],parametr[typ])</f>
        <v>wydatki</v>
      </c>
      <c r="I2307" s="1">
        <f>ABS(transakcje[[#This Row],[kwota]])</f>
        <v>8.0019999999999989</v>
      </c>
    </row>
    <row r="2308" spans="1:9" x14ac:dyDescent="0.3">
      <c r="A2308">
        <v>2307</v>
      </c>
      <c r="B2308">
        <v>2017</v>
      </c>
      <c r="C2308">
        <v>12</v>
      </c>
      <c r="D2308">
        <v>15</v>
      </c>
      <c r="E2308" s="1">
        <v>116.4</v>
      </c>
      <c r="F2308" t="s">
        <v>16</v>
      </c>
      <c r="G2308" t="str">
        <f>_xlfn.XLOOKUP(transakcje[[#This Row],[podkategoria]],parametr[podkategoria],parametr[kategoria])</f>
        <v>dochody z pracy</v>
      </c>
      <c r="H2308" t="str">
        <f>_xlfn.XLOOKUP(transakcje[[#This Row],[kategoria]],parametr[kategoria],parametr[typ])</f>
        <v>dochody</v>
      </c>
      <c r="I2308" s="1">
        <f>ABS(transakcje[[#This Row],[kwota]])</f>
        <v>116.4</v>
      </c>
    </row>
    <row r="2309" spans="1:9" x14ac:dyDescent="0.3">
      <c r="A2309">
        <v>2308</v>
      </c>
      <c r="B2309">
        <v>2017</v>
      </c>
      <c r="C2309">
        <v>12</v>
      </c>
      <c r="D2309">
        <v>15</v>
      </c>
      <c r="E2309" s="1">
        <v>-7.6739999999999995</v>
      </c>
      <c r="F2309" t="s">
        <v>26</v>
      </c>
      <c r="G2309" t="str">
        <f>_xlfn.XLOOKUP(transakcje[[#This Row],[podkategoria]],parametr[podkategoria],parametr[kategoria])</f>
        <v>życie</v>
      </c>
      <c r="H2309" t="str">
        <f>_xlfn.XLOOKUP(transakcje[[#This Row],[kategoria]],parametr[kategoria],parametr[typ])</f>
        <v>wydatki</v>
      </c>
      <c r="I2309" s="1">
        <f>ABS(transakcje[[#This Row],[kwota]])</f>
        <v>7.6739999999999995</v>
      </c>
    </row>
    <row r="2310" spans="1:9" x14ac:dyDescent="0.3">
      <c r="A2310">
        <v>2309</v>
      </c>
      <c r="B2310">
        <v>2017</v>
      </c>
      <c r="C2310">
        <v>12</v>
      </c>
      <c r="D2310">
        <v>15</v>
      </c>
      <c r="E2310" s="1">
        <v>-1.5619999999999998</v>
      </c>
      <c r="F2310" t="s">
        <v>26</v>
      </c>
      <c r="G2310" t="str">
        <f>_xlfn.XLOOKUP(transakcje[[#This Row],[podkategoria]],parametr[podkategoria],parametr[kategoria])</f>
        <v>życie</v>
      </c>
      <c r="H2310" t="str">
        <f>_xlfn.XLOOKUP(transakcje[[#This Row],[kategoria]],parametr[kategoria],parametr[typ])</f>
        <v>wydatki</v>
      </c>
      <c r="I2310" s="1">
        <f>ABS(transakcje[[#This Row],[kwota]])</f>
        <v>1.5619999999999998</v>
      </c>
    </row>
    <row r="2311" spans="1:9" x14ac:dyDescent="0.3">
      <c r="A2311">
        <v>2310</v>
      </c>
      <c r="B2311">
        <v>2017</v>
      </c>
      <c r="C2311">
        <v>12</v>
      </c>
      <c r="D2311">
        <v>16</v>
      </c>
      <c r="E2311" s="1">
        <v>-0.78</v>
      </c>
      <c r="F2311" t="s">
        <v>11</v>
      </c>
      <c r="G2311" t="str">
        <f>_xlfn.XLOOKUP(transakcje[[#This Row],[podkategoria]],parametr[podkategoria],parametr[kategoria])</f>
        <v>wydatki inne</v>
      </c>
      <c r="H2311" t="str">
        <f>_xlfn.XLOOKUP(transakcje[[#This Row],[kategoria]],parametr[kategoria],parametr[typ])</f>
        <v>wydatki</v>
      </c>
      <c r="I2311" s="1">
        <f>ABS(transakcje[[#This Row],[kwota]])</f>
        <v>0.78</v>
      </c>
    </row>
    <row r="2312" spans="1:9" x14ac:dyDescent="0.3">
      <c r="A2312">
        <v>2311</v>
      </c>
      <c r="B2312">
        <v>2017</v>
      </c>
      <c r="C2312">
        <v>12</v>
      </c>
      <c r="D2312">
        <v>16</v>
      </c>
      <c r="E2312" s="1">
        <v>-0.8</v>
      </c>
      <c r="F2312" t="s">
        <v>14</v>
      </c>
      <c r="G2312" t="str">
        <f>_xlfn.XLOOKUP(transakcje[[#This Row],[podkategoria]],parametr[podkategoria],parametr[kategoria])</f>
        <v>opłaty stałe</v>
      </c>
      <c r="H2312" t="str">
        <f>_xlfn.XLOOKUP(transakcje[[#This Row],[kategoria]],parametr[kategoria],parametr[typ])</f>
        <v>wydatki</v>
      </c>
      <c r="I2312" s="1">
        <f>ABS(transakcje[[#This Row],[kwota]])</f>
        <v>0.8</v>
      </c>
    </row>
    <row r="2313" spans="1:9" x14ac:dyDescent="0.3">
      <c r="A2313">
        <v>2312</v>
      </c>
      <c r="B2313">
        <v>2017</v>
      </c>
      <c r="C2313">
        <v>12</v>
      </c>
      <c r="D2313">
        <v>16</v>
      </c>
      <c r="E2313" s="1">
        <v>-15.27</v>
      </c>
      <c r="F2313" t="s">
        <v>26</v>
      </c>
      <c r="G2313" t="str">
        <f>_xlfn.XLOOKUP(transakcje[[#This Row],[podkategoria]],parametr[podkategoria],parametr[kategoria])</f>
        <v>życie</v>
      </c>
      <c r="H2313" t="str">
        <f>_xlfn.XLOOKUP(transakcje[[#This Row],[kategoria]],parametr[kategoria],parametr[typ])</f>
        <v>wydatki</v>
      </c>
      <c r="I2313" s="1">
        <f>ABS(transakcje[[#This Row],[kwota]])</f>
        <v>15.27</v>
      </c>
    </row>
    <row r="2314" spans="1:9" x14ac:dyDescent="0.3">
      <c r="A2314">
        <v>2313</v>
      </c>
      <c r="B2314">
        <v>2017</v>
      </c>
      <c r="C2314">
        <v>12</v>
      </c>
      <c r="D2314">
        <v>26</v>
      </c>
      <c r="E2314" s="1">
        <v>-10.190000000000001</v>
      </c>
      <c r="F2314" t="s">
        <v>11</v>
      </c>
      <c r="G2314" t="str">
        <f>_xlfn.XLOOKUP(transakcje[[#This Row],[podkategoria]],parametr[podkategoria],parametr[kategoria])</f>
        <v>wydatki inne</v>
      </c>
      <c r="H2314" t="str">
        <f>_xlfn.XLOOKUP(transakcje[[#This Row],[kategoria]],parametr[kategoria],parametr[typ])</f>
        <v>wydatki</v>
      </c>
      <c r="I2314" s="1">
        <f>ABS(transakcje[[#This Row],[kwota]])</f>
        <v>10.190000000000001</v>
      </c>
    </row>
    <row r="2315" spans="1:9" x14ac:dyDescent="0.3">
      <c r="A2315">
        <v>2314</v>
      </c>
      <c r="B2315">
        <v>2017</v>
      </c>
      <c r="C2315">
        <v>12</v>
      </c>
      <c r="D2315">
        <v>26</v>
      </c>
      <c r="E2315" s="1">
        <v>-4</v>
      </c>
      <c r="F2315" t="s">
        <v>11</v>
      </c>
      <c r="G2315" t="str">
        <f>_xlfn.XLOOKUP(transakcje[[#This Row],[podkategoria]],parametr[podkategoria],parametr[kategoria])</f>
        <v>wydatki inne</v>
      </c>
      <c r="H2315" t="str">
        <f>_xlfn.XLOOKUP(transakcje[[#This Row],[kategoria]],parametr[kategoria],parametr[typ])</f>
        <v>wydatki</v>
      </c>
      <c r="I2315" s="1">
        <f>ABS(transakcje[[#This Row],[kwota]])</f>
        <v>4</v>
      </c>
    </row>
    <row r="2316" spans="1:9" x14ac:dyDescent="0.3">
      <c r="A2316">
        <v>2315</v>
      </c>
      <c r="B2316">
        <v>2017</v>
      </c>
      <c r="C2316">
        <v>12</v>
      </c>
      <c r="D2316">
        <v>28</v>
      </c>
      <c r="E2316" s="1">
        <v>-15.122</v>
      </c>
      <c r="F2316" t="s">
        <v>20</v>
      </c>
      <c r="G2316" t="str">
        <f>_xlfn.XLOOKUP(transakcje[[#This Row],[podkategoria]],parametr[podkategoria],parametr[kategoria])</f>
        <v>trwałe</v>
      </c>
      <c r="H2316" t="str">
        <f>_xlfn.XLOOKUP(transakcje[[#This Row],[kategoria]],parametr[kategoria],parametr[typ])</f>
        <v>wydatki</v>
      </c>
      <c r="I2316" s="1">
        <f>ABS(transakcje[[#This Row],[kwota]])</f>
        <v>15.122</v>
      </c>
    </row>
    <row r="2317" spans="1:9" x14ac:dyDescent="0.3">
      <c r="A2317">
        <v>2316</v>
      </c>
      <c r="B2317">
        <v>2017</v>
      </c>
      <c r="C2317">
        <v>12</v>
      </c>
      <c r="D2317">
        <v>28</v>
      </c>
      <c r="E2317" s="1">
        <v>-32.466000000000001</v>
      </c>
      <c r="F2317" t="s">
        <v>11</v>
      </c>
      <c r="G2317" t="str">
        <f>_xlfn.XLOOKUP(transakcje[[#This Row],[podkategoria]],parametr[podkategoria],parametr[kategoria])</f>
        <v>wydatki inne</v>
      </c>
      <c r="H2317" t="str">
        <f>_xlfn.XLOOKUP(transakcje[[#This Row],[kategoria]],parametr[kategoria],parametr[typ])</f>
        <v>wydatki</v>
      </c>
      <c r="I2317" s="1">
        <f>ABS(transakcje[[#This Row],[kwota]])</f>
        <v>32.466000000000001</v>
      </c>
    </row>
    <row r="2318" spans="1:9" x14ac:dyDescent="0.3">
      <c r="A2318">
        <v>2317</v>
      </c>
      <c r="B2318">
        <v>2017</v>
      </c>
      <c r="C2318">
        <v>12</v>
      </c>
      <c r="D2318">
        <v>28</v>
      </c>
      <c r="E2318" s="1">
        <v>-59.998000000000005</v>
      </c>
      <c r="F2318" t="s">
        <v>11</v>
      </c>
      <c r="G2318" t="str">
        <f>_xlfn.XLOOKUP(transakcje[[#This Row],[podkategoria]],parametr[podkategoria],parametr[kategoria])</f>
        <v>wydatki inne</v>
      </c>
      <c r="H2318" t="str">
        <f>_xlfn.XLOOKUP(transakcje[[#This Row],[kategoria]],parametr[kategoria],parametr[typ])</f>
        <v>wydatki</v>
      </c>
      <c r="I2318" s="1">
        <f>ABS(transakcje[[#This Row],[kwota]])</f>
        <v>59.998000000000005</v>
      </c>
    </row>
    <row r="2319" spans="1:9" x14ac:dyDescent="0.3">
      <c r="A2319">
        <v>2318</v>
      </c>
      <c r="B2319">
        <v>2017</v>
      </c>
      <c r="C2319">
        <v>12</v>
      </c>
      <c r="D2319">
        <v>28</v>
      </c>
      <c r="E2319" s="1">
        <v>-0.54</v>
      </c>
      <c r="F2319" t="s">
        <v>26</v>
      </c>
      <c r="G2319" t="str">
        <f>_xlfn.XLOOKUP(transakcje[[#This Row],[podkategoria]],parametr[podkategoria],parametr[kategoria])</f>
        <v>życie</v>
      </c>
      <c r="H2319" t="str">
        <f>_xlfn.XLOOKUP(transakcje[[#This Row],[kategoria]],parametr[kategoria],parametr[typ])</f>
        <v>wydatki</v>
      </c>
      <c r="I2319" s="1">
        <f>ABS(transakcje[[#This Row],[kwota]])</f>
        <v>0.54</v>
      </c>
    </row>
    <row r="2320" spans="1:9" x14ac:dyDescent="0.3">
      <c r="A2320">
        <v>2319</v>
      </c>
      <c r="B2320">
        <v>2017</v>
      </c>
      <c r="C2320">
        <v>12</v>
      </c>
      <c r="D2320">
        <v>29</v>
      </c>
      <c r="E2320" s="1">
        <v>530.95000000000005</v>
      </c>
      <c r="F2320" t="s">
        <v>19</v>
      </c>
      <c r="G2320" t="str">
        <f>_xlfn.XLOOKUP(transakcje[[#This Row],[podkategoria]],parametr[podkategoria],parametr[kategoria])</f>
        <v>dochody z pracy</v>
      </c>
      <c r="H2320" t="str">
        <f>_xlfn.XLOOKUP(transakcje[[#This Row],[kategoria]],parametr[kategoria],parametr[typ])</f>
        <v>dochody</v>
      </c>
      <c r="I2320" s="1">
        <f>ABS(transakcje[[#This Row],[kwota]])</f>
        <v>530.95000000000005</v>
      </c>
    </row>
    <row r="2321" spans="1:9" x14ac:dyDescent="0.3">
      <c r="A2321">
        <v>2320</v>
      </c>
      <c r="B2321">
        <v>2017</v>
      </c>
      <c r="C2321">
        <v>12</v>
      </c>
      <c r="D2321">
        <v>30</v>
      </c>
      <c r="E2321" s="1">
        <v>-19.8</v>
      </c>
      <c r="F2321" t="s">
        <v>32</v>
      </c>
      <c r="G2321" t="str">
        <f>_xlfn.XLOOKUP(transakcje[[#This Row],[podkategoria]],parametr[podkategoria],parametr[kategoria])</f>
        <v>opłaty stałe</v>
      </c>
      <c r="H2321" t="str">
        <f>_xlfn.XLOOKUP(transakcje[[#This Row],[kategoria]],parametr[kategoria],parametr[typ])</f>
        <v>wydatki</v>
      </c>
      <c r="I2321" s="1">
        <f>ABS(transakcje[[#This Row],[kwota]])</f>
        <v>19.8</v>
      </c>
    </row>
    <row r="2322" spans="1:9" x14ac:dyDescent="0.3">
      <c r="A2322">
        <v>2321</v>
      </c>
      <c r="B2322">
        <v>2017</v>
      </c>
      <c r="C2322">
        <v>12</v>
      </c>
      <c r="D2322">
        <v>30</v>
      </c>
      <c r="E2322" s="1">
        <v>-14.280000000000001</v>
      </c>
      <c r="F2322" t="s">
        <v>11</v>
      </c>
      <c r="G2322" t="str">
        <f>_xlfn.XLOOKUP(transakcje[[#This Row],[podkategoria]],parametr[podkategoria],parametr[kategoria])</f>
        <v>wydatki inne</v>
      </c>
      <c r="H2322" t="str">
        <f>_xlfn.XLOOKUP(transakcje[[#This Row],[kategoria]],parametr[kategoria],parametr[typ])</f>
        <v>wydatki</v>
      </c>
      <c r="I2322" s="1">
        <f>ABS(transakcje[[#This Row],[kwota]])</f>
        <v>14.280000000000001</v>
      </c>
    </row>
    <row r="2323" spans="1:9" x14ac:dyDescent="0.3">
      <c r="A2323">
        <v>2322</v>
      </c>
      <c r="B2323">
        <v>2017</v>
      </c>
      <c r="C2323">
        <v>12</v>
      </c>
      <c r="D2323">
        <v>30</v>
      </c>
      <c r="E2323" s="1">
        <v>-4.2</v>
      </c>
      <c r="F2323" t="s">
        <v>20</v>
      </c>
      <c r="G2323" t="str">
        <f>_xlfn.XLOOKUP(transakcje[[#This Row],[podkategoria]],parametr[podkategoria],parametr[kategoria])</f>
        <v>trwałe</v>
      </c>
      <c r="H2323" t="str">
        <f>_xlfn.XLOOKUP(transakcje[[#This Row],[kategoria]],parametr[kategoria],parametr[typ])</f>
        <v>wydatki</v>
      </c>
      <c r="I2323" s="1">
        <f>ABS(transakcje[[#This Row],[kwota]])</f>
        <v>4.2</v>
      </c>
    </row>
    <row r="2324" spans="1:9" x14ac:dyDescent="0.3">
      <c r="A2324">
        <v>2323</v>
      </c>
      <c r="B2324">
        <v>2017</v>
      </c>
      <c r="C2324">
        <v>12</v>
      </c>
      <c r="D2324">
        <v>30</v>
      </c>
      <c r="E2324" s="1">
        <v>-24</v>
      </c>
      <c r="F2324" t="s">
        <v>11</v>
      </c>
      <c r="G2324" t="str">
        <f>_xlfn.XLOOKUP(transakcje[[#This Row],[podkategoria]],parametr[podkategoria],parametr[kategoria])</f>
        <v>wydatki inne</v>
      </c>
      <c r="H2324" t="str">
        <f>_xlfn.XLOOKUP(transakcje[[#This Row],[kategoria]],parametr[kategoria],parametr[typ])</f>
        <v>wydatki</v>
      </c>
      <c r="I2324" s="1">
        <f>ABS(transakcje[[#This Row],[kwota]])</f>
        <v>24</v>
      </c>
    </row>
    <row r="2325" spans="1:9" x14ac:dyDescent="0.3">
      <c r="A2325">
        <v>2324</v>
      </c>
      <c r="B2325">
        <v>2017</v>
      </c>
      <c r="C2325">
        <v>12</v>
      </c>
      <c r="D2325">
        <v>31</v>
      </c>
      <c r="E2325" s="1">
        <v>8.0000000000000002E-3</v>
      </c>
      <c r="F2325" t="s">
        <v>17</v>
      </c>
      <c r="G2325" t="str">
        <f>_xlfn.XLOOKUP(transakcje[[#This Row],[podkategoria]],parametr[podkategoria],parametr[kategoria])</f>
        <v>dochody pozostałe</v>
      </c>
      <c r="H2325" t="str">
        <f>_xlfn.XLOOKUP(transakcje[[#This Row],[kategoria]],parametr[kategoria],parametr[typ])</f>
        <v>dochody</v>
      </c>
      <c r="I2325" s="1">
        <f>ABS(transakcje[[#This Row],[kwota]])</f>
        <v>8.0000000000000002E-3</v>
      </c>
    </row>
    <row r="2326" spans="1:9" x14ac:dyDescent="0.3">
      <c r="A2326">
        <v>2325</v>
      </c>
      <c r="B2326">
        <v>2017</v>
      </c>
      <c r="C2326">
        <v>12</v>
      </c>
      <c r="D2326">
        <v>31</v>
      </c>
      <c r="E2326" s="1">
        <v>-1.198</v>
      </c>
      <c r="F2326" t="s">
        <v>14</v>
      </c>
      <c r="G2326" t="str">
        <f>_xlfn.XLOOKUP(transakcje[[#This Row],[podkategoria]],parametr[podkategoria],parametr[kategoria])</f>
        <v>opłaty stałe</v>
      </c>
      <c r="H2326" t="str">
        <f>_xlfn.XLOOKUP(transakcje[[#This Row],[kategoria]],parametr[kategoria],parametr[typ])</f>
        <v>wydatki</v>
      </c>
      <c r="I2326" s="1">
        <f>ABS(transakcje[[#This Row],[kwota]])</f>
        <v>1.198</v>
      </c>
    </row>
    <row r="2327" spans="1:9" x14ac:dyDescent="0.3">
      <c r="A2327">
        <v>2326</v>
      </c>
      <c r="B2327">
        <v>2017</v>
      </c>
      <c r="C2327">
        <v>12</v>
      </c>
      <c r="D2327">
        <v>31</v>
      </c>
      <c r="E2327" s="1">
        <v>-0.5</v>
      </c>
      <c r="F2327" t="s">
        <v>14</v>
      </c>
      <c r="G2327" t="str">
        <f>_xlfn.XLOOKUP(transakcje[[#This Row],[podkategoria]],parametr[podkategoria],parametr[kategoria])</f>
        <v>opłaty stałe</v>
      </c>
      <c r="H2327" t="str">
        <f>_xlfn.XLOOKUP(transakcje[[#This Row],[kategoria]],parametr[kategoria],parametr[typ])</f>
        <v>wydatki</v>
      </c>
      <c r="I2327" s="1">
        <f>ABS(transakcje[[#This Row],[kwota]])</f>
        <v>0.5</v>
      </c>
    </row>
    <row r="2328" spans="1:9" x14ac:dyDescent="0.3">
      <c r="A2328">
        <v>2327</v>
      </c>
      <c r="B2328">
        <v>2017</v>
      </c>
      <c r="C2328">
        <v>12</v>
      </c>
      <c r="D2328">
        <v>31</v>
      </c>
      <c r="E2328" s="1">
        <v>-2E-3</v>
      </c>
      <c r="F2328" t="s">
        <v>14</v>
      </c>
      <c r="G2328" t="str">
        <f>_xlfn.XLOOKUP(transakcje[[#This Row],[podkategoria]],parametr[podkategoria],parametr[kategoria])</f>
        <v>opłaty stałe</v>
      </c>
      <c r="H2328" t="str">
        <f>_xlfn.XLOOKUP(transakcje[[#This Row],[kategoria]],parametr[kategoria],parametr[typ])</f>
        <v>wydatki</v>
      </c>
      <c r="I2328" s="1">
        <f>ABS(transakcje[[#This Row],[kwota]])</f>
        <v>2E-3</v>
      </c>
    </row>
    <row r="2329" spans="1:9" x14ac:dyDescent="0.3">
      <c r="A2329">
        <v>2328</v>
      </c>
      <c r="B2329">
        <v>2018</v>
      </c>
      <c r="C2329">
        <v>1</v>
      </c>
      <c r="D2329">
        <v>1</v>
      </c>
      <c r="E2329" s="1">
        <v>-5.8</v>
      </c>
      <c r="F2329" t="s">
        <v>25</v>
      </c>
      <c r="G2329" t="str">
        <f>_xlfn.XLOOKUP(transakcje[[#This Row],[podkategoria]],parametr[podkategoria],parametr[kategoria])</f>
        <v>opłaty stałe</v>
      </c>
      <c r="H2329" t="str">
        <f>_xlfn.XLOOKUP(transakcje[[#This Row],[kategoria]],parametr[kategoria],parametr[typ])</f>
        <v>wydatki</v>
      </c>
      <c r="I2329" s="1">
        <f>ABS(transakcje[[#This Row],[kwota]])</f>
        <v>5.8</v>
      </c>
    </row>
    <row r="2330" spans="1:9" x14ac:dyDescent="0.3">
      <c r="A2330">
        <v>2329</v>
      </c>
      <c r="B2330">
        <v>2018</v>
      </c>
      <c r="C2330">
        <v>1</v>
      </c>
      <c r="D2330">
        <v>1</v>
      </c>
      <c r="E2330" s="1">
        <v>-6.34</v>
      </c>
      <c r="F2330" t="s">
        <v>35</v>
      </c>
      <c r="G2330" t="str">
        <f>_xlfn.XLOOKUP(transakcje[[#This Row],[podkategoria]],parametr[podkategoria],parametr[kategoria])</f>
        <v>opłaty stałe</v>
      </c>
      <c r="H2330" t="str">
        <f>_xlfn.XLOOKUP(transakcje[[#This Row],[kategoria]],parametr[kategoria],parametr[typ])</f>
        <v>wydatki</v>
      </c>
      <c r="I2330" s="1">
        <f>ABS(transakcje[[#This Row],[kwota]])</f>
        <v>6.34</v>
      </c>
    </row>
    <row r="2331" spans="1:9" x14ac:dyDescent="0.3">
      <c r="A2331">
        <v>2330</v>
      </c>
      <c r="B2331">
        <v>2018</v>
      </c>
      <c r="C2331">
        <v>1</v>
      </c>
      <c r="D2331">
        <v>1</v>
      </c>
      <c r="E2331" s="1">
        <v>-7.38</v>
      </c>
      <c r="F2331" t="s">
        <v>23</v>
      </c>
      <c r="G2331" t="str">
        <f>_xlfn.XLOOKUP(transakcje[[#This Row],[podkategoria]],parametr[podkategoria],parametr[kategoria])</f>
        <v>opłaty stałe</v>
      </c>
      <c r="H2331" t="str">
        <f>_xlfn.XLOOKUP(transakcje[[#This Row],[kategoria]],parametr[kategoria],parametr[typ])</f>
        <v>wydatki</v>
      </c>
      <c r="I2331" s="1">
        <f>ABS(transakcje[[#This Row],[kwota]])</f>
        <v>7.38</v>
      </c>
    </row>
    <row r="2332" spans="1:9" x14ac:dyDescent="0.3">
      <c r="A2332">
        <v>2331</v>
      </c>
      <c r="B2332">
        <v>2018</v>
      </c>
      <c r="C2332">
        <v>1</v>
      </c>
      <c r="D2332">
        <v>1</v>
      </c>
      <c r="E2332" s="1">
        <v>-5.8</v>
      </c>
      <c r="F2332" t="s">
        <v>11</v>
      </c>
      <c r="G2332" t="str">
        <f>_xlfn.XLOOKUP(transakcje[[#This Row],[podkategoria]],parametr[podkategoria],parametr[kategoria])</f>
        <v>wydatki inne</v>
      </c>
      <c r="H2332" t="str">
        <f>_xlfn.XLOOKUP(transakcje[[#This Row],[kategoria]],parametr[kategoria],parametr[typ])</f>
        <v>wydatki</v>
      </c>
      <c r="I2332" s="1">
        <f>ABS(transakcje[[#This Row],[kwota]])</f>
        <v>5.8</v>
      </c>
    </row>
    <row r="2333" spans="1:9" x14ac:dyDescent="0.3">
      <c r="A2333">
        <v>2332</v>
      </c>
      <c r="B2333">
        <v>2018</v>
      </c>
      <c r="C2333">
        <v>1</v>
      </c>
      <c r="D2333">
        <v>1</v>
      </c>
      <c r="E2333" s="1">
        <v>-12.952000000000002</v>
      </c>
      <c r="F2333" t="s">
        <v>34</v>
      </c>
      <c r="G2333" t="str">
        <f>_xlfn.XLOOKUP(transakcje[[#This Row],[podkategoria]],parametr[podkategoria],parametr[kategoria])</f>
        <v>opłaty stałe</v>
      </c>
      <c r="H2333" t="str">
        <f>_xlfn.XLOOKUP(transakcje[[#This Row],[kategoria]],parametr[kategoria],parametr[typ])</f>
        <v>wydatki</v>
      </c>
      <c r="I2333" s="1">
        <f>ABS(transakcje[[#This Row],[kwota]])</f>
        <v>12.952000000000002</v>
      </c>
    </row>
    <row r="2334" spans="1:9" x14ac:dyDescent="0.3">
      <c r="A2334">
        <v>2333</v>
      </c>
      <c r="B2334">
        <v>2018</v>
      </c>
      <c r="C2334">
        <v>1</v>
      </c>
      <c r="D2334">
        <v>2</v>
      </c>
      <c r="E2334" s="1">
        <v>-49.03</v>
      </c>
      <c r="F2334" t="s">
        <v>37</v>
      </c>
      <c r="G2334" t="str">
        <f>_xlfn.XLOOKUP(transakcje[[#This Row],[podkategoria]],parametr[podkategoria],parametr[kategoria])</f>
        <v>opłaty stałe</v>
      </c>
      <c r="H2334" t="str">
        <f>_xlfn.XLOOKUP(transakcje[[#This Row],[kategoria]],parametr[kategoria],parametr[typ])</f>
        <v>wydatki</v>
      </c>
      <c r="I2334" s="1">
        <f>ABS(transakcje[[#This Row],[kwota]])</f>
        <v>49.03</v>
      </c>
    </row>
    <row r="2335" spans="1:9" x14ac:dyDescent="0.3">
      <c r="A2335">
        <v>2334</v>
      </c>
      <c r="B2335">
        <v>2018</v>
      </c>
      <c r="C2335">
        <v>1</v>
      </c>
      <c r="D2335">
        <v>3</v>
      </c>
      <c r="E2335" s="1">
        <v>-36</v>
      </c>
      <c r="F2335" t="s">
        <v>26</v>
      </c>
      <c r="G2335" t="str">
        <f>_xlfn.XLOOKUP(transakcje[[#This Row],[podkategoria]],parametr[podkategoria],parametr[kategoria])</f>
        <v>życie</v>
      </c>
      <c r="H2335" t="str">
        <f>_xlfn.XLOOKUP(transakcje[[#This Row],[kategoria]],parametr[kategoria],parametr[typ])</f>
        <v>wydatki</v>
      </c>
      <c r="I2335" s="1">
        <f>ABS(transakcje[[#This Row],[kwota]])</f>
        <v>36</v>
      </c>
    </row>
    <row r="2336" spans="1:9" x14ac:dyDescent="0.3">
      <c r="A2336">
        <v>2335</v>
      </c>
      <c r="B2336">
        <v>2018</v>
      </c>
      <c r="C2336">
        <v>1</v>
      </c>
      <c r="D2336">
        <v>3</v>
      </c>
      <c r="E2336" s="1">
        <v>-2.1379999999999999</v>
      </c>
      <c r="F2336" t="s">
        <v>26</v>
      </c>
      <c r="G2336" t="str">
        <f>_xlfn.XLOOKUP(transakcje[[#This Row],[podkategoria]],parametr[podkategoria],parametr[kategoria])</f>
        <v>życie</v>
      </c>
      <c r="H2336" t="str">
        <f>_xlfn.XLOOKUP(transakcje[[#This Row],[kategoria]],parametr[kategoria],parametr[typ])</f>
        <v>wydatki</v>
      </c>
      <c r="I2336" s="1">
        <f>ABS(transakcje[[#This Row],[kwota]])</f>
        <v>2.1379999999999999</v>
      </c>
    </row>
    <row r="2337" spans="1:9" x14ac:dyDescent="0.3">
      <c r="A2337">
        <v>2336</v>
      </c>
      <c r="B2337">
        <v>2018</v>
      </c>
      <c r="C2337">
        <v>1</v>
      </c>
      <c r="D2337">
        <v>9</v>
      </c>
      <c r="E2337" s="1">
        <v>-1.8960000000000001</v>
      </c>
      <c r="F2337" t="s">
        <v>26</v>
      </c>
      <c r="G2337" t="str">
        <f>_xlfn.XLOOKUP(transakcje[[#This Row],[podkategoria]],parametr[podkategoria],parametr[kategoria])</f>
        <v>życie</v>
      </c>
      <c r="H2337" t="str">
        <f>_xlfn.XLOOKUP(transakcje[[#This Row],[kategoria]],parametr[kategoria],parametr[typ])</f>
        <v>wydatki</v>
      </c>
      <c r="I2337" s="1">
        <f>ABS(transakcje[[#This Row],[kwota]])</f>
        <v>1.8960000000000001</v>
      </c>
    </row>
    <row r="2338" spans="1:9" x14ac:dyDescent="0.3">
      <c r="A2338">
        <v>2337</v>
      </c>
      <c r="B2338">
        <v>2018</v>
      </c>
      <c r="C2338">
        <v>1</v>
      </c>
      <c r="D2338">
        <v>12</v>
      </c>
      <c r="E2338" s="1">
        <v>-0.54</v>
      </c>
      <c r="F2338" t="s">
        <v>26</v>
      </c>
      <c r="G2338" t="str">
        <f>_xlfn.XLOOKUP(transakcje[[#This Row],[podkategoria]],parametr[podkategoria],parametr[kategoria])</f>
        <v>życie</v>
      </c>
      <c r="H2338" t="str">
        <f>_xlfn.XLOOKUP(transakcje[[#This Row],[kategoria]],parametr[kategoria],parametr[typ])</f>
        <v>wydatki</v>
      </c>
      <c r="I2338" s="1">
        <f>ABS(transakcje[[#This Row],[kwota]])</f>
        <v>0.54</v>
      </c>
    </row>
    <row r="2339" spans="1:9" x14ac:dyDescent="0.3">
      <c r="A2339">
        <v>2338</v>
      </c>
      <c r="B2339">
        <v>2018</v>
      </c>
      <c r="C2339">
        <v>1</v>
      </c>
      <c r="D2339">
        <v>12</v>
      </c>
      <c r="E2339" s="1">
        <v>-5.1899999999999995</v>
      </c>
      <c r="F2339" t="s">
        <v>26</v>
      </c>
      <c r="G2339" t="str">
        <f>_xlfn.XLOOKUP(transakcje[[#This Row],[podkategoria]],parametr[podkategoria],parametr[kategoria])</f>
        <v>życie</v>
      </c>
      <c r="H2339" t="str">
        <f>_xlfn.XLOOKUP(transakcje[[#This Row],[kategoria]],parametr[kategoria],parametr[typ])</f>
        <v>wydatki</v>
      </c>
      <c r="I2339" s="1">
        <f>ABS(transakcje[[#This Row],[kwota]])</f>
        <v>5.1899999999999995</v>
      </c>
    </row>
    <row r="2340" spans="1:9" x14ac:dyDescent="0.3">
      <c r="A2340">
        <v>2339</v>
      </c>
      <c r="B2340">
        <v>2018</v>
      </c>
      <c r="C2340">
        <v>1</v>
      </c>
      <c r="D2340">
        <v>13</v>
      </c>
      <c r="E2340" s="1">
        <v>-67.66</v>
      </c>
      <c r="F2340" t="s">
        <v>31</v>
      </c>
      <c r="G2340" t="str">
        <f>_xlfn.XLOOKUP(transakcje[[#This Row],[podkategoria]],parametr[podkategoria],parametr[kategoria])</f>
        <v>opłaty stałe</v>
      </c>
      <c r="H2340" t="str">
        <f>_xlfn.XLOOKUP(transakcje[[#This Row],[kategoria]],parametr[kategoria],parametr[typ])</f>
        <v>wydatki</v>
      </c>
      <c r="I2340" s="1">
        <f>ABS(transakcje[[#This Row],[kwota]])</f>
        <v>67.66</v>
      </c>
    </row>
    <row r="2341" spans="1:9" x14ac:dyDescent="0.3">
      <c r="A2341">
        <v>2340</v>
      </c>
      <c r="B2341">
        <v>2018</v>
      </c>
      <c r="C2341">
        <v>1</v>
      </c>
      <c r="D2341">
        <v>15</v>
      </c>
      <c r="E2341" s="1">
        <v>-2.9340000000000002</v>
      </c>
      <c r="F2341" t="s">
        <v>26</v>
      </c>
      <c r="G2341" t="str">
        <f>_xlfn.XLOOKUP(transakcje[[#This Row],[podkategoria]],parametr[podkategoria],parametr[kategoria])</f>
        <v>życie</v>
      </c>
      <c r="H2341" t="str">
        <f>_xlfn.XLOOKUP(transakcje[[#This Row],[kategoria]],parametr[kategoria],parametr[typ])</f>
        <v>wydatki</v>
      </c>
      <c r="I2341" s="1">
        <f>ABS(transakcje[[#This Row],[kwota]])</f>
        <v>2.9340000000000002</v>
      </c>
    </row>
    <row r="2342" spans="1:9" x14ac:dyDescent="0.3">
      <c r="A2342">
        <v>2341</v>
      </c>
      <c r="B2342">
        <v>2018</v>
      </c>
      <c r="C2342">
        <v>1</v>
      </c>
      <c r="D2342">
        <v>17</v>
      </c>
      <c r="E2342" s="1">
        <v>-0.39800000000000002</v>
      </c>
      <c r="F2342" t="s">
        <v>14</v>
      </c>
      <c r="G2342" t="str">
        <f>_xlfn.XLOOKUP(transakcje[[#This Row],[podkategoria]],parametr[podkategoria],parametr[kategoria])</f>
        <v>opłaty stałe</v>
      </c>
      <c r="H2342" t="str">
        <f>_xlfn.XLOOKUP(transakcje[[#This Row],[kategoria]],parametr[kategoria],parametr[typ])</f>
        <v>wydatki</v>
      </c>
      <c r="I2342" s="1">
        <f>ABS(transakcje[[#This Row],[kwota]])</f>
        <v>0.39800000000000002</v>
      </c>
    </row>
    <row r="2343" spans="1:9" x14ac:dyDescent="0.3">
      <c r="A2343">
        <v>2342</v>
      </c>
      <c r="B2343">
        <v>2018</v>
      </c>
      <c r="C2343">
        <v>1</v>
      </c>
      <c r="D2343">
        <v>17</v>
      </c>
      <c r="E2343" s="1">
        <v>-9.57</v>
      </c>
      <c r="F2343" t="s">
        <v>26</v>
      </c>
      <c r="G2343" t="str">
        <f>_xlfn.XLOOKUP(transakcje[[#This Row],[podkategoria]],parametr[podkategoria],parametr[kategoria])</f>
        <v>życie</v>
      </c>
      <c r="H2343" t="str">
        <f>_xlfn.XLOOKUP(transakcje[[#This Row],[kategoria]],parametr[kategoria],parametr[typ])</f>
        <v>wydatki</v>
      </c>
      <c r="I2343" s="1">
        <f>ABS(transakcje[[#This Row],[kwota]])</f>
        <v>9.57</v>
      </c>
    </row>
    <row r="2344" spans="1:9" x14ac:dyDescent="0.3">
      <c r="A2344">
        <v>2343</v>
      </c>
      <c r="B2344">
        <v>2018</v>
      </c>
      <c r="C2344">
        <v>1</v>
      </c>
      <c r="D2344">
        <v>22</v>
      </c>
      <c r="E2344" s="1">
        <v>-6.6859999999999999</v>
      </c>
      <c r="F2344" t="s">
        <v>26</v>
      </c>
      <c r="G2344" t="str">
        <f>_xlfn.XLOOKUP(transakcje[[#This Row],[podkategoria]],parametr[podkategoria],parametr[kategoria])</f>
        <v>życie</v>
      </c>
      <c r="H2344" t="str">
        <f>_xlfn.XLOOKUP(transakcje[[#This Row],[kategoria]],parametr[kategoria],parametr[typ])</f>
        <v>wydatki</v>
      </c>
      <c r="I2344" s="1">
        <f>ABS(transakcje[[#This Row],[kwota]])</f>
        <v>6.6859999999999999</v>
      </c>
    </row>
    <row r="2345" spans="1:9" x14ac:dyDescent="0.3">
      <c r="A2345">
        <v>2344</v>
      </c>
      <c r="B2345">
        <v>2018</v>
      </c>
      <c r="C2345">
        <v>1</v>
      </c>
      <c r="D2345">
        <v>25</v>
      </c>
      <c r="E2345" s="1">
        <v>-1.546</v>
      </c>
      <c r="F2345" t="s">
        <v>26</v>
      </c>
      <c r="G2345" t="str">
        <f>_xlfn.XLOOKUP(transakcje[[#This Row],[podkategoria]],parametr[podkategoria],parametr[kategoria])</f>
        <v>życie</v>
      </c>
      <c r="H2345" t="str">
        <f>_xlfn.XLOOKUP(transakcje[[#This Row],[kategoria]],parametr[kategoria],parametr[typ])</f>
        <v>wydatki</v>
      </c>
      <c r="I2345" s="1">
        <f>ABS(transakcje[[#This Row],[kwota]])</f>
        <v>1.546</v>
      </c>
    </row>
    <row r="2346" spans="1:9" x14ac:dyDescent="0.3">
      <c r="A2346">
        <v>2345</v>
      </c>
      <c r="B2346">
        <v>2018</v>
      </c>
      <c r="C2346">
        <v>1</v>
      </c>
      <c r="D2346">
        <v>25</v>
      </c>
      <c r="E2346" s="1">
        <v>554.77800000000002</v>
      </c>
      <c r="F2346" t="s">
        <v>8</v>
      </c>
      <c r="G2346" t="str">
        <f>_xlfn.XLOOKUP(transakcje[[#This Row],[podkategoria]],parametr[podkategoria],parametr[kategoria])</f>
        <v>dochody z pracy</v>
      </c>
      <c r="H2346" t="str">
        <f>_xlfn.XLOOKUP(transakcje[[#This Row],[kategoria]],parametr[kategoria],parametr[typ])</f>
        <v>dochody</v>
      </c>
      <c r="I2346" s="1">
        <f>ABS(transakcje[[#This Row],[kwota]])</f>
        <v>554.77800000000002</v>
      </c>
    </row>
    <row r="2347" spans="1:9" x14ac:dyDescent="0.3">
      <c r="A2347">
        <v>2346</v>
      </c>
      <c r="B2347">
        <v>2018</v>
      </c>
      <c r="C2347">
        <v>1</v>
      </c>
      <c r="D2347">
        <v>25</v>
      </c>
      <c r="E2347" s="1">
        <v>-19.8</v>
      </c>
      <c r="F2347" t="s">
        <v>32</v>
      </c>
      <c r="G2347" t="str">
        <f>_xlfn.XLOOKUP(transakcje[[#This Row],[podkategoria]],parametr[podkategoria],parametr[kategoria])</f>
        <v>opłaty stałe</v>
      </c>
      <c r="H2347" t="str">
        <f>_xlfn.XLOOKUP(transakcje[[#This Row],[kategoria]],parametr[kategoria],parametr[typ])</f>
        <v>wydatki</v>
      </c>
      <c r="I2347" s="1">
        <f>ABS(transakcje[[#This Row],[kwota]])</f>
        <v>19.8</v>
      </c>
    </row>
    <row r="2348" spans="1:9" x14ac:dyDescent="0.3">
      <c r="A2348">
        <v>2347</v>
      </c>
      <c r="B2348">
        <v>2018</v>
      </c>
      <c r="C2348">
        <v>1</v>
      </c>
      <c r="D2348">
        <v>27</v>
      </c>
      <c r="E2348" s="1">
        <v>-8.6</v>
      </c>
      <c r="F2348" t="s">
        <v>11</v>
      </c>
      <c r="G2348" t="str">
        <f>_xlfn.XLOOKUP(transakcje[[#This Row],[podkategoria]],parametr[podkategoria],parametr[kategoria])</f>
        <v>wydatki inne</v>
      </c>
      <c r="H2348" t="str">
        <f>_xlfn.XLOOKUP(transakcje[[#This Row],[kategoria]],parametr[kategoria],parametr[typ])</f>
        <v>wydatki</v>
      </c>
      <c r="I2348" s="1">
        <f>ABS(transakcje[[#This Row],[kwota]])</f>
        <v>8.6</v>
      </c>
    </row>
    <row r="2349" spans="1:9" x14ac:dyDescent="0.3">
      <c r="A2349">
        <v>2348</v>
      </c>
      <c r="B2349">
        <v>2018</v>
      </c>
      <c r="C2349">
        <v>1</v>
      </c>
      <c r="D2349">
        <v>30</v>
      </c>
      <c r="E2349" s="1">
        <v>-8.4580000000000002</v>
      </c>
      <c r="F2349" t="s">
        <v>26</v>
      </c>
      <c r="G2349" t="str">
        <f>_xlfn.XLOOKUP(transakcje[[#This Row],[podkategoria]],parametr[podkategoria],parametr[kategoria])</f>
        <v>życie</v>
      </c>
      <c r="H2349" t="str">
        <f>_xlfn.XLOOKUP(transakcje[[#This Row],[kategoria]],parametr[kategoria],parametr[typ])</f>
        <v>wydatki</v>
      </c>
      <c r="I2349" s="1">
        <f>ABS(transakcje[[#This Row],[kwota]])</f>
        <v>8.4580000000000002</v>
      </c>
    </row>
    <row r="2350" spans="1:9" x14ac:dyDescent="0.3">
      <c r="A2350">
        <v>2349</v>
      </c>
      <c r="B2350">
        <v>2018</v>
      </c>
      <c r="C2350">
        <v>1</v>
      </c>
      <c r="D2350">
        <v>31</v>
      </c>
      <c r="E2350" s="1">
        <v>-0.4</v>
      </c>
      <c r="F2350" t="s">
        <v>14</v>
      </c>
      <c r="G2350" t="str">
        <f>_xlfn.XLOOKUP(transakcje[[#This Row],[podkategoria]],parametr[podkategoria],parametr[kategoria])</f>
        <v>opłaty stałe</v>
      </c>
      <c r="H2350" t="str">
        <f>_xlfn.XLOOKUP(transakcje[[#This Row],[kategoria]],parametr[kategoria],parametr[typ])</f>
        <v>wydatki</v>
      </c>
      <c r="I2350" s="1">
        <f>ABS(transakcje[[#This Row],[kwota]])</f>
        <v>0.4</v>
      </c>
    </row>
    <row r="2351" spans="1:9" x14ac:dyDescent="0.3">
      <c r="A2351">
        <v>2350</v>
      </c>
      <c r="B2351">
        <v>2018</v>
      </c>
      <c r="C2351">
        <v>1</v>
      </c>
      <c r="D2351">
        <v>31</v>
      </c>
      <c r="E2351" s="1">
        <v>4.0000000000000001E-3</v>
      </c>
      <c r="F2351" t="s">
        <v>17</v>
      </c>
      <c r="G2351" t="str">
        <f>_xlfn.XLOOKUP(transakcje[[#This Row],[podkategoria]],parametr[podkategoria],parametr[kategoria])</f>
        <v>dochody pozostałe</v>
      </c>
      <c r="H2351" t="str">
        <f>_xlfn.XLOOKUP(transakcje[[#This Row],[kategoria]],parametr[kategoria],parametr[typ])</f>
        <v>dochody</v>
      </c>
      <c r="I2351" s="1">
        <f>ABS(transakcje[[#This Row],[kwota]])</f>
        <v>4.0000000000000001E-3</v>
      </c>
    </row>
    <row r="2352" spans="1:9" x14ac:dyDescent="0.3">
      <c r="A2352">
        <v>2351</v>
      </c>
      <c r="B2352">
        <v>2018</v>
      </c>
      <c r="C2352">
        <v>1</v>
      </c>
      <c r="D2352">
        <v>31</v>
      </c>
      <c r="E2352" s="1">
        <v>-2E-3</v>
      </c>
      <c r="F2352" t="s">
        <v>14</v>
      </c>
      <c r="G2352" t="str">
        <f>_xlfn.XLOOKUP(transakcje[[#This Row],[podkategoria]],parametr[podkategoria],parametr[kategoria])</f>
        <v>opłaty stałe</v>
      </c>
      <c r="H2352" t="str">
        <f>_xlfn.XLOOKUP(transakcje[[#This Row],[kategoria]],parametr[kategoria],parametr[typ])</f>
        <v>wydatki</v>
      </c>
      <c r="I2352" s="1">
        <f>ABS(transakcje[[#This Row],[kwota]])</f>
        <v>2E-3</v>
      </c>
    </row>
    <row r="2353" spans="1:9" x14ac:dyDescent="0.3">
      <c r="A2353">
        <v>2352</v>
      </c>
      <c r="B2353">
        <v>2018</v>
      </c>
      <c r="C2353">
        <v>1</v>
      </c>
      <c r="D2353">
        <v>31</v>
      </c>
      <c r="E2353" s="1">
        <v>-1.198</v>
      </c>
      <c r="F2353" t="s">
        <v>14</v>
      </c>
      <c r="G2353" t="str">
        <f>_xlfn.XLOOKUP(transakcje[[#This Row],[podkategoria]],parametr[podkategoria],parametr[kategoria])</f>
        <v>opłaty stałe</v>
      </c>
      <c r="H2353" t="str">
        <f>_xlfn.XLOOKUP(transakcje[[#This Row],[kategoria]],parametr[kategoria],parametr[typ])</f>
        <v>wydatki</v>
      </c>
      <c r="I2353" s="1">
        <f>ABS(transakcje[[#This Row],[kwota]])</f>
        <v>1.198</v>
      </c>
    </row>
    <row r="2354" spans="1:9" x14ac:dyDescent="0.3">
      <c r="A2354">
        <v>2353</v>
      </c>
      <c r="B2354">
        <v>2018</v>
      </c>
      <c r="C2354">
        <v>2</v>
      </c>
      <c r="D2354">
        <v>1</v>
      </c>
      <c r="E2354" s="1">
        <v>-0.76</v>
      </c>
      <c r="F2354" t="s">
        <v>26</v>
      </c>
      <c r="G2354" t="str">
        <f>_xlfn.XLOOKUP(transakcje[[#This Row],[podkategoria]],parametr[podkategoria],parametr[kategoria])</f>
        <v>życie</v>
      </c>
      <c r="H2354" t="str">
        <f>_xlfn.XLOOKUP(transakcje[[#This Row],[kategoria]],parametr[kategoria],parametr[typ])</f>
        <v>wydatki</v>
      </c>
      <c r="I2354" s="1">
        <f>ABS(transakcje[[#This Row],[kwota]])</f>
        <v>0.76</v>
      </c>
    </row>
    <row r="2355" spans="1:9" x14ac:dyDescent="0.3">
      <c r="A2355">
        <v>2354</v>
      </c>
      <c r="B2355">
        <v>2018</v>
      </c>
      <c r="C2355">
        <v>2</v>
      </c>
      <c r="D2355">
        <v>2</v>
      </c>
      <c r="E2355" s="1">
        <v>495.84</v>
      </c>
      <c r="F2355" t="s">
        <v>22</v>
      </c>
      <c r="G2355" t="str">
        <f>_xlfn.XLOOKUP(transakcje[[#This Row],[podkategoria]],parametr[podkategoria],parametr[kategoria])</f>
        <v>dochody z pracy</v>
      </c>
      <c r="H2355" t="str">
        <f>_xlfn.XLOOKUP(transakcje[[#This Row],[kategoria]],parametr[kategoria],parametr[typ])</f>
        <v>dochody</v>
      </c>
      <c r="I2355" s="1">
        <f>ABS(transakcje[[#This Row],[kwota]])</f>
        <v>495.84</v>
      </c>
    </row>
    <row r="2356" spans="1:9" x14ac:dyDescent="0.3">
      <c r="A2356">
        <v>2355</v>
      </c>
      <c r="B2356">
        <v>2018</v>
      </c>
      <c r="C2356">
        <v>2</v>
      </c>
      <c r="D2356">
        <v>3</v>
      </c>
      <c r="E2356" s="1">
        <v>-68.489999999999995</v>
      </c>
      <c r="F2356" t="s">
        <v>31</v>
      </c>
      <c r="G2356" t="str">
        <f>_xlfn.XLOOKUP(transakcje[[#This Row],[podkategoria]],parametr[podkategoria],parametr[kategoria])</f>
        <v>opłaty stałe</v>
      </c>
      <c r="H2356" t="str">
        <f>_xlfn.XLOOKUP(transakcje[[#This Row],[kategoria]],parametr[kategoria],parametr[typ])</f>
        <v>wydatki</v>
      </c>
      <c r="I2356" s="1">
        <f>ABS(transakcje[[#This Row],[kwota]])</f>
        <v>68.489999999999995</v>
      </c>
    </row>
    <row r="2357" spans="1:9" x14ac:dyDescent="0.3">
      <c r="A2357">
        <v>2356</v>
      </c>
      <c r="B2357">
        <v>2018</v>
      </c>
      <c r="C2357">
        <v>2</v>
      </c>
      <c r="D2357">
        <v>3</v>
      </c>
      <c r="E2357" s="1">
        <v>-5.8</v>
      </c>
      <c r="F2357" t="s">
        <v>25</v>
      </c>
      <c r="G2357" t="str">
        <f>_xlfn.XLOOKUP(transakcje[[#This Row],[podkategoria]],parametr[podkategoria],parametr[kategoria])</f>
        <v>opłaty stałe</v>
      </c>
      <c r="H2357" t="str">
        <f>_xlfn.XLOOKUP(transakcje[[#This Row],[kategoria]],parametr[kategoria],parametr[typ])</f>
        <v>wydatki</v>
      </c>
      <c r="I2357" s="1">
        <f>ABS(transakcje[[#This Row],[kwota]])</f>
        <v>5.8</v>
      </c>
    </row>
    <row r="2358" spans="1:9" x14ac:dyDescent="0.3">
      <c r="A2358">
        <v>2357</v>
      </c>
      <c r="B2358">
        <v>2018</v>
      </c>
      <c r="C2358">
        <v>2</v>
      </c>
      <c r="D2358">
        <v>3</v>
      </c>
      <c r="E2358" s="1">
        <v>-7.38</v>
      </c>
      <c r="F2358" t="s">
        <v>23</v>
      </c>
      <c r="G2358" t="str">
        <f>_xlfn.XLOOKUP(transakcje[[#This Row],[podkategoria]],parametr[podkategoria],parametr[kategoria])</f>
        <v>opłaty stałe</v>
      </c>
      <c r="H2358" t="str">
        <f>_xlfn.XLOOKUP(transakcje[[#This Row],[kategoria]],parametr[kategoria],parametr[typ])</f>
        <v>wydatki</v>
      </c>
      <c r="I2358" s="1">
        <f>ABS(transakcje[[#This Row],[kwota]])</f>
        <v>7.38</v>
      </c>
    </row>
    <row r="2359" spans="1:9" x14ac:dyDescent="0.3">
      <c r="A2359">
        <v>2358</v>
      </c>
      <c r="B2359">
        <v>2018</v>
      </c>
      <c r="C2359">
        <v>2</v>
      </c>
      <c r="D2359">
        <v>6</v>
      </c>
      <c r="E2359" s="1">
        <v>-3.0940000000000003</v>
      </c>
      <c r="F2359" t="s">
        <v>26</v>
      </c>
      <c r="G2359" t="str">
        <f>_xlfn.XLOOKUP(transakcje[[#This Row],[podkategoria]],parametr[podkategoria],parametr[kategoria])</f>
        <v>życie</v>
      </c>
      <c r="H2359" t="str">
        <f>_xlfn.XLOOKUP(transakcje[[#This Row],[kategoria]],parametr[kategoria],parametr[typ])</f>
        <v>wydatki</v>
      </c>
      <c r="I2359" s="1">
        <f>ABS(transakcje[[#This Row],[kwota]])</f>
        <v>3.0940000000000003</v>
      </c>
    </row>
    <row r="2360" spans="1:9" x14ac:dyDescent="0.3">
      <c r="A2360">
        <v>2359</v>
      </c>
      <c r="B2360">
        <v>2018</v>
      </c>
      <c r="C2360">
        <v>2</v>
      </c>
      <c r="D2360">
        <v>7</v>
      </c>
      <c r="E2360" s="1">
        <v>-0.95799999999999996</v>
      </c>
      <c r="F2360" t="s">
        <v>26</v>
      </c>
      <c r="G2360" t="str">
        <f>_xlfn.XLOOKUP(transakcje[[#This Row],[podkategoria]],parametr[podkategoria],parametr[kategoria])</f>
        <v>życie</v>
      </c>
      <c r="H2360" t="str">
        <f>_xlfn.XLOOKUP(transakcje[[#This Row],[kategoria]],parametr[kategoria],parametr[typ])</f>
        <v>wydatki</v>
      </c>
      <c r="I2360" s="1">
        <f>ABS(transakcje[[#This Row],[kwota]])</f>
        <v>0.95799999999999996</v>
      </c>
    </row>
    <row r="2361" spans="1:9" x14ac:dyDescent="0.3">
      <c r="A2361">
        <v>2360</v>
      </c>
      <c r="B2361">
        <v>2018</v>
      </c>
      <c r="C2361">
        <v>2</v>
      </c>
      <c r="D2361">
        <v>8</v>
      </c>
      <c r="E2361" s="1">
        <v>-4.8280000000000003</v>
      </c>
      <c r="F2361" t="s">
        <v>26</v>
      </c>
      <c r="G2361" t="str">
        <f>_xlfn.XLOOKUP(transakcje[[#This Row],[podkategoria]],parametr[podkategoria],parametr[kategoria])</f>
        <v>życie</v>
      </c>
      <c r="H2361" t="str">
        <f>_xlfn.XLOOKUP(transakcje[[#This Row],[kategoria]],parametr[kategoria],parametr[typ])</f>
        <v>wydatki</v>
      </c>
      <c r="I2361" s="1">
        <f>ABS(transakcje[[#This Row],[kwota]])</f>
        <v>4.8280000000000003</v>
      </c>
    </row>
    <row r="2362" spans="1:9" x14ac:dyDescent="0.3">
      <c r="A2362">
        <v>2361</v>
      </c>
      <c r="B2362">
        <v>2018</v>
      </c>
      <c r="C2362">
        <v>2</v>
      </c>
      <c r="D2362">
        <v>9</v>
      </c>
      <c r="E2362" s="1">
        <v>-3.5460000000000003</v>
      </c>
      <c r="F2362" t="s">
        <v>26</v>
      </c>
      <c r="G2362" t="str">
        <f>_xlfn.XLOOKUP(transakcje[[#This Row],[podkategoria]],parametr[podkategoria],parametr[kategoria])</f>
        <v>życie</v>
      </c>
      <c r="H2362" t="str">
        <f>_xlfn.XLOOKUP(transakcje[[#This Row],[kategoria]],parametr[kategoria],parametr[typ])</f>
        <v>wydatki</v>
      </c>
      <c r="I2362" s="1">
        <f>ABS(transakcje[[#This Row],[kwota]])</f>
        <v>3.5460000000000003</v>
      </c>
    </row>
    <row r="2363" spans="1:9" x14ac:dyDescent="0.3">
      <c r="A2363">
        <v>2362</v>
      </c>
      <c r="B2363">
        <v>2018</v>
      </c>
      <c r="C2363">
        <v>2</v>
      </c>
      <c r="D2363">
        <v>10</v>
      </c>
      <c r="E2363" s="1">
        <v>-8.4</v>
      </c>
      <c r="F2363" t="s">
        <v>36</v>
      </c>
      <c r="G2363" t="str">
        <f>_xlfn.XLOOKUP(transakcje[[#This Row],[podkategoria]],parametr[podkategoria],parametr[kategoria])</f>
        <v>opłaty stałe</v>
      </c>
      <c r="H2363" t="str">
        <f>_xlfn.XLOOKUP(transakcje[[#This Row],[kategoria]],parametr[kategoria],parametr[typ])</f>
        <v>wydatki</v>
      </c>
      <c r="I2363" s="1">
        <f>ABS(transakcje[[#This Row],[kwota]])</f>
        <v>8.4</v>
      </c>
    </row>
    <row r="2364" spans="1:9" x14ac:dyDescent="0.3">
      <c r="A2364">
        <v>2363</v>
      </c>
      <c r="B2364">
        <v>2018</v>
      </c>
      <c r="C2364">
        <v>2</v>
      </c>
      <c r="D2364">
        <v>12</v>
      </c>
      <c r="E2364" s="1">
        <v>-6.3680000000000003</v>
      </c>
      <c r="F2364" t="s">
        <v>26</v>
      </c>
      <c r="G2364" t="str">
        <f>_xlfn.XLOOKUP(transakcje[[#This Row],[podkategoria]],parametr[podkategoria],parametr[kategoria])</f>
        <v>życie</v>
      </c>
      <c r="H2364" t="str">
        <f>_xlfn.XLOOKUP(transakcje[[#This Row],[kategoria]],parametr[kategoria],parametr[typ])</f>
        <v>wydatki</v>
      </c>
      <c r="I2364" s="1">
        <f>ABS(transakcje[[#This Row],[kwota]])</f>
        <v>6.3680000000000003</v>
      </c>
    </row>
    <row r="2365" spans="1:9" x14ac:dyDescent="0.3">
      <c r="A2365">
        <v>2364</v>
      </c>
      <c r="B2365">
        <v>2018</v>
      </c>
      <c r="C2365">
        <v>2</v>
      </c>
      <c r="D2365">
        <v>13</v>
      </c>
      <c r="E2365" s="1">
        <v>-5.29</v>
      </c>
      <c r="F2365" t="s">
        <v>26</v>
      </c>
      <c r="G2365" t="str">
        <f>_xlfn.XLOOKUP(transakcje[[#This Row],[podkategoria]],parametr[podkategoria],parametr[kategoria])</f>
        <v>życie</v>
      </c>
      <c r="H2365" t="str">
        <f>_xlfn.XLOOKUP(transakcje[[#This Row],[kategoria]],parametr[kategoria],parametr[typ])</f>
        <v>wydatki</v>
      </c>
      <c r="I2365" s="1">
        <f>ABS(transakcje[[#This Row],[kwota]])</f>
        <v>5.29</v>
      </c>
    </row>
    <row r="2366" spans="1:9" x14ac:dyDescent="0.3">
      <c r="A2366">
        <v>2365</v>
      </c>
      <c r="B2366">
        <v>2018</v>
      </c>
      <c r="C2366">
        <v>2</v>
      </c>
      <c r="D2366">
        <v>14</v>
      </c>
      <c r="E2366" s="1">
        <v>-0.39800000000000002</v>
      </c>
      <c r="F2366" t="s">
        <v>14</v>
      </c>
      <c r="G2366" t="str">
        <f>_xlfn.XLOOKUP(transakcje[[#This Row],[podkategoria]],parametr[podkategoria],parametr[kategoria])</f>
        <v>opłaty stałe</v>
      </c>
      <c r="H2366" t="str">
        <f>_xlfn.XLOOKUP(transakcje[[#This Row],[kategoria]],parametr[kategoria],parametr[typ])</f>
        <v>wydatki</v>
      </c>
      <c r="I2366" s="1">
        <f>ABS(transakcje[[#This Row],[kwota]])</f>
        <v>0.39800000000000002</v>
      </c>
    </row>
    <row r="2367" spans="1:9" x14ac:dyDescent="0.3">
      <c r="A2367">
        <v>2366</v>
      </c>
      <c r="B2367">
        <v>2018</v>
      </c>
      <c r="C2367">
        <v>2</v>
      </c>
      <c r="D2367">
        <v>16</v>
      </c>
      <c r="E2367" s="1">
        <v>-10.888</v>
      </c>
      <c r="F2367" t="s">
        <v>26</v>
      </c>
      <c r="G2367" t="str">
        <f>_xlfn.XLOOKUP(transakcje[[#This Row],[podkategoria]],parametr[podkategoria],parametr[kategoria])</f>
        <v>życie</v>
      </c>
      <c r="H2367" t="str">
        <f>_xlfn.XLOOKUP(transakcje[[#This Row],[kategoria]],parametr[kategoria],parametr[typ])</f>
        <v>wydatki</v>
      </c>
      <c r="I2367" s="1">
        <f>ABS(transakcje[[#This Row],[kwota]])</f>
        <v>10.888</v>
      </c>
    </row>
    <row r="2368" spans="1:9" x14ac:dyDescent="0.3">
      <c r="A2368">
        <v>2367</v>
      </c>
      <c r="B2368">
        <v>2018</v>
      </c>
      <c r="C2368">
        <v>2</v>
      </c>
      <c r="D2368">
        <v>19</v>
      </c>
      <c r="E2368" s="1">
        <v>-6.2479999999999993</v>
      </c>
      <c r="F2368" t="s">
        <v>26</v>
      </c>
      <c r="G2368" t="str">
        <f>_xlfn.XLOOKUP(transakcje[[#This Row],[podkategoria]],parametr[podkategoria],parametr[kategoria])</f>
        <v>życie</v>
      </c>
      <c r="H2368" t="str">
        <f>_xlfn.XLOOKUP(transakcje[[#This Row],[kategoria]],parametr[kategoria],parametr[typ])</f>
        <v>wydatki</v>
      </c>
      <c r="I2368" s="1">
        <f>ABS(transakcje[[#This Row],[kwota]])</f>
        <v>6.2479999999999993</v>
      </c>
    </row>
    <row r="2369" spans="1:9" x14ac:dyDescent="0.3">
      <c r="A2369">
        <v>2368</v>
      </c>
      <c r="B2369">
        <v>2018</v>
      </c>
      <c r="C2369">
        <v>2</v>
      </c>
      <c r="D2369">
        <v>20</v>
      </c>
      <c r="E2369" s="1">
        <v>-1.014</v>
      </c>
      <c r="F2369" t="s">
        <v>26</v>
      </c>
      <c r="G2369" t="str">
        <f>_xlfn.XLOOKUP(transakcje[[#This Row],[podkategoria]],parametr[podkategoria],parametr[kategoria])</f>
        <v>życie</v>
      </c>
      <c r="H2369" t="str">
        <f>_xlfn.XLOOKUP(transakcje[[#This Row],[kategoria]],parametr[kategoria],parametr[typ])</f>
        <v>wydatki</v>
      </c>
      <c r="I2369" s="1">
        <f>ABS(transakcje[[#This Row],[kwota]])</f>
        <v>1.014</v>
      </c>
    </row>
    <row r="2370" spans="1:9" x14ac:dyDescent="0.3">
      <c r="A2370">
        <v>2369</v>
      </c>
      <c r="B2370">
        <v>2018</v>
      </c>
      <c r="C2370">
        <v>2</v>
      </c>
      <c r="D2370">
        <v>23</v>
      </c>
      <c r="E2370" s="1">
        <v>554.77800000000002</v>
      </c>
      <c r="F2370" t="s">
        <v>8</v>
      </c>
      <c r="G2370" t="str">
        <f>_xlfn.XLOOKUP(transakcje[[#This Row],[podkategoria]],parametr[podkategoria],parametr[kategoria])</f>
        <v>dochody z pracy</v>
      </c>
      <c r="H2370" t="str">
        <f>_xlfn.XLOOKUP(transakcje[[#This Row],[kategoria]],parametr[kategoria],parametr[typ])</f>
        <v>dochody</v>
      </c>
      <c r="I2370" s="1">
        <f>ABS(transakcje[[#This Row],[kwota]])</f>
        <v>554.77800000000002</v>
      </c>
    </row>
    <row r="2371" spans="1:9" x14ac:dyDescent="0.3">
      <c r="A2371">
        <v>2370</v>
      </c>
      <c r="B2371">
        <v>2018</v>
      </c>
      <c r="C2371">
        <v>2</v>
      </c>
      <c r="D2371">
        <v>23</v>
      </c>
      <c r="E2371" s="1">
        <v>-8.8079999999999998</v>
      </c>
      <c r="F2371" t="s">
        <v>26</v>
      </c>
      <c r="G2371" t="str">
        <f>_xlfn.XLOOKUP(transakcje[[#This Row],[podkategoria]],parametr[podkategoria],parametr[kategoria])</f>
        <v>życie</v>
      </c>
      <c r="H2371" t="str">
        <f>_xlfn.XLOOKUP(transakcje[[#This Row],[kategoria]],parametr[kategoria],parametr[typ])</f>
        <v>wydatki</v>
      </c>
      <c r="I2371" s="1">
        <f>ABS(transakcje[[#This Row],[kwota]])</f>
        <v>8.8079999999999998</v>
      </c>
    </row>
    <row r="2372" spans="1:9" x14ac:dyDescent="0.3">
      <c r="A2372">
        <v>2371</v>
      </c>
      <c r="B2372">
        <v>2018</v>
      </c>
      <c r="C2372">
        <v>2</v>
      </c>
      <c r="D2372">
        <v>27</v>
      </c>
      <c r="E2372" s="1">
        <v>-19.8</v>
      </c>
      <c r="F2372" t="s">
        <v>32</v>
      </c>
      <c r="G2372" t="str">
        <f>_xlfn.XLOOKUP(transakcje[[#This Row],[podkategoria]],parametr[podkategoria],parametr[kategoria])</f>
        <v>opłaty stałe</v>
      </c>
      <c r="H2372" t="str">
        <f>_xlfn.XLOOKUP(transakcje[[#This Row],[kategoria]],parametr[kategoria],parametr[typ])</f>
        <v>wydatki</v>
      </c>
      <c r="I2372" s="1">
        <f>ABS(transakcje[[#This Row],[kwota]])</f>
        <v>19.8</v>
      </c>
    </row>
    <row r="2373" spans="1:9" x14ac:dyDescent="0.3">
      <c r="A2373">
        <v>2372</v>
      </c>
      <c r="B2373">
        <v>2018</v>
      </c>
      <c r="C2373">
        <v>2</v>
      </c>
      <c r="D2373">
        <v>27</v>
      </c>
      <c r="E2373" s="1">
        <v>-1.3599999999999999</v>
      </c>
      <c r="F2373" t="s">
        <v>26</v>
      </c>
      <c r="G2373" t="str">
        <f>_xlfn.XLOOKUP(transakcje[[#This Row],[podkategoria]],parametr[podkategoria],parametr[kategoria])</f>
        <v>życie</v>
      </c>
      <c r="H2373" t="str">
        <f>_xlfn.XLOOKUP(transakcje[[#This Row],[kategoria]],parametr[kategoria],parametr[typ])</f>
        <v>wydatki</v>
      </c>
      <c r="I2373" s="1">
        <f>ABS(transakcje[[#This Row],[kwota]])</f>
        <v>1.3599999999999999</v>
      </c>
    </row>
    <row r="2374" spans="1:9" x14ac:dyDescent="0.3">
      <c r="A2374">
        <v>2373</v>
      </c>
      <c r="B2374">
        <v>2018</v>
      </c>
      <c r="C2374">
        <v>2</v>
      </c>
      <c r="D2374">
        <v>27</v>
      </c>
      <c r="E2374" s="1">
        <v>-1.56</v>
      </c>
      <c r="F2374" t="s">
        <v>26</v>
      </c>
      <c r="G2374" t="str">
        <f>_xlfn.XLOOKUP(transakcje[[#This Row],[podkategoria]],parametr[podkategoria],parametr[kategoria])</f>
        <v>życie</v>
      </c>
      <c r="H2374" t="str">
        <f>_xlfn.XLOOKUP(transakcje[[#This Row],[kategoria]],parametr[kategoria],parametr[typ])</f>
        <v>wydatki</v>
      </c>
      <c r="I2374" s="1">
        <f>ABS(transakcje[[#This Row],[kwota]])</f>
        <v>1.56</v>
      </c>
    </row>
    <row r="2375" spans="1:9" x14ac:dyDescent="0.3">
      <c r="A2375">
        <v>2374</v>
      </c>
      <c r="B2375">
        <v>2018</v>
      </c>
      <c r="C2375">
        <v>2</v>
      </c>
      <c r="D2375">
        <v>28</v>
      </c>
      <c r="E2375" s="1">
        <v>2E-3</v>
      </c>
      <c r="F2375" t="s">
        <v>17</v>
      </c>
      <c r="G2375" t="str">
        <f>_xlfn.XLOOKUP(transakcje[[#This Row],[podkategoria]],parametr[podkategoria],parametr[kategoria])</f>
        <v>dochody pozostałe</v>
      </c>
      <c r="H2375" t="str">
        <f>_xlfn.XLOOKUP(transakcje[[#This Row],[kategoria]],parametr[kategoria],parametr[typ])</f>
        <v>dochody</v>
      </c>
      <c r="I2375" s="1">
        <f>ABS(transakcje[[#This Row],[kwota]])</f>
        <v>2E-3</v>
      </c>
    </row>
    <row r="2376" spans="1:9" x14ac:dyDescent="0.3">
      <c r="A2376">
        <v>2375</v>
      </c>
      <c r="B2376">
        <v>2018</v>
      </c>
      <c r="C2376">
        <v>2</v>
      </c>
      <c r="D2376">
        <v>28</v>
      </c>
      <c r="E2376" s="1">
        <v>-2E-3</v>
      </c>
      <c r="F2376" t="s">
        <v>14</v>
      </c>
      <c r="G2376" t="str">
        <f>_xlfn.XLOOKUP(transakcje[[#This Row],[podkategoria]],parametr[podkategoria],parametr[kategoria])</f>
        <v>opłaty stałe</v>
      </c>
      <c r="H2376" t="str">
        <f>_xlfn.XLOOKUP(transakcje[[#This Row],[kategoria]],parametr[kategoria],parametr[typ])</f>
        <v>wydatki</v>
      </c>
      <c r="I2376" s="1">
        <f>ABS(transakcje[[#This Row],[kwota]])</f>
        <v>2E-3</v>
      </c>
    </row>
    <row r="2377" spans="1:9" x14ac:dyDescent="0.3">
      <c r="A2377">
        <v>2376</v>
      </c>
      <c r="B2377">
        <v>2018</v>
      </c>
      <c r="C2377">
        <v>2</v>
      </c>
      <c r="D2377">
        <v>28</v>
      </c>
      <c r="E2377" s="1">
        <v>-0.4</v>
      </c>
      <c r="F2377" t="s">
        <v>14</v>
      </c>
      <c r="G2377" t="str">
        <f>_xlfn.XLOOKUP(transakcje[[#This Row],[podkategoria]],parametr[podkategoria],parametr[kategoria])</f>
        <v>opłaty stałe</v>
      </c>
      <c r="H2377" t="str">
        <f>_xlfn.XLOOKUP(transakcje[[#This Row],[kategoria]],parametr[kategoria],parametr[typ])</f>
        <v>wydatki</v>
      </c>
      <c r="I2377" s="1">
        <f>ABS(transakcje[[#This Row],[kwota]])</f>
        <v>0.4</v>
      </c>
    </row>
    <row r="2378" spans="1:9" x14ac:dyDescent="0.3">
      <c r="A2378">
        <v>2377</v>
      </c>
      <c r="B2378">
        <v>2018</v>
      </c>
      <c r="C2378">
        <v>2</v>
      </c>
      <c r="D2378">
        <v>28</v>
      </c>
      <c r="E2378" s="1">
        <v>-1.198</v>
      </c>
      <c r="F2378" t="s">
        <v>14</v>
      </c>
      <c r="G2378" t="str">
        <f>_xlfn.XLOOKUP(transakcje[[#This Row],[podkategoria]],parametr[podkategoria],parametr[kategoria])</f>
        <v>opłaty stałe</v>
      </c>
      <c r="H2378" t="str">
        <f>_xlfn.XLOOKUP(transakcje[[#This Row],[kategoria]],parametr[kategoria],parametr[typ])</f>
        <v>wydatki</v>
      </c>
      <c r="I2378" s="1">
        <f>ABS(transakcje[[#This Row],[kwota]])</f>
        <v>1.198</v>
      </c>
    </row>
    <row r="2379" spans="1:9" x14ac:dyDescent="0.3">
      <c r="A2379">
        <v>2378</v>
      </c>
      <c r="B2379">
        <v>2018</v>
      </c>
      <c r="C2379">
        <v>3</v>
      </c>
      <c r="D2379">
        <v>1</v>
      </c>
      <c r="E2379" s="1">
        <v>-10.501999999999999</v>
      </c>
      <c r="F2379" t="s">
        <v>26</v>
      </c>
      <c r="G2379" t="str">
        <f>_xlfn.XLOOKUP(transakcje[[#This Row],[podkategoria]],parametr[podkategoria],parametr[kategoria])</f>
        <v>życie</v>
      </c>
      <c r="H2379" t="str">
        <f>_xlfn.XLOOKUP(transakcje[[#This Row],[kategoria]],parametr[kategoria],parametr[typ])</f>
        <v>wydatki</v>
      </c>
      <c r="I2379" s="1">
        <f>ABS(transakcje[[#This Row],[kwota]])</f>
        <v>10.501999999999999</v>
      </c>
    </row>
    <row r="2380" spans="1:9" x14ac:dyDescent="0.3">
      <c r="A2380">
        <v>2379</v>
      </c>
      <c r="B2380">
        <v>2018</v>
      </c>
      <c r="C2380">
        <v>3</v>
      </c>
      <c r="D2380">
        <v>2</v>
      </c>
      <c r="E2380" s="1">
        <v>-7.7879999999999994</v>
      </c>
      <c r="F2380" t="s">
        <v>26</v>
      </c>
      <c r="G2380" t="str">
        <f>_xlfn.XLOOKUP(transakcje[[#This Row],[podkategoria]],parametr[podkategoria],parametr[kategoria])</f>
        <v>życie</v>
      </c>
      <c r="H2380" t="str">
        <f>_xlfn.XLOOKUP(transakcje[[#This Row],[kategoria]],parametr[kategoria],parametr[typ])</f>
        <v>wydatki</v>
      </c>
      <c r="I2380" s="1">
        <f>ABS(transakcje[[#This Row],[kwota]])</f>
        <v>7.7879999999999994</v>
      </c>
    </row>
    <row r="2381" spans="1:9" x14ac:dyDescent="0.3">
      <c r="A2381">
        <v>2380</v>
      </c>
      <c r="B2381">
        <v>2018</v>
      </c>
      <c r="C2381">
        <v>3</v>
      </c>
      <c r="D2381">
        <v>3</v>
      </c>
      <c r="E2381" s="1">
        <v>-7.38</v>
      </c>
      <c r="F2381" t="s">
        <v>23</v>
      </c>
      <c r="G2381" t="str">
        <f>_xlfn.XLOOKUP(transakcje[[#This Row],[podkategoria]],parametr[podkategoria],parametr[kategoria])</f>
        <v>opłaty stałe</v>
      </c>
      <c r="H2381" t="str">
        <f>_xlfn.XLOOKUP(transakcje[[#This Row],[kategoria]],parametr[kategoria],parametr[typ])</f>
        <v>wydatki</v>
      </c>
      <c r="I2381" s="1">
        <f>ABS(transakcje[[#This Row],[kwota]])</f>
        <v>7.38</v>
      </c>
    </row>
    <row r="2382" spans="1:9" x14ac:dyDescent="0.3">
      <c r="A2382">
        <v>2381</v>
      </c>
      <c r="B2382">
        <v>2018</v>
      </c>
      <c r="C2382">
        <v>3</v>
      </c>
      <c r="D2382">
        <v>3</v>
      </c>
      <c r="E2382" s="1">
        <v>-5.8</v>
      </c>
      <c r="F2382" t="s">
        <v>25</v>
      </c>
      <c r="G2382" t="str">
        <f>_xlfn.XLOOKUP(transakcje[[#This Row],[podkategoria]],parametr[podkategoria],parametr[kategoria])</f>
        <v>opłaty stałe</v>
      </c>
      <c r="H2382" t="str">
        <f>_xlfn.XLOOKUP(transakcje[[#This Row],[kategoria]],parametr[kategoria],parametr[typ])</f>
        <v>wydatki</v>
      </c>
      <c r="I2382" s="1">
        <f>ABS(transakcje[[#This Row],[kwota]])</f>
        <v>5.8</v>
      </c>
    </row>
    <row r="2383" spans="1:9" x14ac:dyDescent="0.3">
      <c r="A2383">
        <v>2382</v>
      </c>
      <c r="B2383">
        <v>2018</v>
      </c>
      <c r="C2383">
        <v>3</v>
      </c>
      <c r="D2383">
        <v>3</v>
      </c>
      <c r="E2383" s="1">
        <v>-15.222</v>
      </c>
      <c r="F2383" t="s">
        <v>34</v>
      </c>
      <c r="G2383" t="str">
        <f>_xlfn.XLOOKUP(transakcje[[#This Row],[podkategoria]],parametr[podkategoria],parametr[kategoria])</f>
        <v>opłaty stałe</v>
      </c>
      <c r="H2383" t="str">
        <f>_xlfn.XLOOKUP(transakcje[[#This Row],[kategoria]],parametr[kategoria],parametr[typ])</f>
        <v>wydatki</v>
      </c>
      <c r="I2383" s="1">
        <f>ABS(transakcje[[#This Row],[kwota]])</f>
        <v>15.222</v>
      </c>
    </row>
    <row r="2384" spans="1:9" x14ac:dyDescent="0.3">
      <c r="A2384">
        <v>2383</v>
      </c>
      <c r="B2384">
        <v>2018</v>
      </c>
      <c r="C2384">
        <v>3</v>
      </c>
      <c r="D2384">
        <v>3</v>
      </c>
      <c r="E2384" s="1">
        <v>-23.48</v>
      </c>
      <c r="F2384" t="s">
        <v>11</v>
      </c>
      <c r="G2384" t="str">
        <f>_xlfn.XLOOKUP(transakcje[[#This Row],[podkategoria]],parametr[podkategoria],parametr[kategoria])</f>
        <v>wydatki inne</v>
      </c>
      <c r="H2384" t="str">
        <f>_xlfn.XLOOKUP(transakcje[[#This Row],[kategoria]],parametr[kategoria],parametr[typ])</f>
        <v>wydatki</v>
      </c>
      <c r="I2384" s="1">
        <f>ABS(transakcje[[#This Row],[kwota]])</f>
        <v>23.48</v>
      </c>
    </row>
    <row r="2385" spans="1:9" x14ac:dyDescent="0.3">
      <c r="A2385">
        <v>2384</v>
      </c>
      <c r="B2385">
        <v>2018</v>
      </c>
      <c r="C2385">
        <v>3</v>
      </c>
      <c r="D2385">
        <v>3</v>
      </c>
      <c r="E2385" s="1">
        <v>-68.489999999999995</v>
      </c>
      <c r="F2385" t="s">
        <v>31</v>
      </c>
      <c r="G2385" t="str">
        <f>_xlfn.XLOOKUP(transakcje[[#This Row],[podkategoria]],parametr[podkategoria],parametr[kategoria])</f>
        <v>opłaty stałe</v>
      </c>
      <c r="H2385" t="str">
        <f>_xlfn.XLOOKUP(transakcje[[#This Row],[kategoria]],parametr[kategoria],parametr[typ])</f>
        <v>wydatki</v>
      </c>
      <c r="I2385" s="1">
        <f>ABS(transakcje[[#This Row],[kwota]])</f>
        <v>68.489999999999995</v>
      </c>
    </row>
    <row r="2386" spans="1:9" x14ac:dyDescent="0.3">
      <c r="A2386">
        <v>2385</v>
      </c>
      <c r="B2386">
        <v>2018</v>
      </c>
      <c r="C2386">
        <v>3</v>
      </c>
      <c r="D2386">
        <v>3</v>
      </c>
      <c r="E2386" s="1">
        <v>-6.34</v>
      </c>
      <c r="F2386" t="s">
        <v>35</v>
      </c>
      <c r="G2386" t="str">
        <f>_xlfn.XLOOKUP(transakcje[[#This Row],[podkategoria]],parametr[podkategoria],parametr[kategoria])</f>
        <v>opłaty stałe</v>
      </c>
      <c r="H2386" t="str">
        <f>_xlfn.XLOOKUP(transakcje[[#This Row],[kategoria]],parametr[kategoria],parametr[typ])</f>
        <v>wydatki</v>
      </c>
      <c r="I2386" s="1">
        <f>ABS(transakcje[[#This Row],[kwota]])</f>
        <v>6.34</v>
      </c>
    </row>
    <row r="2387" spans="1:9" x14ac:dyDescent="0.3">
      <c r="A2387">
        <v>2386</v>
      </c>
      <c r="B2387">
        <v>2018</v>
      </c>
      <c r="C2387">
        <v>3</v>
      </c>
      <c r="D2387">
        <v>6</v>
      </c>
      <c r="E2387" s="1">
        <v>-1.4220000000000002</v>
      </c>
      <c r="F2387" t="s">
        <v>26</v>
      </c>
      <c r="G2387" t="str">
        <f>_xlfn.XLOOKUP(transakcje[[#This Row],[podkategoria]],parametr[podkategoria],parametr[kategoria])</f>
        <v>życie</v>
      </c>
      <c r="H2387" t="str">
        <f>_xlfn.XLOOKUP(transakcje[[#This Row],[kategoria]],parametr[kategoria],parametr[typ])</f>
        <v>wydatki</v>
      </c>
      <c r="I2387" s="1">
        <f>ABS(transakcje[[#This Row],[kwota]])</f>
        <v>1.4220000000000002</v>
      </c>
    </row>
    <row r="2388" spans="1:9" x14ac:dyDescent="0.3">
      <c r="A2388">
        <v>2387</v>
      </c>
      <c r="B2388">
        <v>2018</v>
      </c>
      <c r="C2388">
        <v>3</v>
      </c>
      <c r="D2388">
        <v>7</v>
      </c>
      <c r="E2388" s="1">
        <v>-9.4659999999999993</v>
      </c>
      <c r="F2388" t="s">
        <v>26</v>
      </c>
      <c r="G2388" t="str">
        <f>_xlfn.XLOOKUP(transakcje[[#This Row],[podkategoria]],parametr[podkategoria],parametr[kategoria])</f>
        <v>życie</v>
      </c>
      <c r="H2388" t="str">
        <f>_xlfn.XLOOKUP(transakcje[[#This Row],[kategoria]],parametr[kategoria],parametr[typ])</f>
        <v>wydatki</v>
      </c>
      <c r="I2388" s="1">
        <f>ABS(transakcje[[#This Row],[kwota]])</f>
        <v>9.4659999999999993</v>
      </c>
    </row>
    <row r="2389" spans="1:9" x14ac:dyDescent="0.3">
      <c r="A2389">
        <v>2388</v>
      </c>
      <c r="B2389">
        <v>2018</v>
      </c>
      <c r="C2389">
        <v>3</v>
      </c>
      <c r="D2389">
        <v>7</v>
      </c>
      <c r="E2389" s="1">
        <v>-0.27</v>
      </c>
      <c r="F2389" t="s">
        <v>26</v>
      </c>
      <c r="G2389" t="str">
        <f>_xlfn.XLOOKUP(transakcje[[#This Row],[podkategoria]],parametr[podkategoria],parametr[kategoria])</f>
        <v>życie</v>
      </c>
      <c r="H2389" t="str">
        <f>_xlfn.XLOOKUP(transakcje[[#This Row],[kategoria]],parametr[kategoria],parametr[typ])</f>
        <v>wydatki</v>
      </c>
      <c r="I2389" s="1">
        <f>ABS(transakcje[[#This Row],[kwota]])</f>
        <v>0.27</v>
      </c>
    </row>
    <row r="2390" spans="1:9" x14ac:dyDescent="0.3">
      <c r="A2390">
        <v>2389</v>
      </c>
      <c r="B2390">
        <v>2018</v>
      </c>
      <c r="C2390">
        <v>3</v>
      </c>
      <c r="D2390">
        <v>9</v>
      </c>
      <c r="E2390" s="1">
        <v>-4.1579999999999995</v>
      </c>
      <c r="F2390" t="s">
        <v>26</v>
      </c>
      <c r="G2390" t="str">
        <f>_xlfn.XLOOKUP(transakcje[[#This Row],[podkategoria]],parametr[podkategoria],parametr[kategoria])</f>
        <v>życie</v>
      </c>
      <c r="H2390" t="str">
        <f>_xlfn.XLOOKUP(transakcje[[#This Row],[kategoria]],parametr[kategoria],parametr[typ])</f>
        <v>wydatki</v>
      </c>
      <c r="I2390" s="1">
        <f>ABS(transakcje[[#This Row],[kwota]])</f>
        <v>4.1579999999999995</v>
      </c>
    </row>
    <row r="2391" spans="1:9" x14ac:dyDescent="0.3">
      <c r="A2391">
        <v>2390</v>
      </c>
      <c r="B2391">
        <v>2018</v>
      </c>
      <c r="C2391">
        <v>3</v>
      </c>
      <c r="D2391">
        <v>14</v>
      </c>
      <c r="E2391" s="1">
        <v>-0.39800000000000002</v>
      </c>
      <c r="F2391" t="s">
        <v>14</v>
      </c>
      <c r="G2391" t="str">
        <f>_xlfn.XLOOKUP(transakcje[[#This Row],[podkategoria]],parametr[podkategoria],parametr[kategoria])</f>
        <v>opłaty stałe</v>
      </c>
      <c r="H2391" t="str">
        <f>_xlfn.XLOOKUP(transakcje[[#This Row],[kategoria]],parametr[kategoria],parametr[typ])</f>
        <v>wydatki</v>
      </c>
      <c r="I2391" s="1">
        <f>ABS(transakcje[[#This Row],[kwota]])</f>
        <v>0.39800000000000002</v>
      </c>
    </row>
    <row r="2392" spans="1:9" x14ac:dyDescent="0.3">
      <c r="A2392">
        <v>2391</v>
      </c>
      <c r="B2392">
        <v>2018</v>
      </c>
      <c r="C2392">
        <v>3</v>
      </c>
      <c r="D2392">
        <v>14</v>
      </c>
      <c r="E2392" s="1">
        <v>-5.1920000000000002</v>
      </c>
      <c r="F2392" t="s">
        <v>26</v>
      </c>
      <c r="G2392" t="str">
        <f>_xlfn.XLOOKUP(transakcje[[#This Row],[podkategoria]],parametr[podkategoria],parametr[kategoria])</f>
        <v>życie</v>
      </c>
      <c r="H2392" t="str">
        <f>_xlfn.XLOOKUP(transakcje[[#This Row],[kategoria]],parametr[kategoria],parametr[typ])</f>
        <v>wydatki</v>
      </c>
      <c r="I2392" s="1">
        <f>ABS(transakcje[[#This Row],[kwota]])</f>
        <v>5.1920000000000002</v>
      </c>
    </row>
    <row r="2393" spans="1:9" x14ac:dyDescent="0.3">
      <c r="A2393">
        <v>2392</v>
      </c>
      <c r="B2393">
        <v>2018</v>
      </c>
      <c r="C2393">
        <v>3</v>
      </c>
      <c r="D2393">
        <v>15</v>
      </c>
      <c r="E2393" s="1">
        <v>-4.1880000000000006</v>
      </c>
      <c r="F2393" t="s">
        <v>26</v>
      </c>
      <c r="G2393" t="str">
        <f>_xlfn.XLOOKUP(transakcje[[#This Row],[podkategoria]],parametr[podkategoria],parametr[kategoria])</f>
        <v>życie</v>
      </c>
      <c r="H2393" t="str">
        <f>_xlfn.XLOOKUP(transakcje[[#This Row],[kategoria]],parametr[kategoria],parametr[typ])</f>
        <v>wydatki</v>
      </c>
      <c r="I2393" s="1">
        <f>ABS(transakcje[[#This Row],[kwota]])</f>
        <v>4.1880000000000006</v>
      </c>
    </row>
    <row r="2394" spans="1:9" x14ac:dyDescent="0.3">
      <c r="A2394">
        <v>2393</v>
      </c>
      <c r="B2394">
        <v>2018</v>
      </c>
      <c r="C2394">
        <v>3</v>
      </c>
      <c r="D2394">
        <v>16</v>
      </c>
      <c r="E2394" s="1">
        <v>-9.7919999999999998</v>
      </c>
      <c r="F2394" t="s">
        <v>26</v>
      </c>
      <c r="G2394" t="str">
        <f>_xlfn.XLOOKUP(transakcje[[#This Row],[podkategoria]],parametr[podkategoria],parametr[kategoria])</f>
        <v>życie</v>
      </c>
      <c r="H2394" t="str">
        <f>_xlfn.XLOOKUP(transakcje[[#This Row],[kategoria]],parametr[kategoria],parametr[typ])</f>
        <v>wydatki</v>
      </c>
      <c r="I2394" s="1">
        <f>ABS(transakcje[[#This Row],[kwota]])</f>
        <v>9.7919999999999998</v>
      </c>
    </row>
    <row r="2395" spans="1:9" x14ac:dyDescent="0.3">
      <c r="A2395">
        <v>2394</v>
      </c>
      <c r="B2395">
        <v>2018</v>
      </c>
      <c r="C2395">
        <v>3</v>
      </c>
      <c r="D2395">
        <v>20</v>
      </c>
      <c r="E2395" s="1">
        <v>-2.0819999999999999</v>
      </c>
      <c r="F2395" t="s">
        <v>26</v>
      </c>
      <c r="G2395" t="str">
        <f>_xlfn.XLOOKUP(transakcje[[#This Row],[podkategoria]],parametr[podkategoria],parametr[kategoria])</f>
        <v>życie</v>
      </c>
      <c r="H2395" t="str">
        <f>_xlfn.XLOOKUP(transakcje[[#This Row],[kategoria]],parametr[kategoria],parametr[typ])</f>
        <v>wydatki</v>
      </c>
      <c r="I2395" s="1">
        <f>ABS(transakcje[[#This Row],[kwota]])</f>
        <v>2.0819999999999999</v>
      </c>
    </row>
    <row r="2396" spans="1:9" x14ac:dyDescent="0.3">
      <c r="A2396">
        <v>2395</v>
      </c>
      <c r="B2396">
        <v>2018</v>
      </c>
      <c r="C2396">
        <v>3</v>
      </c>
      <c r="D2396">
        <v>20</v>
      </c>
      <c r="E2396" s="1">
        <v>-1.218</v>
      </c>
      <c r="F2396" t="s">
        <v>26</v>
      </c>
      <c r="G2396" t="str">
        <f>_xlfn.XLOOKUP(transakcje[[#This Row],[podkategoria]],parametr[podkategoria],parametr[kategoria])</f>
        <v>życie</v>
      </c>
      <c r="H2396" t="str">
        <f>_xlfn.XLOOKUP(transakcje[[#This Row],[kategoria]],parametr[kategoria],parametr[typ])</f>
        <v>wydatki</v>
      </c>
      <c r="I2396" s="1">
        <f>ABS(transakcje[[#This Row],[kwota]])</f>
        <v>1.218</v>
      </c>
    </row>
    <row r="2397" spans="1:9" x14ac:dyDescent="0.3">
      <c r="A2397">
        <v>2396</v>
      </c>
      <c r="B2397">
        <v>2018</v>
      </c>
      <c r="C2397">
        <v>3</v>
      </c>
      <c r="D2397">
        <v>21</v>
      </c>
      <c r="E2397" s="1">
        <v>-5.7080000000000002</v>
      </c>
      <c r="F2397" t="s">
        <v>26</v>
      </c>
      <c r="G2397" t="str">
        <f>_xlfn.XLOOKUP(transakcje[[#This Row],[podkategoria]],parametr[podkategoria],parametr[kategoria])</f>
        <v>życie</v>
      </c>
      <c r="H2397" t="str">
        <f>_xlfn.XLOOKUP(transakcje[[#This Row],[kategoria]],parametr[kategoria],parametr[typ])</f>
        <v>wydatki</v>
      </c>
      <c r="I2397" s="1">
        <f>ABS(transakcje[[#This Row],[kwota]])</f>
        <v>5.7080000000000002</v>
      </c>
    </row>
    <row r="2398" spans="1:9" x14ac:dyDescent="0.3">
      <c r="A2398">
        <v>2397</v>
      </c>
      <c r="B2398">
        <v>2018</v>
      </c>
      <c r="C2398">
        <v>3</v>
      </c>
      <c r="D2398">
        <v>26</v>
      </c>
      <c r="E2398" s="1">
        <v>-3.996</v>
      </c>
      <c r="F2398" t="s">
        <v>26</v>
      </c>
      <c r="G2398" t="str">
        <f>_xlfn.XLOOKUP(transakcje[[#This Row],[podkategoria]],parametr[podkategoria],parametr[kategoria])</f>
        <v>życie</v>
      </c>
      <c r="H2398" t="str">
        <f>_xlfn.XLOOKUP(transakcje[[#This Row],[kategoria]],parametr[kategoria],parametr[typ])</f>
        <v>wydatki</v>
      </c>
      <c r="I2398" s="1">
        <f>ABS(transakcje[[#This Row],[kwota]])</f>
        <v>3.996</v>
      </c>
    </row>
    <row r="2399" spans="1:9" x14ac:dyDescent="0.3">
      <c r="A2399">
        <v>2398</v>
      </c>
      <c r="B2399">
        <v>2018</v>
      </c>
      <c r="C2399">
        <v>3</v>
      </c>
      <c r="D2399">
        <v>26</v>
      </c>
      <c r="E2399" s="1">
        <v>554.77800000000002</v>
      </c>
      <c r="F2399" t="s">
        <v>8</v>
      </c>
      <c r="G2399" t="str">
        <f>_xlfn.XLOOKUP(transakcje[[#This Row],[podkategoria]],parametr[podkategoria],parametr[kategoria])</f>
        <v>dochody z pracy</v>
      </c>
      <c r="H2399" t="str">
        <f>_xlfn.XLOOKUP(transakcje[[#This Row],[kategoria]],parametr[kategoria],parametr[typ])</f>
        <v>dochody</v>
      </c>
      <c r="I2399" s="1">
        <f>ABS(transakcje[[#This Row],[kwota]])</f>
        <v>554.77800000000002</v>
      </c>
    </row>
    <row r="2400" spans="1:9" x14ac:dyDescent="0.3">
      <c r="A2400">
        <v>2399</v>
      </c>
      <c r="B2400">
        <v>2018</v>
      </c>
      <c r="C2400">
        <v>3</v>
      </c>
      <c r="D2400">
        <v>26</v>
      </c>
      <c r="E2400" s="1">
        <v>-3.496</v>
      </c>
      <c r="F2400" t="s">
        <v>26</v>
      </c>
      <c r="G2400" t="str">
        <f>_xlfn.XLOOKUP(transakcje[[#This Row],[podkategoria]],parametr[podkategoria],parametr[kategoria])</f>
        <v>życie</v>
      </c>
      <c r="H2400" t="str">
        <f>_xlfn.XLOOKUP(transakcje[[#This Row],[kategoria]],parametr[kategoria],parametr[typ])</f>
        <v>wydatki</v>
      </c>
      <c r="I2400" s="1">
        <f>ABS(transakcje[[#This Row],[kwota]])</f>
        <v>3.496</v>
      </c>
    </row>
    <row r="2401" spans="1:9" x14ac:dyDescent="0.3">
      <c r="A2401">
        <v>2400</v>
      </c>
      <c r="B2401">
        <v>2018</v>
      </c>
      <c r="C2401">
        <v>3</v>
      </c>
      <c r="D2401">
        <v>27</v>
      </c>
      <c r="E2401" s="1">
        <v>-19.8</v>
      </c>
      <c r="F2401" t="s">
        <v>32</v>
      </c>
      <c r="G2401" t="str">
        <f>_xlfn.XLOOKUP(transakcje[[#This Row],[podkategoria]],parametr[podkategoria],parametr[kategoria])</f>
        <v>opłaty stałe</v>
      </c>
      <c r="H2401" t="str">
        <f>_xlfn.XLOOKUP(transakcje[[#This Row],[kategoria]],parametr[kategoria],parametr[typ])</f>
        <v>wydatki</v>
      </c>
      <c r="I2401" s="1">
        <f>ABS(transakcje[[#This Row],[kwota]])</f>
        <v>19.8</v>
      </c>
    </row>
    <row r="2402" spans="1:9" x14ac:dyDescent="0.3">
      <c r="A2402">
        <v>2401</v>
      </c>
      <c r="B2402">
        <v>2018</v>
      </c>
      <c r="C2402">
        <v>3</v>
      </c>
      <c r="D2402">
        <v>27</v>
      </c>
      <c r="E2402" s="1">
        <v>-1</v>
      </c>
      <c r="F2402" t="s">
        <v>11</v>
      </c>
      <c r="G2402" t="str">
        <f>_xlfn.XLOOKUP(transakcje[[#This Row],[podkategoria]],parametr[podkategoria],parametr[kategoria])</f>
        <v>wydatki inne</v>
      </c>
      <c r="H2402" t="str">
        <f>_xlfn.XLOOKUP(transakcje[[#This Row],[kategoria]],parametr[kategoria],parametr[typ])</f>
        <v>wydatki</v>
      </c>
      <c r="I2402" s="1">
        <f>ABS(transakcje[[#This Row],[kwota]])</f>
        <v>1</v>
      </c>
    </row>
    <row r="2403" spans="1:9" x14ac:dyDescent="0.3">
      <c r="A2403">
        <v>2402</v>
      </c>
      <c r="B2403">
        <v>2018</v>
      </c>
      <c r="C2403">
        <v>3</v>
      </c>
      <c r="D2403">
        <v>28</v>
      </c>
      <c r="E2403" s="1">
        <v>-2.5499999999999998</v>
      </c>
      <c r="F2403" t="s">
        <v>26</v>
      </c>
      <c r="G2403" t="str">
        <f>_xlfn.XLOOKUP(transakcje[[#This Row],[podkategoria]],parametr[podkategoria],parametr[kategoria])</f>
        <v>życie</v>
      </c>
      <c r="H2403" t="str">
        <f>_xlfn.XLOOKUP(transakcje[[#This Row],[kategoria]],parametr[kategoria],parametr[typ])</f>
        <v>wydatki</v>
      </c>
      <c r="I2403" s="1">
        <f>ABS(transakcje[[#This Row],[kwota]])</f>
        <v>2.5499999999999998</v>
      </c>
    </row>
    <row r="2404" spans="1:9" x14ac:dyDescent="0.3">
      <c r="A2404">
        <v>2403</v>
      </c>
      <c r="B2404">
        <v>2018</v>
      </c>
      <c r="C2404">
        <v>3</v>
      </c>
      <c r="D2404">
        <v>31</v>
      </c>
      <c r="E2404" s="1">
        <v>-0.4</v>
      </c>
      <c r="F2404" t="s">
        <v>14</v>
      </c>
      <c r="G2404" t="str">
        <f>_xlfn.XLOOKUP(transakcje[[#This Row],[podkategoria]],parametr[podkategoria],parametr[kategoria])</f>
        <v>opłaty stałe</v>
      </c>
      <c r="H2404" t="str">
        <f>_xlfn.XLOOKUP(transakcje[[#This Row],[kategoria]],parametr[kategoria],parametr[typ])</f>
        <v>wydatki</v>
      </c>
      <c r="I2404" s="1">
        <f>ABS(transakcje[[#This Row],[kwota]])</f>
        <v>0.4</v>
      </c>
    </row>
    <row r="2405" spans="1:9" x14ac:dyDescent="0.3">
      <c r="A2405">
        <v>2404</v>
      </c>
      <c r="B2405">
        <v>2018</v>
      </c>
      <c r="C2405">
        <v>3</v>
      </c>
      <c r="D2405">
        <v>31</v>
      </c>
      <c r="E2405" s="1">
        <v>2E-3</v>
      </c>
      <c r="F2405" t="s">
        <v>17</v>
      </c>
      <c r="G2405" t="str">
        <f>_xlfn.XLOOKUP(transakcje[[#This Row],[podkategoria]],parametr[podkategoria],parametr[kategoria])</f>
        <v>dochody pozostałe</v>
      </c>
      <c r="H2405" t="str">
        <f>_xlfn.XLOOKUP(transakcje[[#This Row],[kategoria]],parametr[kategoria],parametr[typ])</f>
        <v>dochody</v>
      </c>
      <c r="I2405" s="1">
        <f>ABS(transakcje[[#This Row],[kwota]])</f>
        <v>2E-3</v>
      </c>
    </row>
    <row r="2406" spans="1:9" x14ac:dyDescent="0.3">
      <c r="A2406">
        <v>2405</v>
      </c>
      <c r="B2406">
        <v>2018</v>
      </c>
      <c r="C2406">
        <v>3</v>
      </c>
      <c r="D2406">
        <v>31</v>
      </c>
      <c r="E2406" s="1">
        <v>-2E-3</v>
      </c>
      <c r="F2406" t="s">
        <v>14</v>
      </c>
      <c r="G2406" t="str">
        <f>_xlfn.XLOOKUP(transakcje[[#This Row],[podkategoria]],parametr[podkategoria],parametr[kategoria])</f>
        <v>opłaty stałe</v>
      </c>
      <c r="H2406" t="str">
        <f>_xlfn.XLOOKUP(transakcje[[#This Row],[kategoria]],parametr[kategoria],parametr[typ])</f>
        <v>wydatki</v>
      </c>
      <c r="I2406" s="1">
        <f>ABS(transakcje[[#This Row],[kwota]])</f>
        <v>2E-3</v>
      </c>
    </row>
    <row r="2407" spans="1:9" x14ac:dyDescent="0.3">
      <c r="A2407">
        <v>2406</v>
      </c>
      <c r="B2407">
        <v>2018</v>
      </c>
      <c r="C2407">
        <v>3</v>
      </c>
      <c r="D2407">
        <v>31</v>
      </c>
      <c r="E2407" s="1">
        <v>-1.198</v>
      </c>
      <c r="F2407" t="s">
        <v>14</v>
      </c>
      <c r="G2407" t="str">
        <f>_xlfn.XLOOKUP(transakcje[[#This Row],[podkategoria]],parametr[podkategoria],parametr[kategoria])</f>
        <v>opłaty stałe</v>
      </c>
      <c r="H2407" t="str">
        <f>_xlfn.XLOOKUP(transakcje[[#This Row],[kategoria]],parametr[kategoria],parametr[typ])</f>
        <v>wydatki</v>
      </c>
      <c r="I2407" s="1">
        <f>ABS(transakcje[[#This Row],[kwota]])</f>
        <v>1.198</v>
      </c>
    </row>
    <row r="2408" spans="1:9" x14ac:dyDescent="0.3">
      <c r="A2408">
        <v>2407</v>
      </c>
      <c r="B2408">
        <v>2018</v>
      </c>
      <c r="C2408">
        <v>4</v>
      </c>
      <c r="D2408">
        <v>4</v>
      </c>
      <c r="E2408" s="1">
        <v>-5.8</v>
      </c>
      <c r="F2408" t="s">
        <v>25</v>
      </c>
      <c r="G2408" t="str">
        <f>_xlfn.XLOOKUP(transakcje[[#This Row],[podkategoria]],parametr[podkategoria],parametr[kategoria])</f>
        <v>opłaty stałe</v>
      </c>
      <c r="H2408" t="str">
        <f>_xlfn.XLOOKUP(transakcje[[#This Row],[kategoria]],parametr[kategoria],parametr[typ])</f>
        <v>wydatki</v>
      </c>
      <c r="I2408" s="1">
        <f>ABS(transakcje[[#This Row],[kwota]])</f>
        <v>5.8</v>
      </c>
    </row>
    <row r="2409" spans="1:9" x14ac:dyDescent="0.3">
      <c r="A2409">
        <v>2408</v>
      </c>
      <c r="B2409">
        <v>2018</v>
      </c>
      <c r="C2409">
        <v>4</v>
      </c>
      <c r="D2409">
        <v>4</v>
      </c>
      <c r="E2409" s="1">
        <v>-68.489999999999995</v>
      </c>
      <c r="F2409" t="s">
        <v>31</v>
      </c>
      <c r="G2409" t="str">
        <f>_xlfn.XLOOKUP(transakcje[[#This Row],[podkategoria]],parametr[podkategoria],parametr[kategoria])</f>
        <v>opłaty stałe</v>
      </c>
      <c r="H2409" t="str">
        <f>_xlfn.XLOOKUP(transakcje[[#This Row],[kategoria]],parametr[kategoria],parametr[typ])</f>
        <v>wydatki</v>
      </c>
      <c r="I2409" s="1">
        <f>ABS(transakcje[[#This Row],[kwota]])</f>
        <v>68.489999999999995</v>
      </c>
    </row>
    <row r="2410" spans="1:9" x14ac:dyDescent="0.3">
      <c r="A2410">
        <v>2409</v>
      </c>
      <c r="B2410">
        <v>2018</v>
      </c>
      <c r="C2410">
        <v>4</v>
      </c>
      <c r="D2410">
        <v>4</v>
      </c>
      <c r="E2410" s="1">
        <v>-7.38</v>
      </c>
      <c r="F2410" t="s">
        <v>23</v>
      </c>
      <c r="G2410" t="str">
        <f>_xlfn.XLOOKUP(transakcje[[#This Row],[podkategoria]],parametr[podkategoria],parametr[kategoria])</f>
        <v>opłaty stałe</v>
      </c>
      <c r="H2410" t="str">
        <f>_xlfn.XLOOKUP(transakcje[[#This Row],[kategoria]],parametr[kategoria],parametr[typ])</f>
        <v>wydatki</v>
      </c>
      <c r="I2410" s="1">
        <f>ABS(transakcje[[#This Row],[kwota]])</f>
        <v>7.38</v>
      </c>
    </row>
    <row r="2411" spans="1:9" x14ac:dyDescent="0.3">
      <c r="A2411">
        <v>2410</v>
      </c>
      <c r="B2411">
        <v>2018</v>
      </c>
      <c r="C2411">
        <v>4</v>
      </c>
      <c r="D2411">
        <v>4</v>
      </c>
      <c r="E2411" s="1">
        <v>-53.091999999999999</v>
      </c>
      <c r="F2411" t="s">
        <v>26</v>
      </c>
      <c r="G2411" t="str">
        <f>_xlfn.XLOOKUP(transakcje[[#This Row],[podkategoria]],parametr[podkategoria],parametr[kategoria])</f>
        <v>życie</v>
      </c>
      <c r="H2411" t="str">
        <f>_xlfn.XLOOKUP(transakcje[[#This Row],[kategoria]],parametr[kategoria],parametr[typ])</f>
        <v>wydatki</v>
      </c>
      <c r="I2411" s="1">
        <f>ABS(transakcje[[#This Row],[kwota]])</f>
        <v>53.091999999999999</v>
      </c>
    </row>
    <row r="2412" spans="1:9" x14ac:dyDescent="0.3">
      <c r="A2412">
        <v>2411</v>
      </c>
      <c r="B2412">
        <v>2018</v>
      </c>
      <c r="C2412">
        <v>4</v>
      </c>
      <c r="D2412">
        <v>5</v>
      </c>
      <c r="E2412" s="1">
        <v>1.2</v>
      </c>
      <c r="F2412" t="s">
        <v>16</v>
      </c>
      <c r="G2412" t="str">
        <f>_xlfn.XLOOKUP(transakcje[[#This Row],[podkategoria]],parametr[podkategoria],parametr[kategoria])</f>
        <v>dochody z pracy</v>
      </c>
      <c r="H2412" t="str">
        <f>_xlfn.XLOOKUP(transakcje[[#This Row],[kategoria]],parametr[kategoria],parametr[typ])</f>
        <v>dochody</v>
      </c>
      <c r="I2412" s="1">
        <f>ABS(transakcje[[#This Row],[kwota]])</f>
        <v>1.2</v>
      </c>
    </row>
    <row r="2413" spans="1:9" x14ac:dyDescent="0.3">
      <c r="A2413">
        <v>2412</v>
      </c>
      <c r="B2413">
        <v>2018</v>
      </c>
      <c r="C2413">
        <v>4</v>
      </c>
      <c r="D2413">
        <v>7</v>
      </c>
      <c r="E2413" s="1">
        <v>-6.7379999999999995</v>
      </c>
      <c r="F2413" t="s">
        <v>20</v>
      </c>
      <c r="G2413" t="str">
        <f>_xlfn.XLOOKUP(transakcje[[#This Row],[podkategoria]],parametr[podkategoria],parametr[kategoria])</f>
        <v>trwałe</v>
      </c>
      <c r="H2413" t="str">
        <f>_xlfn.XLOOKUP(transakcje[[#This Row],[kategoria]],parametr[kategoria],parametr[typ])</f>
        <v>wydatki</v>
      </c>
      <c r="I2413" s="1">
        <f>ABS(transakcje[[#This Row],[kwota]])</f>
        <v>6.7379999999999995</v>
      </c>
    </row>
    <row r="2414" spans="1:9" x14ac:dyDescent="0.3">
      <c r="A2414">
        <v>2413</v>
      </c>
      <c r="B2414">
        <v>2018</v>
      </c>
      <c r="C2414">
        <v>4</v>
      </c>
      <c r="D2414">
        <v>11</v>
      </c>
      <c r="E2414" s="1">
        <v>-7.6079999999999997</v>
      </c>
      <c r="F2414" t="s">
        <v>26</v>
      </c>
      <c r="G2414" t="str">
        <f>_xlfn.XLOOKUP(transakcje[[#This Row],[podkategoria]],parametr[podkategoria],parametr[kategoria])</f>
        <v>życie</v>
      </c>
      <c r="H2414" t="str">
        <f>_xlfn.XLOOKUP(transakcje[[#This Row],[kategoria]],parametr[kategoria],parametr[typ])</f>
        <v>wydatki</v>
      </c>
      <c r="I2414" s="1">
        <f>ABS(transakcje[[#This Row],[kwota]])</f>
        <v>7.6079999999999997</v>
      </c>
    </row>
    <row r="2415" spans="1:9" x14ac:dyDescent="0.3">
      <c r="A2415">
        <v>2414</v>
      </c>
      <c r="B2415">
        <v>2018</v>
      </c>
      <c r="C2415">
        <v>4</v>
      </c>
      <c r="D2415">
        <v>14</v>
      </c>
      <c r="E2415" s="1">
        <v>-4.8</v>
      </c>
      <c r="F2415" t="s">
        <v>11</v>
      </c>
      <c r="G2415" t="str">
        <f>_xlfn.XLOOKUP(transakcje[[#This Row],[podkategoria]],parametr[podkategoria],parametr[kategoria])</f>
        <v>wydatki inne</v>
      </c>
      <c r="H2415" t="str">
        <f>_xlfn.XLOOKUP(transakcje[[#This Row],[kategoria]],parametr[kategoria],parametr[typ])</f>
        <v>wydatki</v>
      </c>
      <c r="I2415" s="1">
        <f>ABS(transakcje[[#This Row],[kwota]])</f>
        <v>4.8</v>
      </c>
    </row>
    <row r="2416" spans="1:9" x14ac:dyDescent="0.3">
      <c r="A2416">
        <v>2415</v>
      </c>
      <c r="B2416">
        <v>2018</v>
      </c>
      <c r="C2416">
        <v>4</v>
      </c>
      <c r="D2416">
        <v>14</v>
      </c>
      <c r="E2416" s="1">
        <v>-11.629999999999999</v>
      </c>
      <c r="F2416" t="s">
        <v>26</v>
      </c>
      <c r="G2416" t="str">
        <f>_xlfn.XLOOKUP(transakcje[[#This Row],[podkategoria]],parametr[podkategoria],parametr[kategoria])</f>
        <v>życie</v>
      </c>
      <c r="H2416" t="str">
        <f>_xlfn.XLOOKUP(transakcje[[#This Row],[kategoria]],parametr[kategoria],parametr[typ])</f>
        <v>wydatki</v>
      </c>
      <c r="I2416" s="1">
        <f>ABS(transakcje[[#This Row],[kwota]])</f>
        <v>11.629999999999999</v>
      </c>
    </row>
    <row r="2417" spans="1:9" x14ac:dyDescent="0.3">
      <c r="A2417">
        <v>2416</v>
      </c>
      <c r="B2417">
        <v>2018</v>
      </c>
      <c r="C2417">
        <v>4</v>
      </c>
      <c r="D2417">
        <v>15</v>
      </c>
      <c r="E2417" s="1">
        <v>-14.280000000000001</v>
      </c>
      <c r="F2417" t="s">
        <v>11</v>
      </c>
      <c r="G2417" t="str">
        <f>_xlfn.XLOOKUP(transakcje[[#This Row],[podkategoria]],parametr[podkategoria],parametr[kategoria])</f>
        <v>wydatki inne</v>
      </c>
      <c r="H2417" t="str">
        <f>_xlfn.XLOOKUP(transakcje[[#This Row],[kategoria]],parametr[kategoria],parametr[typ])</f>
        <v>wydatki</v>
      </c>
      <c r="I2417" s="1">
        <f>ABS(transakcje[[#This Row],[kwota]])</f>
        <v>14.280000000000001</v>
      </c>
    </row>
    <row r="2418" spans="1:9" x14ac:dyDescent="0.3">
      <c r="A2418">
        <v>2417</v>
      </c>
      <c r="B2418">
        <v>2018</v>
      </c>
      <c r="C2418">
        <v>4</v>
      </c>
      <c r="D2418">
        <v>18</v>
      </c>
      <c r="E2418" s="1">
        <v>-0.39800000000000002</v>
      </c>
      <c r="F2418" t="s">
        <v>14</v>
      </c>
      <c r="G2418" t="str">
        <f>_xlfn.XLOOKUP(transakcje[[#This Row],[podkategoria]],parametr[podkategoria],parametr[kategoria])</f>
        <v>opłaty stałe</v>
      </c>
      <c r="H2418" t="str">
        <f>_xlfn.XLOOKUP(transakcje[[#This Row],[kategoria]],parametr[kategoria],parametr[typ])</f>
        <v>wydatki</v>
      </c>
      <c r="I2418" s="1">
        <f>ABS(transakcje[[#This Row],[kwota]])</f>
        <v>0.39800000000000002</v>
      </c>
    </row>
    <row r="2419" spans="1:9" x14ac:dyDescent="0.3">
      <c r="A2419">
        <v>2418</v>
      </c>
      <c r="B2419">
        <v>2018</v>
      </c>
      <c r="C2419">
        <v>4</v>
      </c>
      <c r="D2419">
        <v>23</v>
      </c>
      <c r="E2419" s="1">
        <v>-8.9459999999999997</v>
      </c>
      <c r="F2419" t="s">
        <v>26</v>
      </c>
      <c r="G2419" t="str">
        <f>_xlfn.XLOOKUP(transakcje[[#This Row],[podkategoria]],parametr[podkategoria],parametr[kategoria])</f>
        <v>życie</v>
      </c>
      <c r="H2419" t="str">
        <f>_xlfn.XLOOKUP(transakcje[[#This Row],[kategoria]],parametr[kategoria],parametr[typ])</f>
        <v>wydatki</v>
      </c>
      <c r="I2419" s="1">
        <f>ABS(transakcje[[#This Row],[kwota]])</f>
        <v>8.9459999999999997</v>
      </c>
    </row>
    <row r="2420" spans="1:9" x14ac:dyDescent="0.3">
      <c r="A2420">
        <v>2419</v>
      </c>
      <c r="B2420">
        <v>2018</v>
      </c>
      <c r="C2420">
        <v>4</v>
      </c>
      <c r="D2420">
        <v>23</v>
      </c>
      <c r="E2420" s="1">
        <v>-0.54</v>
      </c>
      <c r="F2420" t="s">
        <v>26</v>
      </c>
      <c r="G2420" t="str">
        <f>_xlfn.XLOOKUP(transakcje[[#This Row],[podkategoria]],parametr[podkategoria],parametr[kategoria])</f>
        <v>życie</v>
      </c>
      <c r="H2420" t="str">
        <f>_xlfn.XLOOKUP(transakcje[[#This Row],[kategoria]],parametr[kategoria],parametr[typ])</f>
        <v>wydatki</v>
      </c>
      <c r="I2420" s="1">
        <f>ABS(transakcje[[#This Row],[kwota]])</f>
        <v>0.54</v>
      </c>
    </row>
    <row r="2421" spans="1:9" x14ac:dyDescent="0.3">
      <c r="A2421">
        <v>2420</v>
      </c>
      <c r="B2421">
        <v>2018</v>
      </c>
      <c r="C2421">
        <v>4</v>
      </c>
      <c r="D2421">
        <v>24</v>
      </c>
      <c r="E2421" s="1">
        <v>-20.399999999999999</v>
      </c>
      <c r="F2421" t="s">
        <v>32</v>
      </c>
      <c r="G2421" t="str">
        <f>_xlfn.XLOOKUP(transakcje[[#This Row],[podkategoria]],parametr[podkategoria],parametr[kategoria])</f>
        <v>opłaty stałe</v>
      </c>
      <c r="H2421" t="str">
        <f>_xlfn.XLOOKUP(transakcje[[#This Row],[kategoria]],parametr[kategoria],parametr[typ])</f>
        <v>wydatki</v>
      </c>
      <c r="I2421" s="1">
        <f>ABS(transakcje[[#This Row],[kwota]])</f>
        <v>20.399999999999999</v>
      </c>
    </row>
    <row r="2422" spans="1:9" x14ac:dyDescent="0.3">
      <c r="A2422">
        <v>2421</v>
      </c>
      <c r="B2422">
        <v>2018</v>
      </c>
      <c r="C2422">
        <v>4</v>
      </c>
      <c r="D2422">
        <v>25</v>
      </c>
      <c r="E2422" s="1">
        <v>554.77800000000002</v>
      </c>
      <c r="F2422" t="s">
        <v>8</v>
      </c>
      <c r="G2422" t="str">
        <f>_xlfn.XLOOKUP(transakcje[[#This Row],[podkategoria]],parametr[podkategoria],parametr[kategoria])</f>
        <v>dochody z pracy</v>
      </c>
      <c r="H2422" t="str">
        <f>_xlfn.XLOOKUP(transakcje[[#This Row],[kategoria]],parametr[kategoria],parametr[typ])</f>
        <v>dochody</v>
      </c>
      <c r="I2422" s="1">
        <f>ABS(transakcje[[#This Row],[kwota]])</f>
        <v>554.77800000000002</v>
      </c>
    </row>
    <row r="2423" spans="1:9" x14ac:dyDescent="0.3">
      <c r="A2423">
        <v>2422</v>
      </c>
      <c r="B2423">
        <v>2018</v>
      </c>
      <c r="C2423">
        <v>4</v>
      </c>
      <c r="D2423">
        <v>25</v>
      </c>
      <c r="E2423" s="1">
        <v>-2.6640000000000001</v>
      </c>
      <c r="F2423" t="s">
        <v>26</v>
      </c>
      <c r="G2423" t="str">
        <f>_xlfn.XLOOKUP(transakcje[[#This Row],[podkategoria]],parametr[podkategoria],parametr[kategoria])</f>
        <v>życie</v>
      </c>
      <c r="H2423" t="str">
        <f>_xlfn.XLOOKUP(transakcje[[#This Row],[kategoria]],parametr[kategoria],parametr[typ])</f>
        <v>wydatki</v>
      </c>
      <c r="I2423" s="1">
        <f>ABS(transakcje[[#This Row],[kwota]])</f>
        <v>2.6640000000000001</v>
      </c>
    </row>
    <row r="2424" spans="1:9" x14ac:dyDescent="0.3">
      <c r="A2424">
        <v>2423</v>
      </c>
      <c r="B2424">
        <v>2018</v>
      </c>
      <c r="C2424">
        <v>4</v>
      </c>
      <c r="D2424">
        <v>27</v>
      </c>
      <c r="E2424" s="1">
        <v>-7.1579999999999995</v>
      </c>
      <c r="F2424" t="s">
        <v>26</v>
      </c>
      <c r="G2424" t="str">
        <f>_xlfn.XLOOKUP(transakcje[[#This Row],[podkategoria]],parametr[podkategoria],parametr[kategoria])</f>
        <v>życie</v>
      </c>
      <c r="H2424" t="str">
        <f>_xlfn.XLOOKUP(transakcje[[#This Row],[kategoria]],parametr[kategoria],parametr[typ])</f>
        <v>wydatki</v>
      </c>
      <c r="I2424" s="1">
        <f>ABS(transakcje[[#This Row],[kwota]])</f>
        <v>7.1579999999999995</v>
      </c>
    </row>
    <row r="2425" spans="1:9" x14ac:dyDescent="0.3">
      <c r="A2425">
        <v>2424</v>
      </c>
      <c r="B2425">
        <v>2018</v>
      </c>
      <c r="C2425">
        <v>4</v>
      </c>
      <c r="D2425">
        <v>27</v>
      </c>
      <c r="E2425" s="1">
        <v>50.137999999999998</v>
      </c>
      <c r="F2425" t="s">
        <v>19</v>
      </c>
      <c r="G2425" t="str">
        <f>_xlfn.XLOOKUP(transakcje[[#This Row],[podkategoria]],parametr[podkategoria],parametr[kategoria])</f>
        <v>dochody z pracy</v>
      </c>
      <c r="H2425" t="str">
        <f>_xlfn.XLOOKUP(transakcje[[#This Row],[kategoria]],parametr[kategoria],parametr[typ])</f>
        <v>dochody</v>
      </c>
      <c r="I2425" s="1">
        <f>ABS(transakcje[[#This Row],[kwota]])</f>
        <v>50.137999999999998</v>
      </c>
    </row>
    <row r="2426" spans="1:9" x14ac:dyDescent="0.3">
      <c r="A2426">
        <v>2425</v>
      </c>
      <c r="B2426">
        <v>2018</v>
      </c>
      <c r="C2426">
        <v>4</v>
      </c>
      <c r="D2426">
        <v>30</v>
      </c>
      <c r="E2426" s="1">
        <v>4.0000000000000001E-3</v>
      </c>
      <c r="F2426" t="s">
        <v>17</v>
      </c>
      <c r="G2426" t="str">
        <f>_xlfn.XLOOKUP(transakcje[[#This Row],[podkategoria]],parametr[podkategoria],parametr[kategoria])</f>
        <v>dochody pozostałe</v>
      </c>
      <c r="H2426" t="str">
        <f>_xlfn.XLOOKUP(transakcje[[#This Row],[kategoria]],parametr[kategoria],parametr[typ])</f>
        <v>dochody</v>
      </c>
      <c r="I2426" s="1">
        <f>ABS(transakcje[[#This Row],[kwota]])</f>
        <v>4.0000000000000001E-3</v>
      </c>
    </row>
    <row r="2427" spans="1:9" x14ac:dyDescent="0.3">
      <c r="A2427">
        <v>2426</v>
      </c>
      <c r="B2427">
        <v>2018</v>
      </c>
      <c r="C2427">
        <v>4</v>
      </c>
      <c r="D2427">
        <v>30</v>
      </c>
      <c r="E2427" s="1">
        <v>-2E-3</v>
      </c>
      <c r="F2427" t="s">
        <v>14</v>
      </c>
      <c r="G2427" t="str">
        <f>_xlfn.XLOOKUP(transakcje[[#This Row],[podkategoria]],parametr[podkategoria],parametr[kategoria])</f>
        <v>opłaty stałe</v>
      </c>
      <c r="H2427" t="str">
        <f>_xlfn.XLOOKUP(transakcje[[#This Row],[kategoria]],parametr[kategoria],parametr[typ])</f>
        <v>wydatki</v>
      </c>
      <c r="I2427" s="1">
        <f>ABS(transakcje[[#This Row],[kwota]])</f>
        <v>2E-3</v>
      </c>
    </row>
    <row r="2428" spans="1:9" x14ac:dyDescent="0.3">
      <c r="A2428">
        <v>2427</v>
      </c>
      <c r="B2428">
        <v>2018</v>
      </c>
      <c r="C2428">
        <v>4</v>
      </c>
      <c r="D2428">
        <v>30</v>
      </c>
      <c r="E2428" s="1">
        <v>-0.3</v>
      </c>
      <c r="F2428" t="s">
        <v>14</v>
      </c>
      <c r="G2428" t="str">
        <f>_xlfn.XLOOKUP(transakcje[[#This Row],[podkategoria]],parametr[podkategoria],parametr[kategoria])</f>
        <v>opłaty stałe</v>
      </c>
      <c r="H2428" t="str">
        <f>_xlfn.XLOOKUP(transakcje[[#This Row],[kategoria]],parametr[kategoria],parametr[typ])</f>
        <v>wydatki</v>
      </c>
      <c r="I2428" s="1">
        <f>ABS(transakcje[[#This Row],[kwota]])</f>
        <v>0.3</v>
      </c>
    </row>
    <row r="2429" spans="1:9" x14ac:dyDescent="0.3">
      <c r="A2429">
        <v>2428</v>
      </c>
      <c r="B2429">
        <v>2018</v>
      </c>
      <c r="C2429">
        <v>4</v>
      </c>
      <c r="D2429">
        <v>30</v>
      </c>
      <c r="E2429" s="1">
        <v>-1.198</v>
      </c>
      <c r="F2429" t="s">
        <v>14</v>
      </c>
      <c r="G2429" t="str">
        <f>_xlfn.XLOOKUP(transakcje[[#This Row],[podkategoria]],parametr[podkategoria],parametr[kategoria])</f>
        <v>opłaty stałe</v>
      </c>
      <c r="H2429" t="str">
        <f>_xlfn.XLOOKUP(transakcje[[#This Row],[kategoria]],parametr[kategoria],parametr[typ])</f>
        <v>wydatki</v>
      </c>
      <c r="I2429" s="1">
        <f>ABS(transakcje[[#This Row],[kwota]])</f>
        <v>1.198</v>
      </c>
    </row>
    <row r="2430" spans="1:9" x14ac:dyDescent="0.3">
      <c r="A2430">
        <v>2429</v>
      </c>
      <c r="B2430">
        <v>2018</v>
      </c>
      <c r="C2430">
        <v>5</v>
      </c>
      <c r="D2430">
        <v>1</v>
      </c>
      <c r="E2430" s="1">
        <v>-5.8</v>
      </c>
      <c r="F2430" t="s">
        <v>25</v>
      </c>
      <c r="G2430" t="str">
        <f>_xlfn.XLOOKUP(transakcje[[#This Row],[podkategoria]],parametr[podkategoria],parametr[kategoria])</f>
        <v>opłaty stałe</v>
      </c>
      <c r="H2430" t="str">
        <f>_xlfn.XLOOKUP(transakcje[[#This Row],[kategoria]],parametr[kategoria],parametr[typ])</f>
        <v>wydatki</v>
      </c>
      <c r="I2430" s="1">
        <f>ABS(transakcje[[#This Row],[kwota]])</f>
        <v>5.8</v>
      </c>
    </row>
    <row r="2431" spans="1:9" x14ac:dyDescent="0.3">
      <c r="A2431">
        <v>2430</v>
      </c>
      <c r="B2431">
        <v>2018</v>
      </c>
      <c r="C2431">
        <v>5</v>
      </c>
      <c r="D2431">
        <v>1</v>
      </c>
      <c r="E2431" s="1">
        <v>-65.489999999999995</v>
      </c>
      <c r="F2431" t="s">
        <v>31</v>
      </c>
      <c r="G2431" t="str">
        <f>_xlfn.XLOOKUP(transakcje[[#This Row],[podkategoria]],parametr[podkategoria],parametr[kategoria])</f>
        <v>opłaty stałe</v>
      </c>
      <c r="H2431" t="str">
        <f>_xlfn.XLOOKUP(transakcje[[#This Row],[kategoria]],parametr[kategoria],parametr[typ])</f>
        <v>wydatki</v>
      </c>
      <c r="I2431" s="1">
        <f>ABS(transakcje[[#This Row],[kwota]])</f>
        <v>65.489999999999995</v>
      </c>
    </row>
    <row r="2432" spans="1:9" x14ac:dyDescent="0.3">
      <c r="A2432">
        <v>2431</v>
      </c>
      <c r="B2432">
        <v>2018</v>
      </c>
      <c r="C2432">
        <v>5</v>
      </c>
      <c r="D2432">
        <v>1</v>
      </c>
      <c r="E2432" s="1">
        <v>-46.4</v>
      </c>
      <c r="F2432" t="s">
        <v>30</v>
      </c>
      <c r="G2432" t="str">
        <f>_xlfn.XLOOKUP(transakcje[[#This Row],[podkategoria]],parametr[podkategoria],parametr[kategoria])</f>
        <v>opłaty stałe</v>
      </c>
      <c r="H2432" t="str">
        <f>_xlfn.XLOOKUP(transakcje[[#This Row],[kategoria]],parametr[kategoria],parametr[typ])</f>
        <v>wydatki</v>
      </c>
      <c r="I2432" s="1">
        <f>ABS(transakcje[[#This Row],[kwota]])</f>
        <v>46.4</v>
      </c>
    </row>
    <row r="2433" spans="1:9" x14ac:dyDescent="0.3">
      <c r="A2433">
        <v>2432</v>
      </c>
      <c r="B2433">
        <v>2018</v>
      </c>
      <c r="C2433">
        <v>5</v>
      </c>
      <c r="D2433">
        <v>1</v>
      </c>
      <c r="E2433" s="1">
        <v>-7.38</v>
      </c>
      <c r="F2433" t="s">
        <v>23</v>
      </c>
      <c r="G2433" t="str">
        <f>_xlfn.XLOOKUP(transakcje[[#This Row],[podkategoria]],parametr[podkategoria],parametr[kategoria])</f>
        <v>opłaty stałe</v>
      </c>
      <c r="H2433" t="str">
        <f>_xlfn.XLOOKUP(transakcje[[#This Row],[kategoria]],parametr[kategoria],parametr[typ])</f>
        <v>wydatki</v>
      </c>
      <c r="I2433" s="1">
        <f>ABS(transakcje[[#This Row],[kwota]])</f>
        <v>7.38</v>
      </c>
    </row>
    <row r="2434" spans="1:9" x14ac:dyDescent="0.3">
      <c r="A2434">
        <v>2433</v>
      </c>
      <c r="B2434">
        <v>2018</v>
      </c>
      <c r="C2434">
        <v>5</v>
      </c>
      <c r="D2434">
        <v>1</v>
      </c>
      <c r="E2434" s="1">
        <v>-35.200000000000003</v>
      </c>
      <c r="F2434" t="s">
        <v>29</v>
      </c>
      <c r="G2434" t="str">
        <f>_xlfn.XLOOKUP(transakcje[[#This Row],[podkategoria]],parametr[podkategoria],parametr[kategoria])</f>
        <v>opłaty stałe</v>
      </c>
      <c r="H2434" t="str">
        <f>_xlfn.XLOOKUP(transakcje[[#This Row],[kategoria]],parametr[kategoria],parametr[typ])</f>
        <v>wydatki</v>
      </c>
      <c r="I2434" s="1">
        <f>ABS(transakcje[[#This Row],[kwota]])</f>
        <v>35.200000000000003</v>
      </c>
    </row>
    <row r="2435" spans="1:9" x14ac:dyDescent="0.3">
      <c r="A2435">
        <v>2434</v>
      </c>
      <c r="B2435">
        <v>2018</v>
      </c>
      <c r="C2435">
        <v>5</v>
      </c>
      <c r="D2435">
        <v>3</v>
      </c>
      <c r="E2435" s="1">
        <v>-6.34</v>
      </c>
      <c r="F2435" t="s">
        <v>35</v>
      </c>
      <c r="G2435" t="str">
        <f>_xlfn.XLOOKUP(transakcje[[#This Row],[podkategoria]],parametr[podkategoria],parametr[kategoria])</f>
        <v>opłaty stałe</v>
      </c>
      <c r="H2435" t="str">
        <f>_xlfn.XLOOKUP(transakcje[[#This Row],[kategoria]],parametr[kategoria],parametr[typ])</f>
        <v>wydatki</v>
      </c>
      <c r="I2435" s="1">
        <f>ABS(transakcje[[#This Row],[kwota]])</f>
        <v>6.34</v>
      </c>
    </row>
    <row r="2436" spans="1:9" x14ac:dyDescent="0.3">
      <c r="A2436">
        <v>2435</v>
      </c>
      <c r="B2436">
        <v>2018</v>
      </c>
      <c r="C2436">
        <v>5</v>
      </c>
      <c r="D2436">
        <v>3</v>
      </c>
      <c r="E2436" s="1">
        <v>-12.644</v>
      </c>
      <c r="F2436" t="s">
        <v>34</v>
      </c>
      <c r="G2436" t="str">
        <f>_xlfn.XLOOKUP(transakcje[[#This Row],[podkategoria]],parametr[podkategoria],parametr[kategoria])</f>
        <v>opłaty stałe</v>
      </c>
      <c r="H2436" t="str">
        <f>_xlfn.XLOOKUP(transakcje[[#This Row],[kategoria]],parametr[kategoria],parametr[typ])</f>
        <v>wydatki</v>
      </c>
      <c r="I2436" s="1">
        <f>ABS(transakcje[[#This Row],[kwota]])</f>
        <v>12.644</v>
      </c>
    </row>
    <row r="2437" spans="1:9" x14ac:dyDescent="0.3">
      <c r="A2437">
        <v>2436</v>
      </c>
      <c r="B2437">
        <v>2018</v>
      </c>
      <c r="C2437">
        <v>5</v>
      </c>
      <c r="D2437">
        <v>4</v>
      </c>
      <c r="E2437" s="1">
        <v>-16.358000000000001</v>
      </c>
      <c r="F2437" t="s">
        <v>26</v>
      </c>
      <c r="G2437" t="str">
        <f>_xlfn.XLOOKUP(transakcje[[#This Row],[podkategoria]],parametr[podkategoria],parametr[kategoria])</f>
        <v>życie</v>
      </c>
      <c r="H2437" t="str">
        <f>_xlfn.XLOOKUP(transakcje[[#This Row],[kategoria]],parametr[kategoria],parametr[typ])</f>
        <v>wydatki</v>
      </c>
      <c r="I2437" s="1">
        <f>ABS(transakcje[[#This Row],[kwota]])</f>
        <v>16.358000000000001</v>
      </c>
    </row>
    <row r="2438" spans="1:9" x14ac:dyDescent="0.3">
      <c r="A2438">
        <v>2437</v>
      </c>
      <c r="B2438">
        <v>2018</v>
      </c>
      <c r="C2438">
        <v>5</v>
      </c>
      <c r="D2438">
        <v>9</v>
      </c>
      <c r="E2438" s="1">
        <v>-5.9240000000000004</v>
      </c>
      <c r="F2438" t="s">
        <v>26</v>
      </c>
      <c r="G2438" t="str">
        <f>_xlfn.XLOOKUP(transakcje[[#This Row],[podkategoria]],parametr[podkategoria],parametr[kategoria])</f>
        <v>życie</v>
      </c>
      <c r="H2438" t="str">
        <f>_xlfn.XLOOKUP(transakcje[[#This Row],[kategoria]],parametr[kategoria],parametr[typ])</f>
        <v>wydatki</v>
      </c>
      <c r="I2438" s="1">
        <f>ABS(transakcje[[#This Row],[kwota]])</f>
        <v>5.9240000000000004</v>
      </c>
    </row>
    <row r="2439" spans="1:9" x14ac:dyDescent="0.3">
      <c r="A2439">
        <v>2438</v>
      </c>
      <c r="B2439">
        <v>2018</v>
      </c>
      <c r="C2439">
        <v>5</v>
      </c>
      <c r="D2439">
        <v>11</v>
      </c>
      <c r="E2439" s="1">
        <v>-0.39800000000000002</v>
      </c>
      <c r="F2439" t="s">
        <v>14</v>
      </c>
      <c r="G2439" t="str">
        <f>_xlfn.XLOOKUP(transakcje[[#This Row],[podkategoria]],parametr[podkategoria],parametr[kategoria])</f>
        <v>opłaty stałe</v>
      </c>
      <c r="H2439" t="str">
        <f>_xlfn.XLOOKUP(transakcje[[#This Row],[kategoria]],parametr[kategoria],parametr[typ])</f>
        <v>wydatki</v>
      </c>
      <c r="I2439" s="1">
        <f>ABS(transakcje[[#This Row],[kwota]])</f>
        <v>0.39800000000000002</v>
      </c>
    </row>
    <row r="2440" spans="1:9" x14ac:dyDescent="0.3">
      <c r="A2440">
        <v>2439</v>
      </c>
      <c r="B2440">
        <v>2018</v>
      </c>
      <c r="C2440">
        <v>5</v>
      </c>
      <c r="D2440">
        <v>16</v>
      </c>
      <c r="E2440" s="1">
        <v>-5.9219999999999997</v>
      </c>
      <c r="F2440" t="s">
        <v>26</v>
      </c>
      <c r="G2440" t="str">
        <f>_xlfn.XLOOKUP(transakcje[[#This Row],[podkategoria]],parametr[podkategoria],parametr[kategoria])</f>
        <v>życie</v>
      </c>
      <c r="H2440" t="str">
        <f>_xlfn.XLOOKUP(transakcje[[#This Row],[kategoria]],parametr[kategoria],parametr[typ])</f>
        <v>wydatki</v>
      </c>
      <c r="I2440" s="1">
        <f>ABS(transakcje[[#This Row],[kwota]])</f>
        <v>5.9219999999999997</v>
      </c>
    </row>
    <row r="2441" spans="1:9" x14ac:dyDescent="0.3">
      <c r="A2441">
        <v>2440</v>
      </c>
      <c r="B2441">
        <v>2018</v>
      </c>
      <c r="C2441">
        <v>5</v>
      </c>
      <c r="D2441">
        <v>19</v>
      </c>
      <c r="E2441" s="1">
        <v>-3.1840000000000002</v>
      </c>
      <c r="F2441" t="s">
        <v>26</v>
      </c>
      <c r="G2441" t="str">
        <f>_xlfn.XLOOKUP(transakcje[[#This Row],[podkategoria]],parametr[podkategoria],parametr[kategoria])</f>
        <v>życie</v>
      </c>
      <c r="H2441" t="str">
        <f>_xlfn.XLOOKUP(transakcje[[#This Row],[kategoria]],parametr[kategoria],parametr[typ])</f>
        <v>wydatki</v>
      </c>
      <c r="I2441" s="1">
        <f>ABS(transakcje[[#This Row],[kwota]])</f>
        <v>3.1840000000000002</v>
      </c>
    </row>
    <row r="2442" spans="1:9" x14ac:dyDescent="0.3">
      <c r="A2442">
        <v>2441</v>
      </c>
      <c r="B2442">
        <v>2018</v>
      </c>
      <c r="C2442">
        <v>5</v>
      </c>
      <c r="D2442">
        <v>21</v>
      </c>
      <c r="E2442" s="1">
        <v>-8.6</v>
      </c>
      <c r="F2442" t="s">
        <v>11</v>
      </c>
      <c r="G2442" t="str">
        <f>_xlfn.XLOOKUP(transakcje[[#This Row],[podkategoria]],parametr[podkategoria],parametr[kategoria])</f>
        <v>wydatki inne</v>
      </c>
      <c r="H2442" t="str">
        <f>_xlfn.XLOOKUP(transakcje[[#This Row],[kategoria]],parametr[kategoria],parametr[typ])</f>
        <v>wydatki</v>
      </c>
      <c r="I2442" s="1">
        <f>ABS(transakcje[[#This Row],[kwota]])</f>
        <v>8.6</v>
      </c>
    </row>
    <row r="2443" spans="1:9" x14ac:dyDescent="0.3">
      <c r="A2443">
        <v>2442</v>
      </c>
      <c r="B2443">
        <v>2018</v>
      </c>
      <c r="C2443">
        <v>5</v>
      </c>
      <c r="D2443">
        <v>22</v>
      </c>
      <c r="E2443" s="1">
        <v>-10.776</v>
      </c>
      <c r="F2443" t="s">
        <v>26</v>
      </c>
      <c r="G2443" t="str">
        <f>_xlfn.XLOOKUP(transakcje[[#This Row],[podkategoria]],parametr[podkategoria],parametr[kategoria])</f>
        <v>życie</v>
      </c>
      <c r="H2443" t="str">
        <f>_xlfn.XLOOKUP(transakcje[[#This Row],[kategoria]],parametr[kategoria],parametr[typ])</f>
        <v>wydatki</v>
      </c>
      <c r="I2443" s="1">
        <f>ABS(transakcje[[#This Row],[kwota]])</f>
        <v>10.776</v>
      </c>
    </row>
    <row r="2444" spans="1:9" x14ac:dyDescent="0.3">
      <c r="A2444">
        <v>2443</v>
      </c>
      <c r="B2444">
        <v>2018</v>
      </c>
      <c r="C2444">
        <v>5</v>
      </c>
      <c r="D2444">
        <v>23</v>
      </c>
      <c r="E2444" s="1">
        <v>-2.0300000000000002</v>
      </c>
      <c r="F2444" t="s">
        <v>26</v>
      </c>
      <c r="G2444" t="str">
        <f>_xlfn.XLOOKUP(transakcje[[#This Row],[podkategoria]],parametr[podkategoria],parametr[kategoria])</f>
        <v>życie</v>
      </c>
      <c r="H2444" t="str">
        <f>_xlfn.XLOOKUP(transakcje[[#This Row],[kategoria]],parametr[kategoria],parametr[typ])</f>
        <v>wydatki</v>
      </c>
      <c r="I2444" s="1">
        <f>ABS(transakcje[[#This Row],[kwota]])</f>
        <v>2.0300000000000002</v>
      </c>
    </row>
    <row r="2445" spans="1:9" x14ac:dyDescent="0.3">
      <c r="A2445">
        <v>2444</v>
      </c>
      <c r="B2445">
        <v>2018</v>
      </c>
      <c r="C2445">
        <v>5</v>
      </c>
      <c r="D2445">
        <v>23</v>
      </c>
      <c r="E2445" s="1">
        <v>-1.488</v>
      </c>
      <c r="F2445" t="s">
        <v>26</v>
      </c>
      <c r="G2445" t="str">
        <f>_xlfn.XLOOKUP(transakcje[[#This Row],[podkategoria]],parametr[podkategoria],parametr[kategoria])</f>
        <v>życie</v>
      </c>
      <c r="H2445" t="str">
        <f>_xlfn.XLOOKUP(transakcje[[#This Row],[kategoria]],parametr[kategoria],parametr[typ])</f>
        <v>wydatki</v>
      </c>
      <c r="I2445" s="1">
        <f>ABS(transakcje[[#This Row],[kwota]])</f>
        <v>1.488</v>
      </c>
    </row>
    <row r="2446" spans="1:9" x14ac:dyDescent="0.3">
      <c r="A2446">
        <v>2445</v>
      </c>
      <c r="B2446">
        <v>2018</v>
      </c>
      <c r="C2446">
        <v>5</v>
      </c>
      <c r="D2446">
        <v>25</v>
      </c>
      <c r="E2446" s="1">
        <v>554.77800000000002</v>
      </c>
      <c r="F2446" t="s">
        <v>8</v>
      </c>
      <c r="G2446" t="str">
        <f>_xlfn.XLOOKUP(transakcje[[#This Row],[podkategoria]],parametr[podkategoria],parametr[kategoria])</f>
        <v>dochody z pracy</v>
      </c>
      <c r="H2446" t="str">
        <f>_xlfn.XLOOKUP(transakcje[[#This Row],[kategoria]],parametr[kategoria],parametr[typ])</f>
        <v>dochody</v>
      </c>
      <c r="I2446" s="1">
        <f>ABS(transakcje[[#This Row],[kwota]])</f>
        <v>554.77800000000002</v>
      </c>
    </row>
    <row r="2447" spans="1:9" x14ac:dyDescent="0.3">
      <c r="A2447">
        <v>2446</v>
      </c>
      <c r="B2447">
        <v>2018</v>
      </c>
      <c r="C2447">
        <v>5</v>
      </c>
      <c r="D2447">
        <v>25</v>
      </c>
      <c r="E2447" s="1">
        <v>-10.33</v>
      </c>
      <c r="F2447" t="s">
        <v>26</v>
      </c>
      <c r="G2447" t="str">
        <f>_xlfn.XLOOKUP(transakcje[[#This Row],[podkategoria]],parametr[podkategoria],parametr[kategoria])</f>
        <v>życie</v>
      </c>
      <c r="H2447" t="str">
        <f>_xlfn.XLOOKUP(transakcje[[#This Row],[kategoria]],parametr[kategoria],parametr[typ])</f>
        <v>wydatki</v>
      </c>
      <c r="I2447" s="1">
        <f>ABS(transakcje[[#This Row],[kwota]])</f>
        <v>10.33</v>
      </c>
    </row>
    <row r="2448" spans="1:9" x14ac:dyDescent="0.3">
      <c r="A2448">
        <v>2447</v>
      </c>
      <c r="B2448">
        <v>2018</v>
      </c>
      <c r="C2448">
        <v>5</v>
      </c>
      <c r="D2448">
        <v>26</v>
      </c>
      <c r="E2448" s="1">
        <v>-19.8</v>
      </c>
      <c r="F2448" t="s">
        <v>32</v>
      </c>
      <c r="G2448" t="str">
        <f>_xlfn.XLOOKUP(transakcje[[#This Row],[podkategoria]],parametr[podkategoria],parametr[kategoria])</f>
        <v>opłaty stałe</v>
      </c>
      <c r="H2448" t="str">
        <f>_xlfn.XLOOKUP(transakcje[[#This Row],[kategoria]],parametr[kategoria],parametr[typ])</f>
        <v>wydatki</v>
      </c>
      <c r="I2448" s="1">
        <f>ABS(transakcje[[#This Row],[kwota]])</f>
        <v>19.8</v>
      </c>
    </row>
    <row r="2449" spans="1:9" x14ac:dyDescent="0.3">
      <c r="A2449">
        <v>2448</v>
      </c>
      <c r="B2449">
        <v>2018</v>
      </c>
      <c r="C2449">
        <v>5</v>
      </c>
      <c r="D2449">
        <v>27</v>
      </c>
      <c r="E2449" s="1">
        <v>-20.218</v>
      </c>
      <c r="F2449" t="s">
        <v>11</v>
      </c>
      <c r="G2449" t="str">
        <f>_xlfn.XLOOKUP(transakcje[[#This Row],[podkategoria]],parametr[podkategoria],parametr[kategoria])</f>
        <v>wydatki inne</v>
      </c>
      <c r="H2449" t="str">
        <f>_xlfn.XLOOKUP(transakcje[[#This Row],[kategoria]],parametr[kategoria],parametr[typ])</f>
        <v>wydatki</v>
      </c>
      <c r="I2449" s="1">
        <f>ABS(transakcje[[#This Row],[kwota]])</f>
        <v>20.218</v>
      </c>
    </row>
    <row r="2450" spans="1:9" x14ac:dyDescent="0.3">
      <c r="A2450">
        <v>2449</v>
      </c>
      <c r="B2450">
        <v>2018</v>
      </c>
      <c r="C2450">
        <v>5</v>
      </c>
      <c r="D2450">
        <v>28</v>
      </c>
      <c r="E2450" s="1">
        <v>-38</v>
      </c>
      <c r="F2450" t="s">
        <v>26</v>
      </c>
      <c r="G2450" t="str">
        <f>_xlfn.XLOOKUP(transakcje[[#This Row],[podkategoria]],parametr[podkategoria],parametr[kategoria])</f>
        <v>życie</v>
      </c>
      <c r="H2450" t="str">
        <f>_xlfn.XLOOKUP(transakcje[[#This Row],[kategoria]],parametr[kategoria],parametr[typ])</f>
        <v>wydatki</v>
      </c>
      <c r="I2450" s="1">
        <f>ABS(transakcje[[#This Row],[kwota]])</f>
        <v>38</v>
      </c>
    </row>
    <row r="2451" spans="1:9" x14ac:dyDescent="0.3">
      <c r="A2451">
        <v>2450</v>
      </c>
      <c r="B2451">
        <v>2018</v>
      </c>
      <c r="C2451">
        <v>5</v>
      </c>
      <c r="D2451">
        <v>29</v>
      </c>
      <c r="E2451" s="1">
        <v>-8.7059999999999995</v>
      </c>
      <c r="F2451" t="s">
        <v>26</v>
      </c>
      <c r="G2451" t="str">
        <f>_xlfn.XLOOKUP(transakcje[[#This Row],[podkategoria]],parametr[podkategoria],parametr[kategoria])</f>
        <v>życie</v>
      </c>
      <c r="H2451" t="str">
        <f>_xlfn.XLOOKUP(transakcje[[#This Row],[kategoria]],parametr[kategoria],parametr[typ])</f>
        <v>wydatki</v>
      </c>
      <c r="I2451" s="1">
        <f>ABS(transakcje[[#This Row],[kwota]])</f>
        <v>8.7059999999999995</v>
      </c>
    </row>
    <row r="2452" spans="1:9" x14ac:dyDescent="0.3">
      <c r="A2452">
        <v>2451</v>
      </c>
      <c r="B2452">
        <v>2018</v>
      </c>
      <c r="C2452">
        <v>5</v>
      </c>
      <c r="D2452">
        <v>31</v>
      </c>
      <c r="E2452" s="1">
        <v>-0.9</v>
      </c>
      <c r="F2452" t="s">
        <v>14</v>
      </c>
      <c r="G2452" t="str">
        <f>_xlfn.XLOOKUP(transakcje[[#This Row],[podkategoria]],parametr[podkategoria],parametr[kategoria])</f>
        <v>opłaty stałe</v>
      </c>
      <c r="H2452" t="str">
        <f>_xlfn.XLOOKUP(transakcje[[#This Row],[kategoria]],parametr[kategoria],parametr[typ])</f>
        <v>wydatki</v>
      </c>
      <c r="I2452" s="1">
        <f>ABS(transakcje[[#This Row],[kwota]])</f>
        <v>0.9</v>
      </c>
    </row>
    <row r="2453" spans="1:9" x14ac:dyDescent="0.3">
      <c r="A2453">
        <v>2452</v>
      </c>
      <c r="B2453">
        <v>2018</v>
      </c>
      <c r="C2453">
        <v>5</v>
      </c>
      <c r="D2453">
        <v>31</v>
      </c>
      <c r="E2453" s="1">
        <v>2E-3</v>
      </c>
      <c r="F2453" t="s">
        <v>17</v>
      </c>
      <c r="G2453" t="str">
        <f>_xlfn.XLOOKUP(transakcje[[#This Row],[podkategoria]],parametr[podkategoria],parametr[kategoria])</f>
        <v>dochody pozostałe</v>
      </c>
      <c r="H2453" t="str">
        <f>_xlfn.XLOOKUP(transakcje[[#This Row],[kategoria]],parametr[kategoria],parametr[typ])</f>
        <v>dochody</v>
      </c>
      <c r="I2453" s="1">
        <f>ABS(transakcje[[#This Row],[kwota]])</f>
        <v>2E-3</v>
      </c>
    </row>
    <row r="2454" spans="1:9" x14ac:dyDescent="0.3">
      <c r="A2454">
        <v>2453</v>
      </c>
      <c r="B2454">
        <v>2018</v>
      </c>
      <c r="C2454">
        <v>5</v>
      </c>
      <c r="D2454">
        <v>31</v>
      </c>
      <c r="E2454" s="1">
        <v>-1.198</v>
      </c>
      <c r="F2454" t="s">
        <v>14</v>
      </c>
      <c r="G2454" t="str">
        <f>_xlfn.XLOOKUP(transakcje[[#This Row],[podkategoria]],parametr[podkategoria],parametr[kategoria])</f>
        <v>opłaty stałe</v>
      </c>
      <c r="H2454" t="str">
        <f>_xlfn.XLOOKUP(transakcje[[#This Row],[kategoria]],parametr[kategoria],parametr[typ])</f>
        <v>wydatki</v>
      </c>
      <c r="I2454" s="1">
        <f>ABS(transakcje[[#This Row],[kwota]])</f>
        <v>1.198</v>
      </c>
    </row>
    <row r="2455" spans="1:9" x14ac:dyDescent="0.3">
      <c r="A2455">
        <v>2454</v>
      </c>
      <c r="B2455">
        <v>2018</v>
      </c>
      <c r="C2455">
        <v>5</v>
      </c>
      <c r="D2455">
        <v>31</v>
      </c>
      <c r="E2455" s="1">
        <v>-2E-3</v>
      </c>
      <c r="F2455" t="s">
        <v>14</v>
      </c>
      <c r="G2455" t="str">
        <f>_xlfn.XLOOKUP(transakcje[[#This Row],[podkategoria]],parametr[podkategoria],parametr[kategoria])</f>
        <v>opłaty stałe</v>
      </c>
      <c r="H2455" t="str">
        <f>_xlfn.XLOOKUP(transakcje[[#This Row],[kategoria]],parametr[kategoria],parametr[typ])</f>
        <v>wydatki</v>
      </c>
      <c r="I2455" s="1">
        <f>ABS(transakcje[[#This Row],[kwota]])</f>
        <v>2E-3</v>
      </c>
    </row>
    <row r="2456" spans="1:9" x14ac:dyDescent="0.3">
      <c r="A2456">
        <v>2455</v>
      </c>
      <c r="B2456">
        <v>2018</v>
      </c>
      <c r="C2456">
        <v>6</v>
      </c>
      <c r="D2456">
        <v>1</v>
      </c>
      <c r="E2456" s="1">
        <v>-7.38</v>
      </c>
      <c r="F2456" t="s">
        <v>23</v>
      </c>
      <c r="G2456" t="str">
        <f>_xlfn.XLOOKUP(transakcje[[#This Row],[podkategoria]],parametr[podkategoria],parametr[kategoria])</f>
        <v>opłaty stałe</v>
      </c>
      <c r="H2456" t="str">
        <f>_xlfn.XLOOKUP(transakcje[[#This Row],[kategoria]],parametr[kategoria],parametr[typ])</f>
        <v>wydatki</v>
      </c>
      <c r="I2456" s="1">
        <f>ABS(transakcje[[#This Row],[kwota]])</f>
        <v>7.38</v>
      </c>
    </row>
    <row r="2457" spans="1:9" x14ac:dyDescent="0.3">
      <c r="A2457">
        <v>2456</v>
      </c>
      <c r="B2457">
        <v>2018</v>
      </c>
      <c r="C2457">
        <v>6</v>
      </c>
      <c r="D2457">
        <v>1</v>
      </c>
      <c r="E2457" s="1">
        <v>-5.8</v>
      </c>
      <c r="F2457" t="s">
        <v>25</v>
      </c>
      <c r="G2457" t="str">
        <f>_xlfn.XLOOKUP(transakcje[[#This Row],[podkategoria]],parametr[podkategoria],parametr[kategoria])</f>
        <v>opłaty stałe</v>
      </c>
      <c r="H2457" t="str">
        <f>_xlfn.XLOOKUP(transakcje[[#This Row],[kategoria]],parametr[kategoria],parametr[typ])</f>
        <v>wydatki</v>
      </c>
      <c r="I2457" s="1">
        <f>ABS(transakcje[[#This Row],[kwota]])</f>
        <v>5.8</v>
      </c>
    </row>
    <row r="2458" spans="1:9" x14ac:dyDescent="0.3">
      <c r="A2458">
        <v>2457</v>
      </c>
      <c r="B2458">
        <v>2018</v>
      </c>
      <c r="C2458">
        <v>6</v>
      </c>
      <c r="D2458">
        <v>1</v>
      </c>
      <c r="E2458" s="1">
        <v>-65.489999999999995</v>
      </c>
      <c r="F2458" t="s">
        <v>31</v>
      </c>
      <c r="G2458" t="str">
        <f>_xlfn.XLOOKUP(transakcje[[#This Row],[podkategoria]],parametr[podkategoria],parametr[kategoria])</f>
        <v>opłaty stałe</v>
      </c>
      <c r="H2458" t="str">
        <f>_xlfn.XLOOKUP(transakcje[[#This Row],[kategoria]],parametr[kategoria],parametr[typ])</f>
        <v>wydatki</v>
      </c>
      <c r="I2458" s="1">
        <f>ABS(transakcje[[#This Row],[kwota]])</f>
        <v>65.489999999999995</v>
      </c>
    </row>
    <row r="2459" spans="1:9" x14ac:dyDescent="0.3">
      <c r="A2459">
        <v>2458</v>
      </c>
      <c r="B2459">
        <v>2018</v>
      </c>
      <c r="C2459">
        <v>6</v>
      </c>
      <c r="D2459">
        <v>1</v>
      </c>
      <c r="E2459" s="1">
        <v>-1.002</v>
      </c>
      <c r="F2459" t="s">
        <v>26</v>
      </c>
      <c r="G2459" t="str">
        <f>_xlfn.XLOOKUP(transakcje[[#This Row],[podkategoria]],parametr[podkategoria],parametr[kategoria])</f>
        <v>życie</v>
      </c>
      <c r="H2459" t="str">
        <f>_xlfn.XLOOKUP(transakcje[[#This Row],[kategoria]],parametr[kategoria],parametr[typ])</f>
        <v>wydatki</v>
      </c>
      <c r="I2459" s="1">
        <f>ABS(transakcje[[#This Row],[kwota]])</f>
        <v>1.002</v>
      </c>
    </row>
    <row r="2460" spans="1:9" x14ac:dyDescent="0.3">
      <c r="A2460">
        <v>2459</v>
      </c>
      <c r="B2460">
        <v>2018</v>
      </c>
      <c r="C2460">
        <v>6</v>
      </c>
      <c r="D2460">
        <v>9</v>
      </c>
      <c r="E2460" s="1">
        <v>-22.836000000000002</v>
      </c>
      <c r="F2460" t="s">
        <v>11</v>
      </c>
      <c r="G2460" t="str">
        <f>_xlfn.XLOOKUP(transakcje[[#This Row],[podkategoria]],parametr[podkategoria],parametr[kategoria])</f>
        <v>wydatki inne</v>
      </c>
      <c r="H2460" t="str">
        <f>_xlfn.XLOOKUP(transakcje[[#This Row],[kategoria]],parametr[kategoria],parametr[typ])</f>
        <v>wydatki</v>
      </c>
      <c r="I2460" s="1">
        <f>ABS(transakcje[[#This Row],[kwota]])</f>
        <v>22.836000000000002</v>
      </c>
    </row>
    <row r="2461" spans="1:9" x14ac:dyDescent="0.3">
      <c r="A2461">
        <v>2460</v>
      </c>
      <c r="B2461">
        <v>2018</v>
      </c>
      <c r="C2461">
        <v>6</v>
      </c>
      <c r="D2461">
        <v>9</v>
      </c>
      <c r="E2461" s="1">
        <v>-5.266</v>
      </c>
      <c r="F2461" t="s">
        <v>26</v>
      </c>
      <c r="G2461" t="str">
        <f>_xlfn.XLOOKUP(transakcje[[#This Row],[podkategoria]],parametr[podkategoria],parametr[kategoria])</f>
        <v>życie</v>
      </c>
      <c r="H2461" t="str">
        <f>_xlfn.XLOOKUP(transakcje[[#This Row],[kategoria]],parametr[kategoria],parametr[typ])</f>
        <v>wydatki</v>
      </c>
      <c r="I2461" s="1">
        <f>ABS(transakcje[[#This Row],[kwota]])</f>
        <v>5.266</v>
      </c>
    </row>
    <row r="2462" spans="1:9" x14ac:dyDescent="0.3">
      <c r="A2462">
        <v>2461</v>
      </c>
      <c r="B2462">
        <v>2018</v>
      </c>
      <c r="C2462">
        <v>6</v>
      </c>
      <c r="D2462">
        <v>15</v>
      </c>
      <c r="E2462" s="1">
        <v>-0.39800000000000002</v>
      </c>
      <c r="F2462" t="s">
        <v>14</v>
      </c>
      <c r="G2462" t="str">
        <f>_xlfn.XLOOKUP(transakcje[[#This Row],[podkategoria]],parametr[podkategoria],parametr[kategoria])</f>
        <v>opłaty stałe</v>
      </c>
      <c r="H2462" t="str">
        <f>_xlfn.XLOOKUP(transakcje[[#This Row],[kategoria]],parametr[kategoria],parametr[typ])</f>
        <v>wydatki</v>
      </c>
      <c r="I2462" s="1">
        <f>ABS(transakcje[[#This Row],[kwota]])</f>
        <v>0.39800000000000002</v>
      </c>
    </row>
    <row r="2463" spans="1:9" x14ac:dyDescent="0.3">
      <c r="A2463">
        <v>2462</v>
      </c>
      <c r="B2463">
        <v>2018</v>
      </c>
      <c r="C2463">
        <v>6</v>
      </c>
      <c r="D2463">
        <v>16</v>
      </c>
      <c r="E2463" s="1">
        <v>-20.702000000000002</v>
      </c>
      <c r="F2463" t="s">
        <v>26</v>
      </c>
      <c r="G2463" t="str">
        <f>_xlfn.XLOOKUP(transakcje[[#This Row],[podkategoria]],parametr[podkategoria],parametr[kategoria])</f>
        <v>życie</v>
      </c>
      <c r="H2463" t="str">
        <f>_xlfn.XLOOKUP(transakcje[[#This Row],[kategoria]],parametr[kategoria],parametr[typ])</f>
        <v>wydatki</v>
      </c>
      <c r="I2463" s="1">
        <f>ABS(transakcje[[#This Row],[kwota]])</f>
        <v>20.702000000000002</v>
      </c>
    </row>
    <row r="2464" spans="1:9" x14ac:dyDescent="0.3">
      <c r="A2464">
        <v>2463</v>
      </c>
      <c r="B2464">
        <v>2018</v>
      </c>
      <c r="C2464">
        <v>6</v>
      </c>
      <c r="D2464">
        <v>18</v>
      </c>
      <c r="E2464" s="1">
        <v>-8.49</v>
      </c>
      <c r="F2464" t="s">
        <v>26</v>
      </c>
      <c r="G2464" t="str">
        <f>_xlfn.XLOOKUP(transakcje[[#This Row],[podkategoria]],parametr[podkategoria],parametr[kategoria])</f>
        <v>życie</v>
      </c>
      <c r="H2464" t="str">
        <f>_xlfn.XLOOKUP(transakcje[[#This Row],[kategoria]],parametr[kategoria],parametr[typ])</f>
        <v>wydatki</v>
      </c>
      <c r="I2464" s="1">
        <f>ABS(transakcje[[#This Row],[kwota]])</f>
        <v>8.49</v>
      </c>
    </row>
    <row r="2465" spans="1:9" x14ac:dyDescent="0.3">
      <c r="A2465">
        <v>2464</v>
      </c>
      <c r="B2465">
        <v>2018</v>
      </c>
      <c r="C2465">
        <v>6</v>
      </c>
      <c r="D2465">
        <v>20</v>
      </c>
      <c r="E2465" s="1">
        <v>-2.8420000000000001</v>
      </c>
      <c r="F2465" t="s">
        <v>26</v>
      </c>
      <c r="G2465" t="str">
        <f>_xlfn.XLOOKUP(transakcje[[#This Row],[podkategoria]],parametr[podkategoria],parametr[kategoria])</f>
        <v>życie</v>
      </c>
      <c r="H2465" t="str">
        <f>_xlfn.XLOOKUP(transakcje[[#This Row],[kategoria]],parametr[kategoria],parametr[typ])</f>
        <v>wydatki</v>
      </c>
      <c r="I2465" s="1">
        <f>ABS(transakcje[[#This Row],[kwota]])</f>
        <v>2.8420000000000001</v>
      </c>
    </row>
    <row r="2466" spans="1:9" x14ac:dyDescent="0.3">
      <c r="A2466">
        <v>2465</v>
      </c>
      <c r="B2466">
        <v>2018</v>
      </c>
      <c r="C2466">
        <v>6</v>
      </c>
      <c r="D2466">
        <v>23</v>
      </c>
      <c r="E2466" s="1">
        <v>-12.346</v>
      </c>
      <c r="F2466" t="s">
        <v>26</v>
      </c>
      <c r="G2466" t="str">
        <f>_xlfn.XLOOKUP(transakcje[[#This Row],[podkategoria]],parametr[podkategoria],parametr[kategoria])</f>
        <v>życie</v>
      </c>
      <c r="H2466" t="str">
        <f>_xlfn.XLOOKUP(transakcje[[#This Row],[kategoria]],parametr[kategoria],parametr[typ])</f>
        <v>wydatki</v>
      </c>
      <c r="I2466" s="1">
        <f>ABS(transakcje[[#This Row],[kwota]])</f>
        <v>12.346</v>
      </c>
    </row>
    <row r="2467" spans="1:9" x14ac:dyDescent="0.3">
      <c r="A2467">
        <v>2466</v>
      </c>
      <c r="B2467">
        <v>2018</v>
      </c>
      <c r="C2467">
        <v>6</v>
      </c>
      <c r="D2467">
        <v>25</v>
      </c>
      <c r="E2467" s="1">
        <v>-20.399999999999999</v>
      </c>
      <c r="F2467" t="s">
        <v>32</v>
      </c>
      <c r="G2467" t="str">
        <f>_xlfn.XLOOKUP(transakcje[[#This Row],[podkategoria]],parametr[podkategoria],parametr[kategoria])</f>
        <v>opłaty stałe</v>
      </c>
      <c r="H2467" t="str">
        <f>_xlfn.XLOOKUP(transakcje[[#This Row],[kategoria]],parametr[kategoria],parametr[typ])</f>
        <v>wydatki</v>
      </c>
      <c r="I2467" s="1">
        <f>ABS(transakcje[[#This Row],[kwota]])</f>
        <v>20.399999999999999</v>
      </c>
    </row>
    <row r="2468" spans="1:9" x14ac:dyDescent="0.3">
      <c r="A2468">
        <v>2467</v>
      </c>
      <c r="B2468">
        <v>2018</v>
      </c>
      <c r="C2468">
        <v>6</v>
      </c>
      <c r="D2468">
        <v>25</v>
      </c>
      <c r="E2468" s="1">
        <v>554.77800000000002</v>
      </c>
      <c r="F2468" t="s">
        <v>8</v>
      </c>
      <c r="G2468" t="str">
        <f>_xlfn.XLOOKUP(transakcje[[#This Row],[podkategoria]],parametr[podkategoria],parametr[kategoria])</f>
        <v>dochody z pracy</v>
      </c>
      <c r="H2468" t="str">
        <f>_xlfn.XLOOKUP(transakcje[[#This Row],[kategoria]],parametr[kategoria],parametr[typ])</f>
        <v>dochody</v>
      </c>
      <c r="I2468" s="1">
        <f>ABS(transakcje[[#This Row],[kwota]])</f>
        <v>554.77800000000002</v>
      </c>
    </row>
    <row r="2469" spans="1:9" x14ac:dyDescent="0.3">
      <c r="A2469">
        <v>2468</v>
      </c>
      <c r="B2469">
        <v>2018</v>
      </c>
      <c r="C2469">
        <v>6</v>
      </c>
      <c r="D2469">
        <v>26</v>
      </c>
      <c r="E2469" s="1">
        <v>-1.6679999999999999</v>
      </c>
      <c r="F2469" t="s">
        <v>26</v>
      </c>
      <c r="G2469" t="str">
        <f>_xlfn.XLOOKUP(transakcje[[#This Row],[podkategoria]],parametr[podkategoria],parametr[kategoria])</f>
        <v>życie</v>
      </c>
      <c r="H2469" t="str">
        <f>_xlfn.XLOOKUP(transakcje[[#This Row],[kategoria]],parametr[kategoria],parametr[typ])</f>
        <v>wydatki</v>
      </c>
      <c r="I2469" s="1">
        <f>ABS(transakcje[[#This Row],[kwota]])</f>
        <v>1.6679999999999999</v>
      </c>
    </row>
    <row r="2470" spans="1:9" x14ac:dyDescent="0.3">
      <c r="A2470">
        <v>2469</v>
      </c>
      <c r="B2470">
        <v>2018</v>
      </c>
      <c r="C2470">
        <v>6</v>
      </c>
      <c r="D2470">
        <v>27</v>
      </c>
      <c r="E2470" s="1">
        <v>-5.0860000000000003</v>
      </c>
      <c r="F2470" t="s">
        <v>26</v>
      </c>
      <c r="G2470" t="str">
        <f>_xlfn.XLOOKUP(transakcje[[#This Row],[podkategoria]],parametr[podkategoria],parametr[kategoria])</f>
        <v>życie</v>
      </c>
      <c r="H2470" t="str">
        <f>_xlfn.XLOOKUP(transakcje[[#This Row],[kategoria]],parametr[kategoria],parametr[typ])</f>
        <v>wydatki</v>
      </c>
      <c r="I2470" s="1">
        <f>ABS(transakcje[[#This Row],[kwota]])</f>
        <v>5.0860000000000003</v>
      </c>
    </row>
    <row r="2471" spans="1:9" x14ac:dyDescent="0.3">
      <c r="A2471">
        <v>2470</v>
      </c>
      <c r="B2471">
        <v>2018</v>
      </c>
      <c r="C2471">
        <v>6</v>
      </c>
      <c r="D2471">
        <v>27</v>
      </c>
      <c r="E2471" s="1">
        <v>-8.6</v>
      </c>
      <c r="F2471" t="s">
        <v>11</v>
      </c>
      <c r="G2471" t="str">
        <f>_xlfn.XLOOKUP(transakcje[[#This Row],[podkategoria]],parametr[podkategoria],parametr[kategoria])</f>
        <v>wydatki inne</v>
      </c>
      <c r="H2471" t="str">
        <f>_xlfn.XLOOKUP(transakcje[[#This Row],[kategoria]],parametr[kategoria],parametr[typ])</f>
        <v>wydatki</v>
      </c>
      <c r="I2471" s="1">
        <f>ABS(transakcje[[#This Row],[kwota]])</f>
        <v>8.6</v>
      </c>
    </row>
    <row r="2472" spans="1:9" x14ac:dyDescent="0.3">
      <c r="A2472">
        <v>2471</v>
      </c>
      <c r="B2472">
        <v>2018</v>
      </c>
      <c r="C2472">
        <v>6</v>
      </c>
      <c r="D2472">
        <v>28</v>
      </c>
      <c r="E2472" s="1">
        <v>-4.8920000000000003</v>
      </c>
      <c r="F2472" t="s">
        <v>26</v>
      </c>
      <c r="G2472" t="str">
        <f>_xlfn.XLOOKUP(transakcje[[#This Row],[podkategoria]],parametr[podkategoria],parametr[kategoria])</f>
        <v>życie</v>
      </c>
      <c r="H2472" t="str">
        <f>_xlfn.XLOOKUP(transakcje[[#This Row],[kategoria]],parametr[kategoria],parametr[typ])</f>
        <v>wydatki</v>
      </c>
      <c r="I2472" s="1">
        <f>ABS(transakcje[[#This Row],[kwota]])</f>
        <v>4.8920000000000003</v>
      </c>
    </row>
    <row r="2473" spans="1:9" x14ac:dyDescent="0.3">
      <c r="A2473">
        <v>2472</v>
      </c>
      <c r="B2473">
        <v>2018</v>
      </c>
      <c r="C2473">
        <v>6</v>
      </c>
      <c r="D2473">
        <v>29</v>
      </c>
      <c r="E2473" s="1">
        <v>-3.4240000000000004</v>
      </c>
      <c r="F2473" t="s">
        <v>26</v>
      </c>
      <c r="G2473" t="str">
        <f>_xlfn.XLOOKUP(transakcje[[#This Row],[podkategoria]],parametr[podkategoria],parametr[kategoria])</f>
        <v>życie</v>
      </c>
      <c r="H2473" t="str">
        <f>_xlfn.XLOOKUP(transakcje[[#This Row],[kategoria]],parametr[kategoria],parametr[typ])</f>
        <v>wydatki</v>
      </c>
      <c r="I2473" s="1">
        <f>ABS(transakcje[[#This Row],[kwota]])</f>
        <v>3.4240000000000004</v>
      </c>
    </row>
    <row r="2474" spans="1:9" x14ac:dyDescent="0.3">
      <c r="A2474">
        <v>2473</v>
      </c>
      <c r="B2474">
        <v>2018</v>
      </c>
      <c r="C2474">
        <v>6</v>
      </c>
      <c r="D2474">
        <v>29</v>
      </c>
      <c r="E2474" s="1">
        <v>-0.54</v>
      </c>
      <c r="F2474" t="s">
        <v>26</v>
      </c>
      <c r="G2474" t="str">
        <f>_xlfn.XLOOKUP(transakcje[[#This Row],[podkategoria]],parametr[podkategoria],parametr[kategoria])</f>
        <v>życie</v>
      </c>
      <c r="H2474" t="str">
        <f>_xlfn.XLOOKUP(transakcje[[#This Row],[kategoria]],parametr[kategoria],parametr[typ])</f>
        <v>wydatki</v>
      </c>
      <c r="I2474" s="1">
        <f>ABS(transakcje[[#This Row],[kwota]])</f>
        <v>0.54</v>
      </c>
    </row>
    <row r="2475" spans="1:9" x14ac:dyDescent="0.3">
      <c r="A2475">
        <v>2474</v>
      </c>
      <c r="B2475">
        <v>2018</v>
      </c>
      <c r="C2475">
        <v>6</v>
      </c>
      <c r="D2475">
        <v>30</v>
      </c>
      <c r="E2475" s="1">
        <v>-2E-3</v>
      </c>
      <c r="F2475" t="s">
        <v>14</v>
      </c>
      <c r="G2475" t="str">
        <f>_xlfn.XLOOKUP(transakcje[[#This Row],[podkategoria]],parametr[podkategoria],parametr[kategoria])</f>
        <v>opłaty stałe</v>
      </c>
      <c r="H2475" t="str">
        <f>_xlfn.XLOOKUP(transakcje[[#This Row],[kategoria]],parametr[kategoria],parametr[typ])</f>
        <v>wydatki</v>
      </c>
      <c r="I2475" s="1">
        <f>ABS(transakcje[[#This Row],[kwota]])</f>
        <v>2E-3</v>
      </c>
    </row>
    <row r="2476" spans="1:9" x14ac:dyDescent="0.3">
      <c r="A2476">
        <v>2475</v>
      </c>
      <c r="B2476">
        <v>2018</v>
      </c>
      <c r="C2476">
        <v>6</v>
      </c>
      <c r="D2476">
        <v>30</v>
      </c>
      <c r="E2476" s="1">
        <v>-1.198</v>
      </c>
      <c r="F2476" t="s">
        <v>14</v>
      </c>
      <c r="G2476" t="str">
        <f>_xlfn.XLOOKUP(transakcje[[#This Row],[podkategoria]],parametr[podkategoria],parametr[kategoria])</f>
        <v>opłaty stałe</v>
      </c>
      <c r="H2476" t="str">
        <f>_xlfn.XLOOKUP(transakcje[[#This Row],[kategoria]],parametr[kategoria],parametr[typ])</f>
        <v>wydatki</v>
      </c>
      <c r="I2476" s="1">
        <f>ABS(transakcje[[#This Row],[kwota]])</f>
        <v>1.198</v>
      </c>
    </row>
    <row r="2477" spans="1:9" x14ac:dyDescent="0.3">
      <c r="A2477">
        <v>2476</v>
      </c>
      <c r="B2477">
        <v>2018</v>
      </c>
      <c r="C2477">
        <v>6</v>
      </c>
      <c r="D2477">
        <v>30</v>
      </c>
      <c r="E2477" s="1">
        <v>-0.4</v>
      </c>
      <c r="F2477" t="s">
        <v>14</v>
      </c>
      <c r="G2477" t="str">
        <f>_xlfn.XLOOKUP(transakcje[[#This Row],[podkategoria]],parametr[podkategoria],parametr[kategoria])</f>
        <v>opłaty stałe</v>
      </c>
      <c r="H2477" t="str">
        <f>_xlfn.XLOOKUP(transakcje[[#This Row],[kategoria]],parametr[kategoria],parametr[typ])</f>
        <v>wydatki</v>
      </c>
      <c r="I2477" s="1">
        <f>ABS(transakcje[[#This Row],[kwota]])</f>
        <v>0.4</v>
      </c>
    </row>
    <row r="2478" spans="1:9" x14ac:dyDescent="0.3">
      <c r="A2478">
        <v>2477</v>
      </c>
      <c r="B2478">
        <v>2018</v>
      </c>
      <c r="C2478">
        <v>6</v>
      </c>
      <c r="D2478">
        <v>30</v>
      </c>
      <c r="E2478" s="1">
        <v>2E-3</v>
      </c>
      <c r="F2478" t="s">
        <v>17</v>
      </c>
      <c r="G2478" t="str">
        <f>_xlfn.XLOOKUP(transakcje[[#This Row],[podkategoria]],parametr[podkategoria],parametr[kategoria])</f>
        <v>dochody pozostałe</v>
      </c>
      <c r="H2478" t="str">
        <f>_xlfn.XLOOKUP(transakcje[[#This Row],[kategoria]],parametr[kategoria],parametr[typ])</f>
        <v>dochody</v>
      </c>
      <c r="I2478" s="1">
        <f>ABS(transakcje[[#This Row],[kwota]])</f>
        <v>2E-3</v>
      </c>
    </row>
    <row r="2479" spans="1:9" x14ac:dyDescent="0.3">
      <c r="A2479">
        <v>2478</v>
      </c>
      <c r="B2479">
        <v>2018</v>
      </c>
      <c r="C2479">
        <v>7</v>
      </c>
      <c r="D2479">
        <v>1</v>
      </c>
      <c r="E2479" s="1">
        <v>-5.8</v>
      </c>
      <c r="F2479" t="s">
        <v>25</v>
      </c>
      <c r="G2479" t="str">
        <f>_xlfn.XLOOKUP(transakcje[[#This Row],[podkategoria]],parametr[podkategoria],parametr[kategoria])</f>
        <v>opłaty stałe</v>
      </c>
      <c r="H2479" t="str">
        <f>_xlfn.XLOOKUP(transakcje[[#This Row],[kategoria]],parametr[kategoria],parametr[typ])</f>
        <v>wydatki</v>
      </c>
      <c r="I2479" s="1">
        <f>ABS(transakcje[[#This Row],[kwota]])</f>
        <v>5.8</v>
      </c>
    </row>
    <row r="2480" spans="1:9" x14ac:dyDescent="0.3">
      <c r="A2480">
        <v>2479</v>
      </c>
      <c r="B2480">
        <v>2018</v>
      </c>
      <c r="C2480">
        <v>7</v>
      </c>
      <c r="D2480">
        <v>1</v>
      </c>
      <c r="E2480" s="1">
        <v>-7.38</v>
      </c>
      <c r="F2480" t="s">
        <v>23</v>
      </c>
      <c r="G2480" t="str">
        <f>_xlfn.XLOOKUP(transakcje[[#This Row],[podkategoria]],parametr[podkategoria],parametr[kategoria])</f>
        <v>opłaty stałe</v>
      </c>
      <c r="H2480" t="str">
        <f>_xlfn.XLOOKUP(transakcje[[#This Row],[kategoria]],parametr[kategoria],parametr[typ])</f>
        <v>wydatki</v>
      </c>
      <c r="I2480" s="1">
        <f>ABS(transakcje[[#This Row],[kwota]])</f>
        <v>7.38</v>
      </c>
    </row>
    <row r="2481" spans="1:9" x14ac:dyDescent="0.3">
      <c r="A2481">
        <v>2480</v>
      </c>
      <c r="B2481">
        <v>2018</v>
      </c>
      <c r="C2481">
        <v>7</v>
      </c>
      <c r="D2481">
        <v>1</v>
      </c>
      <c r="E2481" s="1">
        <v>-65.489999999999995</v>
      </c>
      <c r="F2481" t="s">
        <v>31</v>
      </c>
      <c r="G2481" t="str">
        <f>_xlfn.XLOOKUP(transakcje[[#This Row],[podkategoria]],parametr[podkategoria],parametr[kategoria])</f>
        <v>opłaty stałe</v>
      </c>
      <c r="H2481" t="str">
        <f>_xlfn.XLOOKUP(transakcje[[#This Row],[kategoria]],parametr[kategoria],parametr[typ])</f>
        <v>wydatki</v>
      </c>
      <c r="I2481" s="1">
        <f>ABS(transakcje[[#This Row],[kwota]])</f>
        <v>65.489999999999995</v>
      </c>
    </row>
    <row r="2482" spans="1:9" x14ac:dyDescent="0.3">
      <c r="A2482">
        <v>2481</v>
      </c>
      <c r="B2482">
        <v>2018</v>
      </c>
      <c r="C2482">
        <v>7</v>
      </c>
      <c r="D2482">
        <v>1</v>
      </c>
      <c r="E2482" s="1">
        <v>-14.084</v>
      </c>
      <c r="F2482" t="s">
        <v>34</v>
      </c>
      <c r="G2482" t="str">
        <f>_xlfn.XLOOKUP(transakcje[[#This Row],[podkategoria]],parametr[podkategoria],parametr[kategoria])</f>
        <v>opłaty stałe</v>
      </c>
      <c r="H2482" t="str">
        <f>_xlfn.XLOOKUP(transakcje[[#This Row],[kategoria]],parametr[kategoria],parametr[typ])</f>
        <v>wydatki</v>
      </c>
      <c r="I2482" s="1">
        <f>ABS(transakcje[[#This Row],[kwota]])</f>
        <v>14.084</v>
      </c>
    </row>
    <row r="2483" spans="1:9" x14ac:dyDescent="0.3">
      <c r="A2483">
        <v>2482</v>
      </c>
      <c r="B2483">
        <v>2018</v>
      </c>
      <c r="C2483">
        <v>7</v>
      </c>
      <c r="D2483">
        <v>1</v>
      </c>
      <c r="E2483" s="1">
        <v>-6.0520000000000005</v>
      </c>
      <c r="F2483" t="s">
        <v>35</v>
      </c>
      <c r="G2483" t="str">
        <f>_xlfn.XLOOKUP(transakcje[[#This Row],[podkategoria]],parametr[podkategoria],parametr[kategoria])</f>
        <v>opłaty stałe</v>
      </c>
      <c r="H2483" t="str">
        <f>_xlfn.XLOOKUP(transakcje[[#This Row],[kategoria]],parametr[kategoria],parametr[typ])</f>
        <v>wydatki</v>
      </c>
      <c r="I2483" s="1">
        <f>ABS(transakcje[[#This Row],[kwota]])</f>
        <v>6.0520000000000005</v>
      </c>
    </row>
    <row r="2484" spans="1:9" x14ac:dyDescent="0.3">
      <c r="A2484">
        <v>2483</v>
      </c>
      <c r="B2484">
        <v>2018</v>
      </c>
      <c r="C2484">
        <v>7</v>
      </c>
      <c r="D2484">
        <v>4</v>
      </c>
      <c r="E2484" s="1">
        <v>-7.6579999999999995</v>
      </c>
      <c r="F2484" t="s">
        <v>26</v>
      </c>
      <c r="G2484" t="str">
        <f>_xlfn.XLOOKUP(transakcje[[#This Row],[podkategoria]],parametr[podkategoria],parametr[kategoria])</f>
        <v>życie</v>
      </c>
      <c r="H2484" t="str">
        <f>_xlfn.XLOOKUP(transakcje[[#This Row],[kategoria]],parametr[kategoria],parametr[typ])</f>
        <v>wydatki</v>
      </c>
      <c r="I2484" s="1">
        <f>ABS(transakcje[[#This Row],[kwota]])</f>
        <v>7.6579999999999995</v>
      </c>
    </row>
    <row r="2485" spans="1:9" x14ac:dyDescent="0.3">
      <c r="A2485">
        <v>2484</v>
      </c>
      <c r="B2485">
        <v>2018</v>
      </c>
      <c r="C2485">
        <v>7</v>
      </c>
      <c r="D2485">
        <v>5</v>
      </c>
      <c r="E2485" s="1">
        <v>-7.2640000000000002</v>
      </c>
      <c r="F2485" t="s">
        <v>26</v>
      </c>
      <c r="G2485" t="str">
        <f>_xlfn.XLOOKUP(transakcje[[#This Row],[podkategoria]],parametr[podkategoria],parametr[kategoria])</f>
        <v>życie</v>
      </c>
      <c r="H2485" t="str">
        <f>_xlfn.XLOOKUP(transakcje[[#This Row],[kategoria]],parametr[kategoria],parametr[typ])</f>
        <v>wydatki</v>
      </c>
      <c r="I2485" s="1">
        <f>ABS(transakcje[[#This Row],[kwota]])</f>
        <v>7.2640000000000002</v>
      </c>
    </row>
    <row r="2486" spans="1:9" x14ac:dyDescent="0.3">
      <c r="A2486">
        <v>2485</v>
      </c>
      <c r="B2486">
        <v>2018</v>
      </c>
      <c r="C2486">
        <v>7</v>
      </c>
      <c r="D2486">
        <v>11</v>
      </c>
      <c r="E2486" s="1">
        <v>-8.8360000000000003</v>
      </c>
      <c r="F2486" t="s">
        <v>26</v>
      </c>
      <c r="G2486" t="str">
        <f>_xlfn.XLOOKUP(transakcje[[#This Row],[podkategoria]],parametr[podkategoria],parametr[kategoria])</f>
        <v>życie</v>
      </c>
      <c r="H2486" t="str">
        <f>_xlfn.XLOOKUP(transakcje[[#This Row],[kategoria]],parametr[kategoria],parametr[typ])</f>
        <v>wydatki</v>
      </c>
      <c r="I2486" s="1">
        <f>ABS(transakcje[[#This Row],[kwota]])</f>
        <v>8.8360000000000003</v>
      </c>
    </row>
    <row r="2487" spans="1:9" x14ac:dyDescent="0.3">
      <c r="A2487">
        <v>2486</v>
      </c>
      <c r="B2487">
        <v>2018</v>
      </c>
      <c r="C2487">
        <v>7</v>
      </c>
      <c r="D2487">
        <v>12</v>
      </c>
      <c r="E2487" s="1">
        <v>-10.492000000000001</v>
      </c>
      <c r="F2487" t="s">
        <v>26</v>
      </c>
      <c r="G2487" t="str">
        <f>_xlfn.XLOOKUP(transakcje[[#This Row],[podkategoria]],parametr[podkategoria],parametr[kategoria])</f>
        <v>życie</v>
      </c>
      <c r="H2487" t="str">
        <f>_xlfn.XLOOKUP(transakcje[[#This Row],[kategoria]],parametr[kategoria],parametr[typ])</f>
        <v>wydatki</v>
      </c>
      <c r="I2487" s="1">
        <f>ABS(transakcje[[#This Row],[kwota]])</f>
        <v>10.492000000000001</v>
      </c>
    </row>
    <row r="2488" spans="1:9" x14ac:dyDescent="0.3">
      <c r="A2488">
        <v>2487</v>
      </c>
      <c r="B2488">
        <v>2018</v>
      </c>
      <c r="C2488">
        <v>7</v>
      </c>
      <c r="D2488">
        <v>16</v>
      </c>
      <c r="E2488" s="1">
        <v>-4.91</v>
      </c>
      <c r="F2488" t="s">
        <v>26</v>
      </c>
      <c r="G2488" t="str">
        <f>_xlfn.XLOOKUP(transakcje[[#This Row],[podkategoria]],parametr[podkategoria],parametr[kategoria])</f>
        <v>życie</v>
      </c>
      <c r="H2488" t="str">
        <f>_xlfn.XLOOKUP(transakcje[[#This Row],[kategoria]],parametr[kategoria],parametr[typ])</f>
        <v>wydatki</v>
      </c>
      <c r="I2488" s="1">
        <f>ABS(transakcje[[#This Row],[kwota]])</f>
        <v>4.91</v>
      </c>
    </row>
    <row r="2489" spans="1:9" x14ac:dyDescent="0.3">
      <c r="A2489">
        <v>2488</v>
      </c>
      <c r="B2489">
        <v>2018</v>
      </c>
      <c r="C2489">
        <v>7</v>
      </c>
      <c r="D2489">
        <v>17</v>
      </c>
      <c r="E2489" s="1">
        <v>-28</v>
      </c>
      <c r="F2489" t="s">
        <v>26</v>
      </c>
      <c r="G2489" t="str">
        <f>_xlfn.XLOOKUP(transakcje[[#This Row],[podkategoria]],parametr[podkategoria],parametr[kategoria])</f>
        <v>życie</v>
      </c>
      <c r="H2489" t="str">
        <f>_xlfn.XLOOKUP(transakcje[[#This Row],[kategoria]],parametr[kategoria],parametr[typ])</f>
        <v>wydatki</v>
      </c>
      <c r="I2489" s="1">
        <f>ABS(transakcje[[#This Row],[kwota]])</f>
        <v>28</v>
      </c>
    </row>
    <row r="2490" spans="1:9" x14ac:dyDescent="0.3">
      <c r="A2490">
        <v>2489</v>
      </c>
      <c r="B2490">
        <v>2018</v>
      </c>
      <c r="C2490">
        <v>7</v>
      </c>
      <c r="D2490">
        <v>17</v>
      </c>
      <c r="E2490" s="1">
        <v>-0.39800000000000002</v>
      </c>
      <c r="F2490" t="s">
        <v>14</v>
      </c>
      <c r="G2490" t="str">
        <f>_xlfn.XLOOKUP(transakcje[[#This Row],[podkategoria]],parametr[podkategoria],parametr[kategoria])</f>
        <v>opłaty stałe</v>
      </c>
      <c r="H2490" t="str">
        <f>_xlfn.XLOOKUP(transakcje[[#This Row],[kategoria]],parametr[kategoria],parametr[typ])</f>
        <v>wydatki</v>
      </c>
      <c r="I2490" s="1">
        <f>ABS(transakcje[[#This Row],[kwota]])</f>
        <v>0.39800000000000002</v>
      </c>
    </row>
    <row r="2491" spans="1:9" x14ac:dyDescent="0.3">
      <c r="A2491">
        <v>2490</v>
      </c>
      <c r="B2491">
        <v>2018</v>
      </c>
      <c r="C2491">
        <v>7</v>
      </c>
      <c r="D2491">
        <v>17</v>
      </c>
      <c r="E2491" s="1">
        <v>-4.5960000000000001</v>
      </c>
      <c r="F2491" t="s">
        <v>24</v>
      </c>
      <c r="G2491" t="str">
        <f>_xlfn.XLOOKUP(transakcje[[#This Row],[podkategoria]],parametr[podkategoria],parametr[kategoria])</f>
        <v>trwałe</v>
      </c>
      <c r="H2491" t="str">
        <f>_xlfn.XLOOKUP(transakcje[[#This Row],[kategoria]],parametr[kategoria],parametr[typ])</f>
        <v>wydatki</v>
      </c>
      <c r="I2491" s="1">
        <f>ABS(transakcje[[#This Row],[kwota]])</f>
        <v>4.5960000000000001</v>
      </c>
    </row>
    <row r="2492" spans="1:9" x14ac:dyDescent="0.3">
      <c r="A2492">
        <v>2491</v>
      </c>
      <c r="B2492">
        <v>2018</v>
      </c>
      <c r="C2492">
        <v>7</v>
      </c>
      <c r="D2492">
        <v>18</v>
      </c>
      <c r="E2492" s="1">
        <v>-0.82599999999999996</v>
      </c>
      <c r="F2492" t="s">
        <v>26</v>
      </c>
      <c r="G2492" t="str">
        <f>_xlfn.XLOOKUP(transakcje[[#This Row],[podkategoria]],parametr[podkategoria],parametr[kategoria])</f>
        <v>życie</v>
      </c>
      <c r="H2492" t="str">
        <f>_xlfn.XLOOKUP(transakcje[[#This Row],[kategoria]],parametr[kategoria],parametr[typ])</f>
        <v>wydatki</v>
      </c>
      <c r="I2492" s="1">
        <f>ABS(transakcje[[#This Row],[kwota]])</f>
        <v>0.82599999999999996</v>
      </c>
    </row>
    <row r="2493" spans="1:9" x14ac:dyDescent="0.3">
      <c r="A2493">
        <v>2492</v>
      </c>
      <c r="B2493">
        <v>2018</v>
      </c>
      <c r="C2493">
        <v>7</v>
      </c>
      <c r="D2493">
        <v>18</v>
      </c>
      <c r="E2493" s="1">
        <v>-0.6</v>
      </c>
      <c r="F2493" t="s">
        <v>26</v>
      </c>
      <c r="G2493" t="str">
        <f>_xlfn.XLOOKUP(transakcje[[#This Row],[podkategoria]],parametr[podkategoria],parametr[kategoria])</f>
        <v>życie</v>
      </c>
      <c r="H2493" t="str">
        <f>_xlfn.XLOOKUP(transakcje[[#This Row],[kategoria]],parametr[kategoria],parametr[typ])</f>
        <v>wydatki</v>
      </c>
      <c r="I2493" s="1">
        <f>ABS(transakcje[[#This Row],[kwota]])</f>
        <v>0.6</v>
      </c>
    </row>
    <row r="2494" spans="1:9" x14ac:dyDescent="0.3">
      <c r="A2494">
        <v>2493</v>
      </c>
      <c r="B2494">
        <v>2018</v>
      </c>
      <c r="C2494">
        <v>7</v>
      </c>
      <c r="D2494">
        <v>24</v>
      </c>
      <c r="E2494" s="1">
        <v>-20.399999999999999</v>
      </c>
      <c r="F2494" t="s">
        <v>32</v>
      </c>
      <c r="G2494" t="str">
        <f>_xlfn.XLOOKUP(transakcje[[#This Row],[podkategoria]],parametr[podkategoria],parametr[kategoria])</f>
        <v>opłaty stałe</v>
      </c>
      <c r="H2494" t="str">
        <f>_xlfn.XLOOKUP(transakcje[[#This Row],[kategoria]],parametr[kategoria],parametr[typ])</f>
        <v>wydatki</v>
      </c>
      <c r="I2494" s="1">
        <f>ABS(transakcje[[#This Row],[kwota]])</f>
        <v>20.399999999999999</v>
      </c>
    </row>
    <row r="2495" spans="1:9" x14ac:dyDescent="0.3">
      <c r="A2495">
        <v>2494</v>
      </c>
      <c r="B2495">
        <v>2018</v>
      </c>
      <c r="C2495">
        <v>7</v>
      </c>
      <c r="D2495">
        <v>24</v>
      </c>
      <c r="E2495" s="1">
        <v>-7.7239999999999993</v>
      </c>
      <c r="F2495" t="s">
        <v>26</v>
      </c>
      <c r="G2495" t="str">
        <f>_xlfn.XLOOKUP(transakcje[[#This Row],[podkategoria]],parametr[podkategoria],parametr[kategoria])</f>
        <v>życie</v>
      </c>
      <c r="H2495" t="str">
        <f>_xlfn.XLOOKUP(transakcje[[#This Row],[kategoria]],parametr[kategoria],parametr[typ])</f>
        <v>wydatki</v>
      </c>
      <c r="I2495" s="1">
        <f>ABS(transakcje[[#This Row],[kwota]])</f>
        <v>7.7239999999999993</v>
      </c>
    </row>
    <row r="2496" spans="1:9" x14ac:dyDescent="0.3">
      <c r="A2496">
        <v>2495</v>
      </c>
      <c r="B2496">
        <v>2018</v>
      </c>
      <c r="C2496">
        <v>7</v>
      </c>
      <c r="D2496">
        <v>25</v>
      </c>
      <c r="E2496" s="1">
        <v>554.77800000000002</v>
      </c>
      <c r="F2496" t="s">
        <v>8</v>
      </c>
      <c r="G2496" t="str">
        <f>_xlfn.XLOOKUP(transakcje[[#This Row],[podkategoria]],parametr[podkategoria],parametr[kategoria])</f>
        <v>dochody z pracy</v>
      </c>
      <c r="H2496" t="str">
        <f>_xlfn.XLOOKUP(transakcje[[#This Row],[kategoria]],parametr[kategoria],parametr[typ])</f>
        <v>dochody</v>
      </c>
      <c r="I2496" s="1">
        <f>ABS(transakcje[[#This Row],[kwota]])</f>
        <v>554.77800000000002</v>
      </c>
    </row>
    <row r="2497" spans="1:9" x14ac:dyDescent="0.3">
      <c r="A2497">
        <v>2496</v>
      </c>
      <c r="B2497">
        <v>2018</v>
      </c>
      <c r="C2497">
        <v>7</v>
      </c>
      <c r="D2497">
        <v>25</v>
      </c>
      <c r="E2497" s="1">
        <v>-1.46</v>
      </c>
      <c r="F2497" t="s">
        <v>26</v>
      </c>
      <c r="G2497" t="str">
        <f>_xlfn.XLOOKUP(transakcje[[#This Row],[podkategoria]],parametr[podkategoria],parametr[kategoria])</f>
        <v>życie</v>
      </c>
      <c r="H2497" t="str">
        <f>_xlfn.XLOOKUP(transakcje[[#This Row],[kategoria]],parametr[kategoria],parametr[typ])</f>
        <v>wydatki</v>
      </c>
      <c r="I2497" s="1">
        <f>ABS(transakcje[[#This Row],[kwota]])</f>
        <v>1.46</v>
      </c>
    </row>
    <row r="2498" spans="1:9" x14ac:dyDescent="0.3">
      <c r="A2498">
        <v>2497</v>
      </c>
      <c r="B2498">
        <v>2018</v>
      </c>
      <c r="C2498">
        <v>7</v>
      </c>
      <c r="D2498">
        <v>25</v>
      </c>
      <c r="E2498" s="1">
        <v>-2.8879999999999999</v>
      </c>
      <c r="F2498" t="s">
        <v>26</v>
      </c>
      <c r="G2498" t="str">
        <f>_xlfn.XLOOKUP(transakcje[[#This Row],[podkategoria]],parametr[podkategoria],parametr[kategoria])</f>
        <v>życie</v>
      </c>
      <c r="H2498" t="str">
        <f>_xlfn.XLOOKUP(transakcje[[#This Row],[kategoria]],parametr[kategoria],parametr[typ])</f>
        <v>wydatki</v>
      </c>
      <c r="I2498" s="1">
        <f>ABS(transakcje[[#This Row],[kwota]])</f>
        <v>2.8879999999999999</v>
      </c>
    </row>
    <row r="2499" spans="1:9" x14ac:dyDescent="0.3">
      <c r="A2499">
        <v>2498</v>
      </c>
      <c r="B2499">
        <v>2018</v>
      </c>
      <c r="C2499">
        <v>7</v>
      </c>
      <c r="D2499">
        <v>26</v>
      </c>
      <c r="E2499" s="1">
        <v>-5.9</v>
      </c>
      <c r="F2499" t="s">
        <v>26</v>
      </c>
      <c r="G2499" t="str">
        <f>_xlfn.XLOOKUP(transakcje[[#This Row],[podkategoria]],parametr[podkategoria],parametr[kategoria])</f>
        <v>życie</v>
      </c>
      <c r="H2499" t="str">
        <f>_xlfn.XLOOKUP(transakcje[[#This Row],[kategoria]],parametr[kategoria],parametr[typ])</f>
        <v>wydatki</v>
      </c>
      <c r="I2499" s="1">
        <f>ABS(transakcje[[#This Row],[kwota]])</f>
        <v>5.9</v>
      </c>
    </row>
    <row r="2500" spans="1:9" x14ac:dyDescent="0.3">
      <c r="A2500">
        <v>2499</v>
      </c>
      <c r="B2500">
        <v>2018</v>
      </c>
      <c r="C2500">
        <v>7</v>
      </c>
      <c r="D2500">
        <v>28</v>
      </c>
      <c r="E2500" s="1">
        <v>-17.018000000000001</v>
      </c>
      <c r="F2500" t="s">
        <v>26</v>
      </c>
      <c r="G2500" t="str">
        <f>_xlfn.XLOOKUP(transakcje[[#This Row],[podkategoria]],parametr[podkategoria],parametr[kategoria])</f>
        <v>życie</v>
      </c>
      <c r="H2500" t="str">
        <f>_xlfn.XLOOKUP(transakcje[[#This Row],[kategoria]],parametr[kategoria],parametr[typ])</f>
        <v>wydatki</v>
      </c>
      <c r="I2500" s="1">
        <f>ABS(transakcje[[#This Row],[kwota]])</f>
        <v>17.018000000000001</v>
      </c>
    </row>
    <row r="2501" spans="1:9" x14ac:dyDescent="0.3">
      <c r="A2501">
        <v>2500</v>
      </c>
      <c r="B2501">
        <v>2018</v>
      </c>
      <c r="C2501">
        <v>7</v>
      </c>
      <c r="D2501">
        <v>29</v>
      </c>
      <c r="E2501" s="1">
        <v>-12.825999999999999</v>
      </c>
      <c r="F2501" t="s">
        <v>11</v>
      </c>
      <c r="G2501" t="str">
        <f>_xlfn.XLOOKUP(transakcje[[#This Row],[podkategoria]],parametr[podkategoria],parametr[kategoria])</f>
        <v>wydatki inne</v>
      </c>
      <c r="H2501" t="str">
        <f>_xlfn.XLOOKUP(transakcje[[#This Row],[kategoria]],parametr[kategoria],parametr[typ])</f>
        <v>wydatki</v>
      </c>
      <c r="I2501" s="1">
        <f>ABS(transakcje[[#This Row],[kwota]])</f>
        <v>12.825999999999999</v>
      </c>
    </row>
    <row r="2502" spans="1:9" x14ac:dyDescent="0.3">
      <c r="A2502">
        <v>2501</v>
      </c>
      <c r="B2502">
        <v>2018</v>
      </c>
      <c r="C2502">
        <v>7</v>
      </c>
      <c r="D2502">
        <v>31</v>
      </c>
      <c r="E2502" s="1">
        <v>-6.3040000000000003</v>
      </c>
      <c r="F2502" t="s">
        <v>26</v>
      </c>
      <c r="G2502" t="str">
        <f>_xlfn.XLOOKUP(transakcje[[#This Row],[podkategoria]],parametr[podkategoria],parametr[kategoria])</f>
        <v>życie</v>
      </c>
      <c r="H2502" t="str">
        <f>_xlfn.XLOOKUP(transakcje[[#This Row],[kategoria]],parametr[kategoria],parametr[typ])</f>
        <v>wydatki</v>
      </c>
      <c r="I2502" s="1">
        <f>ABS(transakcje[[#This Row],[kwota]])</f>
        <v>6.3040000000000003</v>
      </c>
    </row>
    <row r="2503" spans="1:9" x14ac:dyDescent="0.3">
      <c r="A2503">
        <v>2502</v>
      </c>
      <c r="B2503">
        <v>2018</v>
      </c>
      <c r="C2503">
        <v>7</v>
      </c>
      <c r="D2503">
        <v>31</v>
      </c>
      <c r="E2503" s="1">
        <v>4.0000000000000001E-3</v>
      </c>
      <c r="F2503" t="s">
        <v>17</v>
      </c>
      <c r="G2503" t="str">
        <f>_xlfn.XLOOKUP(transakcje[[#This Row],[podkategoria]],parametr[podkategoria],parametr[kategoria])</f>
        <v>dochody pozostałe</v>
      </c>
      <c r="H2503" t="str">
        <f>_xlfn.XLOOKUP(transakcje[[#This Row],[kategoria]],parametr[kategoria],parametr[typ])</f>
        <v>dochody</v>
      </c>
      <c r="I2503" s="1">
        <f>ABS(transakcje[[#This Row],[kwota]])</f>
        <v>4.0000000000000001E-3</v>
      </c>
    </row>
    <row r="2504" spans="1:9" x14ac:dyDescent="0.3">
      <c r="A2504">
        <v>2503</v>
      </c>
      <c r="B2504">
        <v>2018</v>
      </c>
      <c r="C2504">
        <v>7</v>
      </c>
      <c r="D2504">
        <v>31</v>
      </c>
      <c r="E2504" s="1">
        <v>-2E-3</v>
      </c>
      <c r="F2504" t="s">
        <v>14</v>
      </c>
      <c r="G2504" t="str">
        <f>_xlfn.XLOOKUP(transakcje[[#This Row],[podkategoria]],parametr[podkategoria],parametr[kategoria])</f>
        <v>opłaty stałe</v>
      </c>
      <c r="H2504" t="str">
        <f>_xlfn.XLOOKUP(transakcje[[#This Row],[kategoria]],parametr[kategoria],parametr[typ])</f>
        <v>wydatki</v>
      </c>
      <c r="I2504" s="1">
        <f>ABS(transakcje[[#This Row],[kwota]])</f>
        <v>2E-3</v>
      </c>
    </row>
    <row r="2505" spans="1:9" x14ac:dyDescent="0.3">
      <c r="A2505">
        <v>2504</v>
      </c>
      <c r="B2505">
        <v>2018</v>
      </c>
      <c r="C2505">
        <v>7</v>
      </c>
      <c r="D2505">
        <v>31</v>
      </c>
      <c r="E2505" s="1">
        <v>205.334</v>
      </c>
      <c r="F2505" t="s">
        <v>19</v>
      </c>
      <c r="G2505" t="str">
        <f>_xlfn.XLOOKUP(transakcje[[#This Row],[podkategoria]],parametr[podkategoria],parametr[kategoria])</f>
        <v>dochody z pracy</v>
      </c>
      <c r="H2505" t="str">
        <f>_xlfn.XLOOKUP(transakcje[[#This Row],[kategoria]],parametr[kategoria],parametr[typ])</f>
        <v>dochody</v>
      </c>
      <c r="I2505" s="1">
        <f>ABS(transakcje[[#This Row],[kwota]])</f>
        <v>205.334</v>
      </c>
    </row>
    <row r="2506" spans="1:9" x14ac:dyDescent="0.3">
      <c r="A2506">
        <v>2505</v>
      </c>
      <c r="B2506">
        <v>2018</v>
      </c>
      <c r="C2506">
        <v>7</v>
      </c>
      <c r="D2506">
        <v>31</v>
      </c>
      <c r="E2506" s="1">
        <v>-1.198</v>
      </c>
      <c r="F2506" t="s">
        <v>14</v>
      </c>
      <c r="G2506" t="str">
        <f>_xlfn.XLOOKUP(transakcje[[#This Row],[podkategoria]],parametr[podkategoria],parametr[kategoria])</f>
        <v>opłaty stałe</v>
      </c>
      <c r="H2506" t="str">
        <f>_xlfn.XLOOKUP(transakcje[[#This Row],[kategoria]],parametr[kategoria],parametr[typ])</f>
        <v>wydatki</v>
      </c>
      <c r="I2506" s="1">
        <f>ABS(transakcje[[#This Row],[kwota]])</f>
        <v>1.198</v>
      </c>
    </row>
    <row r="2507" spans="1:9" x14ac:dyDescent="0.3">
      <c r="A2507">
        <v>2506</v>
      </c>
      <c r="B2507">
        <v>2018</v>
      </c>
      <c r="C2507">
        <v>7</v>
      </c>
      <c r="D2507">
        <v>31</v>
      </c>
      <c r="E2507" s="1">
        <v>-1.3640000000000001</v>
      </c>
      <c r="F2507" t="s">
        <v>26</v>
      </c>
      <c r="G2507" t="str">
        <f>_xlfn.XLOOKUP(transakcje[[#This Row],[podkategoria]],parametr[podkategoria],parametr[kategoria])</f>
        <v>życie</v>
      </c>
      <c r="H2507" t="str">
        <f>_xlfn.XLOOKUP(transakcje[[#This Row],[kategoria]],parametr[kategoria],parametr[typ])</f>
        <v>wydatki</v>
      </c>
      <c r="I2507" s="1">
        <f>ABS(transakcje[[#This Row],[kwota]])</f>
        <v>1.3640000000000001</v>
      </c>
    </row>
    <row r="2508" spans="1:9" x14ac:dyDescent="0.3">
      <c r="A2508">
        <v>2507</v>
      </c>
      <c r="B2508">
        <v>2018</v>
      </c>
      <c r="C2508">
        <v>8</v>
      </c>
      <c r="D2508">
        <v>1</v>
      </c>
      <c r="E2508" s="1">
        <v>-2.2719999999999998</v>
      </c>
      <c r="F2508" t="s">
        <v>26</v>
      </c>
      <c r="G2508" t="str">
        <f>_xlfn.XLOOKUP(transakcje[[#This Row],[podkategoria]],parametr[podkategoria],parametr[kategoria])</f>
        <v>życie</v>
      </c>
      <c r="H2508" t="str">
        <f>_xlfn.XLOOKUP(transakcje[[#This Row],[kategoria]],parametr[kategoria],parametr[typ])</f>
        <v>wydatki</v>
      </c>
      <c r="I2508" s="1">
        <f>ABS(transakcje[[#This Row],[kwota]])</f>
        <v>2.2719999999999998</v>
      </c>
    </row>
    <row r="2509" spans="1:9" x14ac:dyDescent="0.3">
      <c r="A2509">
        <v>2508</v>
      </c>
      <c r="B2509">
        <v>2018</v>
      </c>
      <c r="C2509">
        <v>8</v>
      </c>
      <c r="D2509">
        <v>3</v>
      </c>
      <c r="E2509" s="1">
        <v>-6.8260000000000005</v>
      </c>
      <c r="F2509" t="s">
        <v>26</v>
      </c>
      <c r="G2509" t="str">
        <f>_xlfn.XLOOKUP(transakcje[[#This Row],[podkategoria]],parametr[podkategoria],parametr[kategoria])</f>
        <v>życie</v>
      </c>
      <c r="H2509" t="str">
        <f>_xlfn.XLOOKUP(transakcje[[#This Row],[kategoria]],parametr[kategoria],parametr[typ])</f>
        <v>wydatki</v>
      </c>
      <c r="I2509" s="1">
        <f>ABS(transakcje[[#This Row],[kwota]])</f>
        <v>6.8260000000000005</v>
      </c>
    </row>
    <row r="2510" spans="1:9" x14ac:dyDescent="0.3">
      <c r="A2510">
        <v>2509</v>
      </c>
      <c r="B2510">
        <v>2018</v>
      </c>
      <c r="C2510">
        <v>8</v>
      </c>
      <c r="D2510">
        <v>4</v>
      </c>
      <c r="E2510" s="1">
        <v>-5.8</v>
      </c>
      <c r="F2510" t="s">
        <v>25</v>
      </c>
      <c r="G2510" t="str">
        <f>_xlfn.XLOOKUP(transakcje[[#This Row],[podkategoria]],parametr[podkategoria],parametr[kategoria])</f>
        <v>opłaty stałe</v>
      </c>
      <c r="H2510" t="str">
        <f>_xlfn.XLOOKUP(transakcje[[#This Row],[kategoria]],parametr[kategoria],parametr[typ])</f>
        <v>wydatki</v>
      </c>
      <c r="I2510" s="1">
        <f>ABS(transakcje[[#This Row],[kwota]])</f>
        <v>5.8</v>
      </c>
    </row>
    <row r="2511" spans="1:9" x14ac:dyDescent="0.3">
      <c r="A2511">
        <v>2510</v>
      </c>
      <c r="B2511">
        <v>2018</v>
      </c>
      <c r="C2511">
        <v>8</v>
      </c>
      <c r="D2511">
        <v>4</v>
      </c>
      <c r="E2511" s="1">
        <v>-7.38</v>
      </c>
      <c r="F2511" t="s">
        <v>23</v>
      </c>
      <c r="G2511" t="str">
        <f>_xlfn.XLOOKUP(transakcje[[#This Row],[podkategoria]],parametr[podkategoria],parametr[kategoria])</f>
        <v>opłaty stałe</v>
      </c>
      <c r="H2511" t="str">
        <f>_xlfn.XLOOKUP(transakcje[[#This Row],[kategoria]],parametr[kategoria],parametr[typ])</f>
        <v>wydatki</v>
      </c>
      <c r="I2511" s="1">
        <f>ABS(transakcje[[#This Row],[kwota]])</f>
        <v>7.38</v>
      </c>
    </row>
    <row r="2512" spans="1:9" x14ac:dyDescent="0.3">
      <c r="A2512">
        <v>2511</v>
      </c>
      <c r="B2512">
        <v>2018</v>
      </c>
      <c r="C2512">
        <v>8</v>
      </c>
      <c r="D2512">
        <v>4</v>
      </c>
      <c r="E2512" s="1">
        <v>-65.489999999999995</v>
      </c>
      <c r="F2512" t="s">
        <v>31</v>
      </c>
      <c r="G2512" t="str">
        <f>_xlfn.XLOOKUP(transakcje[[#This Row],[podkategoria]],parametr[podkategoria],parametr[kategoria])</f>
        <v>opłaty stałe</v>
      </c>
      <c r="H2512" t="str">
        <f>_xlfn.XLOOKUP(transakcje[[#This Row],[kategoria]],parametr[kategoria],parametr[typ])</f>
        <v>wydatki</v>
      </c>
      <c r="I2512" s="1">
        <f>ABS(transakcje[[#This Row],[kwota]])</f>
        <v>65.489999999999995</v>
      </c>
    </row>
    <row r="2513" spans="1:9" x14ac:dyDescent="0.3">
      <c r="A2513">
        <v>2512</v>
      </c>
      <c r="B2513">
        <v>2018</v>
      </c>
      <c r="C2513">
        <v>8</v>
      </c>
      <c r="D2513">
        <v>7</v>
      </c>
      <c r="E2513" s="1">
        <v>-1.53</v>
      </c>
      <c r="F2513" t="s">
        <v>26</v>
      </c>
      <c r="G2513" t="str">
        <f>_xlfn.XLOOKUP(transakcje[[#This Row],[podkategoria]],parametr[podkategoria],parametr[kategoria])</f>
        <v>życie</v>
      </c>
      <c r="H2513" t="str">
        <f>_xlfn.XLOOKUP(transakcje[[#This Row],[kategoria]],parametr[kategoria],parametr[typ])</f>
        <v>wydatki</v>
      </c>
      <c r="I2513" s="1">
        <f>ABS(transakcje[[#This Row],[kwota]])</f>
        <v>1.53</v>
      </c>
    </row>
    <row r="2514" spans="1:9" x14ac:dyDescent="0.3">
      <c r="A2514">
        <v>2513</v>
      </c>
      <c r="B2514">
        <v>2018</v>
      </c>
      <c r="C2514">
        <v>8</v>
      </c>
      <c r="D2514">
        <v>8</v>
      </c>
      <c r="E2514" s="1">
        <v>-4.7380000000000004</v>
      </c>
      <c r="F2514" t="s">
        <v>26</v>
      </c>
      <c r="G2514" t="str">
        <f>_xlfn.XLOOKUP(transakcje[[#This Row],[podkategoria]],parametr[podkategoria],parametr[kategoria])</f>
        <v>życie</v>
      </c>
      <c r="H2514" t="str">
        <f>_xlfn.XLOOKUP(transakcje[[#This Row],[kategoria]],parametr[kategoria],parametr[typ])</f>
        <v>wydatki</v>
      </c>
      <c r="I2514" s="1">
        <f>ABS(transakcje[[#This Row],[kwota]])</f>
        <v>4.7380000000000004</v>
      </c>
    </row>
    <row r="2515" spans="1:9" x14ac:dyDescent="0.3">
      <c r="A2515">
        <v>2514</v>
      </c>
      <c r="B2515">
        <v>2018</v>
      </c>
      <c r="C2515">
        <v>8</v>
      </c>
      <c r="D2515">
        <v>9</v>
      </c>
      <c r="E2515" s="1">
        <v>-9.33</v>
      </c>
      <c r="F2515" t="s">
        <v>26</v>
      </c>
      <c r="G2515" t="str">
        <f>_xlfn.XLOOKUP(transakcje[[#This Row],[podkategoria]],parametr[podkategoria],parametr[kategoria])</f>
        <v>życie</v>
      </c>
      <c r="H2515" t="str">
        <f>_xlfn.XLOOKUP(transakcje[[#This Row],[kategoria]],parametr[kategoria],parametr[typ])</f>
        <v>wydatki</v>
      </c>
      <c r="I2515" s="1">
        <f>ABS(transakcje[[#This Row],[kwota]])</f>
        <v>9.33</v>
      </c>
    </row>
    <row r="2516" spans="1:9" x14ac:dyDescent="0.3">
      <c r="A2516">
        <v>2515</v>
      </c>
      <c r="B2516">
        <v>2018</v>
      </c>
      <c r="C2516">
        <v>8</v>
      </c>
      <c r="D2516">
        <v>10</v>
      </c>
      <c r="E2516" s="1">
        <v>-3.6280000000000001</v>
      </c>
      <c r="F2516" t="s">
        <v>26</v>
      </c>
      <c r="G2516" t="str">
        <f>_xlfn.XLOOKUP(transakcje[[#This Row],[podkategoria]],parametr[podkategoria],parametr[kategoria])</f>
        <v>życie</v>
      </c>
      <c r="H2516" t="str">
        <f>_xlfn.XLOOKUP(transakcje[[#This Row],[kategoria]],parametr[kategoria],parametr[typ])</f>
        <v>wydatki</v>
      </c>
      <c r="I2516" s="1">
        <f>ABS(transakcje[[#This Row],[kwota]])</f>
        <v>3.6280000000000001</v>
      </c>
    </row>
    <row r="2517" spans="1:9" x14ac:dyDescent="0.3">
      <c r="A2517">
        <v>2516</v>
      </c>
      <c r="B2517">
        <v>2018</v>
      </c>
      <c r="C2517">
        <v>8</v>
      </c>
      <c r="D2517">
        <v>14</v>
      </c>
      <c r="E2517" s="1">
        <v>-2.8120000000000003</v>
      </c>
      <c r="F2517" t="s">
        <v>26</v>
      </c>
      <c r="G2517" t="str">
        <f>_xlfn.XLOOKUP(transakcje[[#This Row],[podkategoria]],parametr[podkategoria],parametr[kategoria])</f>
        <v>życie</v>
      </c>
      <c r="H2517" t="str">
        <f>_xlfn.XLOOKUP(transakcje[[#This Row],[kategoria]],parametr[kategoria],parametr[typ])</f>
        <v>wydatki</v>
      </c>
      <c r="I2517" s="1">
        <f>ABS(transakcje[[#This Row],[kwota]])</f>
        <v>2.8120000000000003</v>
      </c>
    </row>
    <row r="2518" spans="1:9" x14ac:dyDescent="0.3">
      <c r="A2518">
        <v>2517</v>
      </c>
      <c r="B2518">
        <v>2018</v>
      </c>
      <c r="C2518">
        <v>8</v>
      </c>
      <c r="D2518">
        <v>14</v>
      </c>
      <c r="E2518" s="1">
        <v>-0.39800000000000002</v>
      </c>
      <c r="F2518" t="s">
        <v>14</v>
      </c>
      <c r="G2518" t="str">
        <f>_xlfn.XLOOKUP(transakcje[[#This Row],[podkategoria]],parametr[podkategoria],parametr[kategoria])</f>
        <v>opłaty stałe</v>
      </c>
      <c r="H2518" t="str">
        <f>_xlfn.XLOOKUP(transakcje[[#This Row],[kategoria]],parametr[kategoria],parametr[typ])</f>
        <v>wydatki</v>
      </c>
      <c r="I2518" s="1">
        <f>ABS(transakcje[[#This Row],[kwota]])</f>
        <v>0.39800000000000002</v>
      </c>
    </row>
    <row r="2519" spans="1:9" x14ac:dyDescent="0.3">
      <c r="A2519">
        <v>2518</v>
      </c>
      <c r="B2519">
        <v>2018</v>
      </c>
      <c r="C2519">
        <v>8</v>
      </c>
      <c r="D2519">
        <v>16</v>
      </c>
      <c r="E2519" s="1">
        <v>-8.0120000000000005</v>
      </c>
      <c r="F2519" t="s">
        <v>26</v>
      </c>
      <c r="G2519" t="str">
        <f>_xlfn.XLOOKUP(transakcje[[#This Row],[podkategoria]],parametr[podkategoria],parametr[kategoria])</f>
        <v>życie</v>
      </c>
      <c r="H2519" t="str">
        <f>_xlfn.XLOOKUP(transakcje[[#This Row],[kategoria]],parametr[kategoria],parametr[typ])</f>
        <v>wydatki</v>
      </c>
      <c r="I2519" s="1">
        <f>ABS(transakcje[[#This Row],[kwota]])</f>
        <v>8.0120000000000005</v>
      </c>
    </row>
    <row r="2520" spans="1:9" x14ac:dyDescent="0.3">
      <c r="A2520">
        <v>2519</v>
      </c>
      <c r="B2520">
        <v>2018</v>
      </c>
      <c r="C2520">
        <v>8</v>
      </c>
      <c r="D2520">
        <v>17</v>
      </c>
      <c r="E2520" s="1">
        <v>-1.1220000000000001</v>
      </c>
      <c r="F2520" t="s">
        <v>26</v>
      </c>
      <c r="G2520" t="str">
        <f>_xlfn.XLOOKUP(transakcje[[#This Row],[podkategoria]],parametr[podkategoria],parametr[kategoria])</f>
        <v>życie</v>
      </c>
      <c r="H2520" t="str">
        <f>_xlfn.XLOOKUP(transakcje[[#This Row],[kategoria]],parametr[kategoria],parametr[typ])</f>
        <v>wydatki</v>
      </c>
      <c r="I2520" s="1">
        <f>ABS(transakcje[[#This Row],[kwota]])</f>
        <v>1.1220000000000001</v>
      </c>
    </row>
    <row r="2521" spans="1:9" x14ac:dyDescent="0.3">
      <c r="A2521">
        <v>2520</v>
      </c>
      <c r="B2521">
        <v>2018</v>
      </c>
      <c r="C2521">
        <v>8</v>
      </c>
      <c r="D2521">
        <v>17</v>
      </c>
      <c r="E2521" s="1">
        <v>-6</v>
      </c>
      <c r="F2521" t="s">
        <v>11</v>
      </c>
      <c r="G2521" t="str">
        <f>_xlfn.XLOOKUP(transakcje[[#This Row],[podkategoria]],parametr[podkategoria],parametr[kategoria])</f>
        <v>wydatki inne</v>
      </c>
      <c r="H2521" t="str">
        <f>_xlfn.XLOOKUP(transakcje[[#This Row],[kategoria]],parametr[kategoria],parametr[typ])</f>
        <v>wydatki</v>
      </c>
      <c r="I2521" s="1">
        <f>ABS(transakcje[[#This Row],[kwota]])</f>
        <v>6</v>
      </c>
    </row>
    <row r="2522" spans="1:9" x14ac:dyDescent="0.3">
      <c r="A2522">
        <v>2521</v>
      </c>
      <c r="B2522">
        <v>2018</v>
      </c>
      <c r="C2522">
        <v>8</v>
      </c>
      <c r="D2522">
        <v>20</v>
      </c>
      <c r="E2522" s="1">
        <v>-6</v>
      </c>
      <c r="F2522" t="s">
        <v>11</v>
      </c>
      <c r="G2522" t="str">
        <f>_xlfn.XLOOKUP(transakcje[[#This Row],[podkategoria]],parametr[podkategoria],parametr[kategoria])</f>
        <v>wydatki inne</v>
      </c>
      <c r="H2522" t="str">
        <f>_xlfn.XLOOKUP(transakcje[[#This Row],[kategoria]],parametr[kategoria],parametr[typ])</f>
        <v>wydatki</v>
      </c>
      <c r="I2522" s="1">
        <f>ABS(transakcje[[#This Row],[kwota]])</f>
        <v>6</v>
      </c>
    </row>
    <row r="2523" spans="1:9" x14ac:dyDescent="0.3">
      <c r="A2523">
        <v>2522</v>
      </c>
      <c r="B2523">
        <v>2018</v>
      </c>
      <c r="C2523">
        <v>8</v>
      </c>
      <c r="D2523">
        <v>23</v>
      </c>
      <c r="E2523" s="1">
        <v>-5.4139999999999997</v>
      </c>
      <c r="F2523" t="s">
        <v>26</v>
      </c>
      <c r="G2523" t="str">
        <f>_xlfn.XLOOKUP(transakcje[[#This Row],[podkategoria]],parametr[podkategoria],parametr[kategoria])</f>
        <v>życie</v>
      </c>
      <c r="H2523" t="str">
        <f>_xlfn.XLOOKUP(transakcje[[#This Row],[kategoria]],parametr[kategoria],parametr[typ])</f>
        <v>wydatki</v>
      </c>
      <c r="I2523" s="1">
        <f>ABS(transakcje[[#This Row],[kwota]])</f>
        <v>5.4139999999999997</v>
      </c>
    </row>
    <row r="2524" spans="1:9" x14ac:dyDescent="0.3">
      <c r="A2524">
        <v>2523</v>
      </c>
      <c r="B2524">
        <v>2018</v>
      </c>
      <c r="C2524">
        <v>8</v>
      </c>
      <c r="D2524">
        <v>24</v>
      </c>
      <c r="E2524" s="1">
        <v>-13.625999999999999</v>
      </c>
      <c r="F2524" t="s">
        <v>26</v>
      </c>
      <c r="G2524" t="str">
        <f>_xlfn.XLOOKUP(transakcje[[#This Row],[podkategoria]],parametr[podkategoria],parametr[kategoria])</f>
        <v>życie</v>
      </c>
      <c r="H2524" t="str">
        <f>_xlfn.XLOOKUP(transakcje[[#This Row],[kategoria]],parametr[kategoria],parametr[typ])</f>
        <v>wydatki</v>
      </c>
      <c r="I2524" s="1">
        <f>ABS(transakcje[[#This Row],[kwota]])</f>
        <v>13.625999999999999</v>
      </c>
    </row>
    <row r="2525" spans="1:9" x14ac:dyDescent="0.3">
      <c r="A2525">
        <v>2524</v>
      </c>
      <c r="B2525">
        <v>2018</v>
      </c>
      <c r="C2525">
        <v>8</v>
      </c>
      <c r="D2525">
        <v>24</v>
      </c>
      <c r="E2525" s="1">
        <v>554.77800000000002</v>
      </c>
      <c r="F2525" t="s">
        <v>8</v>
      </c>
      <c r="G2525" t="str">
        <f>_xlfn.XLOOKUP(transakcje[[#This Row],[podkategoria]],parametr[podkategoria],parametr[kategoria])</f>
        <v>dochody z pracy</v>
      </c>
      <c r="H2525" t="str">
        <f>_xlfn.XLOOKUP(transakcje[[#This Row],[kategoria]],parametr[kategoria],parametr[typ])</f>
        <v>dochody</v>
      </c>
      <c r="I2525" s="1">
        <f>ABS(transakcje[[#This Row],[kwota]])</f>
        <v>554.77800000000002</v>
      </c>
    </row>
    <row r="2526" spans="1:9" x14ac:dyDescent="0.3">
      <c r="A2526">
        <v>2525</v>
      </c>
      <c r="B2526">
        <v>2018</v>
      </c>
      <c r="C2526">
        <v>8</v>
      </c>
      <c r="D2526">
        <v>25</v>
      </c>
      <c r="E2526" s="1">
        <v>-2.6</v>
      </c>
      <c r="F2526" t="s">
        <v>11</v>
      </c>
      <c r="G2526" t="str">
        <f>_xlfn.XLOOKUP(transakcje[[#This Row],[podkategoria]],parametr[podkategoria],parametr[kategoria])</f>
        <v>wydatki inne</v>
      </c>
      <c r="H2526" t="str">
        <f>_xlfn.XLOOKUP(transakcje[[#This Row],[kategoria]],parametr[kategoria],parametr[typ])</f>
        <v>wydatki</v>
      </c>
      <c r="I2526" s="1">
        <f>ABS(transakcje[[#This Row],[kwota]])</f>
        <v>2.6</v>
      </c>
    </row>
    <row r="2527" spans="1:9" x14ac:dyDescent="0.3">
      <c r="A2527">
        <v>2526</v>
      </c>
      <c r="B2527">
        <v>2018</v>
      </c>
      <c r="C2527">
        <v>8</v>
      </c>
      <c r="D2527">
        <v>25</v>
      </c>
      <c r="E2527" s="1">
        <v>-19.8</v>
      </c>
      <c r="F2527" t="s">
        <v>32</v>
      </c>
      <c r="G2527" t="str">
        <f>_xlfn.XLOOKUP(transakcje[[#This Row],[podkategoria]],parametr[podkategoria],parametr[kategoria])</f>
        <v>opłaty stałe</v>
      </c>
      <c r="H2527" t="str">
        <f>_xlfn.XLOOKUP(transakcje[[#This Row],[kategoria]],parametr[kategoria],parametr[typ])</f>
        <v>wydatki</v>
      </c>
      <c r="I2527" s="1">
        <f>ABS(transakcje[[#This Row],[kwota]])</f>
        <v>19.8</v>
      </c>
    </row>
    <row r="2528" spans="1:9" x14ac:dyDescent="0.3">
      <c r="A2528">
        <v>2527</v>
      </c>
      <c r="B2528">
        <v>2018</v>
      </c>
      <c r="C2528">
        <v>8</v>
      </c>
      <c r="D2528">
        <v>27</v>
      </c>
      <c r="E2528" s="1">
        <v>-21.997999999999998</v>
      </c>
      <c r="F2528" t="s">
        <v>24</v>
      </c>
      <c r="G2528" t="str">
        <f>_xlfn.XLOOKUP(transakcje[[#This Row],[podkategoria]],parametr[podkategoria],parametr[kategoria])</f>
        <v>trwałe</v>
      </c>
      <c r="H2528" t="str">
        <f>_xlfn.XLOOKUP(transakcje[[#This Row],[kategoria]],parametr[kategoria],parametr[typ])</f>
        <v>wydatki</v>
      </c>
      <c r="I2528" s="1">
        <f>ABS(transakcje[[#This Row],[kwota]])</f>
        <v>21.997999999999998</v>
      </c>
    </row>
    <row r="2529" spans="1:9" x14ac:dyDescent="0.3">
      <c r="A2529">
        <v>2528</v>
      </c>
      <c r="B2529">
        <v>2018</v>
      </c>
      <c r="C2529">
        <v>8</v>
      </c>
      <c r="D2529">
        <v>28</v>
      </c>
      <c r="E2529" s="1">
        <v>-5.67</v>
      </c>
      <c r="F2529" t="s">
        <v>26</v>
      </c>
      <c r="G2529" t="str">
        <f>_xlfn.XLOOKUP(transakcje[[#This Row],[podkategoria]],parametr[podkategoria],parametr[kategoria])</f>
        <v>życie</v>
      </c>
      <c r="H2529" t="str">
        <f>_xlfn.XLOOKUP(transakcje[[#This Row],[kategoria]],parametr[kategoria],parametr[typ])</f>
        <v>wydatki</v>
      </c>
      <c r="I2529" s="1">
        <f>ABS(transakcje[[#This Row],[kwota]])</f>
        <v>5.67</v>
      </c>
    </row>
    <row r="2530" spans="1:9" x14ac:dyDescent="0.3">
      <c r="A2530">
        <v>2529</v>
      </c>
      <c r="B2530">
        <v>2018</v>
      </c>
      <c r="C2530">
        <v>8</v>
      </c>
      <c r="D2530">
        <v>31</v>
      </c>
      <c r="E2530" s="1">
        <v>4.0000000000000001E-3</v>
      </c>
      <c r="F2530" t="s">
        <v>17</v>
      </c>
      <c r="G2530" t="str">
        <f>_xlfn.XLOOKUP(transakcje[[#This Row],[podkategoria]],parametr[podkategoria],parametr[kategoria])</f>
        <v>dochody pozostałe</v>
      </c>
      <c r="H2530" t="str">
        <f>_xlfn.XLOOKUP(transakcje[[#This Row],[kategoria]],parametr[kategoria],parametr[typ])</f>
        <v>dochody</v>
      </c>
      <c r="I2530" s="1">
        <f>ABS(transakcje[[#This Row],[kwota]])</f>
        <v>4.0000000000000001E-3</v>
      </c>
    </row>
    <row r="2531" spans="1:9" x14ac:dyDescent="0.3">
      <c r="A2531">
        <v>2530</v>
      </c>
      <c r="B2531">
        <v>2018</v>
      </c>
      <c r="C2531">
        <v>8</v>
      </c>
      <c r="D2531">
        <v>31</v>
      </c>
      <c r="E2531" s="1">
        <v>-2E-3</v>
      </c>
      <c r="F2531" t="s">
        <v>14</v>
      </c>
      <c r="G2531" t="str">
        <f>_xlfn.XLOOKUP(transakcje[[#This Row],[podkategoria]],parametr[podkategoria],parametr[kategoria])</f>
        <v>opłaty stałe</v>
      </c>
      <c r="H2531" t="str">
        <f>_xlfn.XLOOKUP(transakcje[[#This Row],[kategoria]],parametr[kategoria],parametr[typ])</f>
        <v>wydatki</v>
      </c>
      <c r="I2531" s="1">
        <f>ABS(transakcje[[#This Row],[kwota]])</f>
        <v>2E-3</v>
      </c>
    </row>
    <row r="2532" spans="1:9" x14ac:dyDescent="0.3">
      <c r="A2532">
        <v>2531</v>
      </c>
      <c r="B2532">
        <v>2018</v>
      </c>
      <c r="C2532">
        <v>8</v>
      </c>
      <c r="D2532">
        <v>31</v>
      </c>
      <c r="E2532" s="1">
        <v>-0.3</v>
      </c>
      <c r="F2532" t="s">
        <v>14</v>
      </c>
      <c r="G2532" t="str">
        <f>_xlfn.XLOOKUP(transakcje[[#This Row],[podkategoria]],parametr[podkategoria],parametr[kategoria])</f>
        <v>opłaty stałe</v>
      </c>
      <c r="H2532" t="str">
        <f>_xlfn.XLOOKUP(transakcje[[#This Row],[kategoria]],parametr[kategoria],parametr[typ])</f>
        <v>wydatki</v>
      </c>
      <c r="I2532" s="1">
        <f>ABS(transakcje[[#This Row],[kwota]])</f>
        <v>0.3</v>
      </c>
    </row>
    <row r="2533" spans="1:9" x14ac:dyDescent="0.3">
      <c r="A2533">
        <v>2532</v>
      </c>
      <c r="B2533">
        <v>2018</v>
      </c>
      <c r="C2533">
        <v>8</v>
      </c>
      <c r="D2533">
        <v>31</v>
      </c>
      <c r="E2533" s="1">
        <v>-1.198</v>
      </c>
      <c r="F2533" t="s">
        <v>14</v>
      </c>
      <c r="G2533" t="str">
        <f>_xlfn.XLOOKUP(transakcje[[#This Row],[podkategoria]],parametr[podkategoria],parametr[kategoria])</f>
        <v>opłaty stałe</v>
      </c>
      <c r="H2533" t="str">
        <f>_xlfn.XLOOKUP(transakcje[[#This Row],[kategoria]],parametr[kategoria],parametr[typ])</f>
        <v>wydatki</v>
      </c>
      <c r="I2533" s="1">
        <f>ABS(transakcje[[#This Row],[kwota]])</f>
        <v>1.198</v>
      </c>
    </row>
    <row r="2534" spans="1:9" x14ac:dyDescent="0.3">
      <c r="A2534">
        <v>2533</v>
      </c>
      <c r="B2534">
        <v>2018</v>
      </c>
      <c r="C2534">
        <v>9</v>
      </c>
      <c r="D2534">
        <v>1</v>
      </c>
      <c r="E2534" s="1">
        <v>-6.1420000000000003</v>
      </c>
      <c r="F2534" t="s">
        <v>35</v>
      </c>
      <c r="G2534" t="str">
        <f>_xlfn.XLOOKUP(transakcje[[#This Row],[podkategoria]],parametr[podkategoria],parametr[kategoria])</f>
        <v>opłaty stałe</v>
      </c>
      <c r="H2534" t="str">
        <f>_xlfn.XLOOKUP(transakcje[[#This Row],[kategoria]],parametr[kategoria],parametr[typ])</f>
        <v>wydatki</v>
      </c>
      <c r="I2534" s="1">
        <f>ABS(transakcje[[#This Row],[kwota]])</f>
        <v>6.1420000000000003</v>
      </c>
    </row>
    <row r="2535" spans="1:9" x14ac:dyDescent="0.3">
      <c r="A2535">
        <v>2534</v>
      </c>
      <c r="B2535">
        <v>2018</v>
      </c>
      <c r="C2535">
        <v>9</v>
      </c>
      <c r="D2535">
        <v>1</v>
      </c>
      <c r="E2535" s="1">
        <v>-5.8</v>
      </c>
      <c r="F2535" t="s">
        <v>25</v>
      </c>
      <c r="G2535" t="str">
        <f>_xlfn.XLOOKUP(transakcje[[#This Row],[podkategoria]],parametr[podkategoria],parametr[kategoria])</f>
        <v>opłaty stałe</v>
      </c>
      <c r="H2535" t="str">
        <f>_xlfn.XLOOKUP(transakcje[[#This Row],[kategoria]],parametr[kategoria],parametr[typ])</f>
        <v>wydatki</v>
      </c>
      <c r="I2535" s="1">
        <f>ABS(transakcje[[#This Row],[kwota]])</f>
        <v>5.8</v>
      </c>
    </row>
    <row r="2536" spans="1:9" x14ac:dyDescent="0.3">
      <c r="A2536">
        <v>2535</v>
      </c>
      <c r="B2536">
        <v>2018</v>
      </c>
      <c r="C2536">
        <v>9</v>
      </c>
      <c r="D2536">
        <v>1</v>
      </c>
      <c r="E2536" s="1">
        <v>-7.38</v>
      </c>
      <c r="F2536" t="s">
        <v>23</v>
      </c>
      <c r="G2536" t="str">
        <f>_xlfn.XLOOKUP(transakcje[[#This Row],[podkategoria]],parametr[podkategoria],parametr[kategoria])</f>
        <v>opłaty stałe</v>
      </c>
      <c r="H2536" t="str">
        <f>_xlfn.XLOOKUP(transakcje[[#This Row],[kategoria]],parametr[kategoria],parametr[typ])</f>
        <v>wydatki</v>
      </c>
      <c r="I2536" s="1">
        <f>ABS(transakcje[[#This Row],[kwota]])</f>
        <v>7.38</v>
      </c>
    </row>
    <row r="2537" spans="1:9" x14ac:dyDescent="0.3">
      <c r="A2537">
        <v>2536</v>
      </c>
      <c r="B2537">
        <v>2018</v>
      </c>
      <c r="C2537">
        <v>9</v>
      </c>
      <c r="D2537">
        <v>1</v>
      </c>
      <c r="E2537" s="1">
        <v>-13.672000000000001</v>
      </c>
      <c r="F2537" t="s">
        <v>34</v>
      </c>
      <c r="G2537" t="str">
        <f>_xlfn.XLOOKUP(transakcje[[#This Row],[podkategoria]],parametr[podkategoria],parametr[kategoria])</f>
        <v>opłaty stałe</v>
      </c>
      <c r="H2537" t="str">
        <f>_xlfn.XLOOKUP(transakcje[[#This Row],[kategoria]],parametr[kategoria],parametr[typ])</f>
        <v>wydatki</v>
      </c>
      <c r="I2537" s="1">
        <f>ABS(transakcje[[#This Row],[kwota]])</f>
        <v>13.672000000000001</v>
      </c>
    </row>
    <row r="2538" spans="1:9" x14ac:dyDescent="0.3">
      <c r="A2538">
        <v>2537</v>
      </c>
      <c r="B2538">
        <v>2018</v>
      </c>
      <c r="C2538">
        <v>9</v>
      </c>
      <c r="D2538">
        <v>1</v>
      </c>
      <c r="E2538" s="1">
        <v>-65.489999999999995</v>
      </c>
      <c r="F2538" t="s">
        <v>31</v>
      </c>
      <c r="G2538" t="str">
        <f>_xlfn.XLOOKUP(transakcje[[#This Row],[podkategoria]],parametr[podkategoria],parametr[kategoria])</f>
        <v>opłaty stałe</v>
      </c>
      <c r="H2538" t="str">
        <f>_xlfn.XLOOKUP(transakcje[[#This Row],[kategoria]],parametr[kategoria],parametr[typ])</f>
        <v>wydatki</v>
      </c>
      <c r="I2538" s="1">
        <f>ABS(transakcje[[#This Row],[kwota]])</f>
        <v>65.489999999999995</v>
      </c>
    </row>
    <row r="2539" spans="1:9" x14ac:dyDescent="0.3">
      <c r="A2539">
        <v>2538</v>
      </c>
      <c r="B2539">
        <v>2018</v>
      </c>
      <c r="C2539">
        <v>9</v>
      </c>
      <c r="D2539">
        <v>1</v>
      </c>
      <c r="E2539" s="1">
        <v>-46.4</v>
      </c>
      <c r="F2539" t="s">
        <v>30</v>
      </c>
      <c r="G2539" t="str">
        <f>_xlfn.XLOOKUP(transakcje[[#This Row],[podkategoria]],parametr[podkategoria],parametr[kategoria])</f>
        <v>opłaty stałe</v>
      </c>
      <c r="H2539" t="str">
        <f>_xlfn.XLOOKUP(transakcje[[#This Row],[kategoria]],parametr[kategoria],parametr[typ])</f>
        <v>wydatki</v>
      </c>
      <c r="I2539" s="1">
        <f>ABS(transakcje[[#This Row],[kwota]])</f>
        <v>46.4</v>
      </c>
    </row>
    <row r="2540" spans="1:9" x14ac:dyDescent="0.3">
      <c r="A2540">
        <v>2539</v>
      </c>
      <c r="B2540">
        <v>2018</v>
      </c>
      <c r="C2540">
        <v>9</v>
      </c>
      <c r="D2540">
        <v>3</v>
      </c>
      <c r="E2540" s="1">
        <v>-99.8</v>
      </c>
      <c r="F2540" t="s">
        <v>24</v>
      </c>
      <c r="G2540" t="str">
        <f>_xlfn.XLOOKUP(transakcje[[#This Row],[podkategoria]],parametr[podkategoria],parametr[kategoria])</f>
        <v>trwałe</v>
      </c>
      <c r="H2540" t="str">
        <f>_xlfn.XLOOKUP(transakcje[[#This Row],[kategoria]],parametr[kategoria],parametr[typ])</f>
        <v>wydatki</v>
      </c>
      <c r="I2540" s="1">
        <f>ABS(transakcje[[#This Row],[kwota]])</f>
        <v>99.8</v>
      </c>
    </row>
    <row r="2541" spans="1:9" x14ac:dyDescent="0.3">
      <c r="A2541">
        <v>2540</v>
      </c>
      <c r="B2541">
        <v>2018</v>
      </c>
      <c r="C2541">
        <v>9</v>
      </c>
      <c r="D2541">
        <v>4</v>
      </c>
      <c r="E2541" s="1">
        <v>-15.312000000000001</v>
      </c>
      <c r="F2541" t="s">
        <v>26</v>
      </c>
      <c r="G2541" t="str">
        <f>_xlfn.XLOOKUP(transakcje[[#This Row],[podkategoria]],parametr[podkategoria],parametr[kategoria])</f>
        <v>życie</v>
      </c>
      <c r="H2541" t="str">
        <f>_xlfn.XLOOKUP(transakcje[[#This Row],[kategoria]],parametr[kategoria],parametr[typ])</f>
        <v>wydatki</v>
      </c>
      <c r="I2541" s="1">
        <f>ABS(transakcje[[#This Row],[kwota]])</f>
        <v>15.312000000000001</v>
      </c>
    </row>
    <row r="2542" spans="1:9" x14ac:dyDescent="0.3">
      <c r="A2542">
        <v>2541</v>
      </c>
      <c r="B2542">
        <v>2018</v>
      </c>
      <c r="C2542">
        <v>9</v>
      </c>
      <c r="D2542">
        <v>5</v>
      </c>
      <c r="E2542" s="1">
        <v>-28</v>
      </c>
      <c r="F2542" t="s">
        <v>11</v>
      </c>
      <c r="G2542" t="str">
        <f>_xlfn.XLOOKUP(transakcje[[#This Row],[podkategoria]],parametr[podkategoria],parametr[kategoria])</f>
        <v>wydatki inne</v>
      </c>
      <c r="H2542" t="str">
        <f>_xlfn.XLOOKUP(transakcje[[#This Row],[kategoria]],parametr[kategoria],parametr[typ])</f>
        <v>wydatki</v>
      </c>
      <c r="I2542" s="1">
        <f>ABS(transakcje[[#This Row],[kwota]])</f>
        <v>28</v>
      </c>
    </row>
    <row r="2543" spans="1:9" x14ac:dyDescent="0.3">
      <c r="A2543">
        <v>2542</v>
      </c>
      <c r="B2543">
        <v>2018</v>
      </c>
      <c r="C2543">
        <v>9</v>
      </c>
      <c r="D2543">
        <v>6</v>
      </c>
      <c r="E2543" s="1">
        <v>-4.1920000000000002</v>
      </c>
      <c r="F2543" t="s">
        <v>26</v>
      </c>
      <c r="G2543" t="str">
        <f>_xlfn.XLOOKUP(transakcje[[#This Row],[podkategoria]],parametr[podkategoria],parametr[kategoria])</f>
        <v>życie</v>
      </c>
      <c r="H2543" t="str">
        <f>_xlfn.XLOOKUP(transakcje[[#This Row],[kategoria]],parametr[kategoria],parametr[typ])</f>
        <v>wydatki</v>
      </c>
      <c r="I2543" s="1">
        <f>ABS(transakcje[[#This Row],[kwota]])</f>
        <v>4.1920000000000002</v>
      </c>
    </row>
    <row r="2544" spans="1:9" x14ac:dyDescent="0.3">
      <c r="A2544">
        <v>2543</v>
      </c>
      <c r="B2544">
        <v>2018</v>
      </c>
      <c r="C2544">
        <v>9</v>
      </c>
      <c r="D2544">
        <v>6</v>
      </c>
      <c r="E2544" s="1">
        <v>-2.7039999999999997</v>
      </c>
      <c r="F2544" t="s">
        <v>26</v>
      </c>
      <c r="G2544" t="str">
        <f>_xlfn.XLOOKUP(transakcje[[#This Row],[podkategoria]],parametr[podkategoria],parametr[kategoria])</f>
        <v>życie</v>
      </c>
      <c r="H2544" t="str">
        <f>_xlfn.XLOOKUP(transakcje[[#This Row],[kategoria]],parametr[kategoria],parametr[typ])</f>
        <v>wydatki</v>
      </c>
      <c r="I2544" s="1">
        <f>ABS(transakcje[[#This Row],[kwota]])</f>
        <v>2.7039999999999997</v>
      </c>
    </row>
    <row r="2545" spans="1:9" x14ac:dyDescent="0.3">
      <c r="A2545">
        <v>2544</v>
      </c>
      <c r="B2545">
        <v>2018</v>
      </c>
      <c r="C2545">
        <v>9</v>
      </c>
      <c r="D2545">
        <v>8</v>
      </c>
      <c r="E2545" s="1">
        <v>-47.322000000000003</v>
      </c>
      <c r="F2545" t="s">
        <v>26</v>
      </c>
      <c r="G2545" t="str">
        <f>_xlfn.XLOOKUP(transakcje[[#This Row],[podkategoria]],parametr[podkategoria],parametr[kategoria])</f>
        <v>życie</v>
      </c>
      <c r="H2545" t="str">
        <f>_xlfn.XLOOKUP(transakcje[[#This Row],[kategoria]],parametr[kategoria],parametr[typ])</f>
        <v>wydatki</v>
      </c>
      <c r="I2545" s="1">
        <f>ABS(transakcje[[#This Row],[kwota]])</f>
        <v>47.322000000000003</v>
      </c>
    </row>
    <row r="2546" spans="1:9" x14ac:dyDescent="0.3">
      <c r="A2546">
        <v>2545</v>
      </c>
      <c r="B2546">
        <v>2018</v>
      </c>
      <c r="C2546">
        <v>9</v>
      </c>
      <c r="D2546">
        <v>10</v>
      </c>
      <c r="E2546" s="1">
        <v>-11.222</v>
      </c>
      <c r="F2546" t="s">
        <v>26</v>
      </c>
      <c r="G2546" t="str">
        <f>_xlfn.XLOOKUP(transakcje[[#This Row],[podkategoria]],parametr[podkategoria],parametr[kategoria])</f>
        <v>życie</v>
      </c>
      <c r="H2546" t="str">
        <f>_xlfn.XLOOKUP(transakcje[[#This Row],[kategoria]],parametr[kategoria],parametr[typ])</f>
        <v>wydatki</v>
      </c>
      <c r="I2546" s="1">
        <f>ABS(transakcje[[#This Row],[kwota]])</f>
        <v>11.222</v>
      </c>
    </row>
    <row r="2547" spans="1:9" x14ac:dyDescent="0.3">
      <c r="A2547">
        <v>2546</v>
      </c>
      <c r="B2547">
        <v>2018</v>
      </c>
      <c r="C2547">
        <v>9</v>
      </c>
      <c r="D2547">
        <v>10</v>
      </c>
      <c r="E2547" s="1">
        <v>-39.47</v>
      </c>
      <c r="F2547" t="s">
        <v>26</v>
      </c>
      <c r="G2547" t="str">
        <f>_xlfn.XLOOKUP(transakcje[[#This Row],[podkategoria]],parametr[podkategoria],parametr[kategoria])</f>
        <v>życie</v>
      </c>
      <c r="H2547" t="str">
        <f>_xlfn.XLOOKUP(transakcje[[#This Row],[kategoria]],parametr[kategoria],parametr[typ])</f>
        <v>wydatki</v>
      </c>
      <c r="I2547" s="1">
        <f>ABS(transakcje[[#This Row],[kwota]])</f>
        <v>39.47</v>
      </c>
    </row>
    <row r="2548" spans="1:9" x14ac:dyDescent="0.3">
      <c r="A2548">
        <v>2547</v>
      </c>
      <c r="B2548">
        <v>2018</v>
      </c>
      <c r="C2548">
        <v>9</v>
      </c>
      <c r="D2548">
        <v>10</v>
      </c>
      <c r="E2548" s="1">
        <v>-534.61</v>
      </c>
      <c r="F2548" t="s">
        <v>33</v>
      </c>
      <c r="G2548" t="str">
        <f>_xlfn.XLOOKUP(transakcje[[#This Row],[podkategoria]],parametr[podkategoria],parametr[kategoria])</f>
        <v>trwałe</v>
      </c>
      <c r="H2548" t="str">
        <f>_xlfn.XLOOKUP(transakcje[[#This Row],[kategoria]],parametr[kategoria],parametr[typ])</f>
        <v>wydatki</v>
      </c>
      <c r="I2548" s="1">
        <f>ABS(transakcje[[#This Row],[kwota]])</f>
        <v>534.61</v>
      </c>
    </row>
    <row r="2549" spans="1:9" x14ac:dyDescent="0.3">
      <c r="A2549">
        <v>2548</v>
      </c>
      <c r="B2549">
        <v>2018</v>
      </c>
      <c r="C2549">
        <v>9</v>
      </c>
      <c r="D2549">
        <v>10</v>
      </c>
      <c r="E2549" s="1">
        <v>-4</v>
      </c>
      <c r="F2549" t="s">
        <v>11</v>
      </c>
      <c r="G2549" t="str">
        <f>_xlfn.XLOOKUP(transakcje[[#This Row],[podkategoria]],parametr[podkategoria],parametr[kategoria])</f>
        <v>wydatki inne</v>
      </c>
      <c r="H2549" t="str">
        <f>_xlfn.XLOOKUP(transakcje[[#This Row],[kategoria]],parametr[kategoria],parametr[typ])</f>
        <v>wydatki</v>
      </c>
      <c r="I2549" s="1">
        <f>ABS(transakcje[[#This Row],[kwota]])</f>
        <v>4</v>
      </c>
    </row>
    <row r="2550" spans="1:9" x14ac:dyDescent="0.3">
      <c r="A2550">
        <v>2549</v>
      </c>
      <c r="B2550">
        <v>2018</v>
      </c>
      <c r="C2550">
        <v>9</v>
      </c>
      <c r="D2550">
        <v>11</v>
      </c>
      <c r="E2550" s="1">
        <v>-25.04</v>
      </c>
      <c r="F2550" t="s">
        <v>26</v>
      </c>
      <c r="G2550" t="str">
        <f>_xlfn.XLOOKUP(transakcje[[#This Row],[podkategoria]],parametr[podkategoria],parametr[kategoria])</f>
        <v>życie</v>
      </c>
      <c r="H2550" t="str">
        <f>_xlfn.XLOOKUP(transakcje[[#This Row],[kategoria]],parametr[kategoria],parametr[typ])</f>
        <v>wydatki</v>
      </c>
      <c r="I2550" s="1">
        <f>ABS(transakcje[[#This Row],[kwota]])</f>
        <v>25.04</v>
      </c>
    </row>
    <row r="2551" spans="1:9" x14ac:dyDescent="0.3">
      <c r="A2551">
        <v>2550</v>
      </c>
      <c r="B2551">
        <v>2018</v>
      </c>
      <c r="C2551">
        <v>9</v>
      </c>
      <c r="D2551">
        <v>11</v>
      </c>
      <c r="E2551" s="1">
        <v>-58.470000000000006</v>
      </c>
      <c r="F2551" t="s">
        <v>11</v>
      </c>
      <c r="G2551" t="str">
        <f>_xlfn.XLOOKUP(transakcje[[#This Row],[podkategoria]],parametr[podkategoria],parametr[kategoria])</f>
        <v>wydatki inne</v>
      </c>
      <c r="H2551" t="str">
        <f>_xlfn.XLOOKUP(transakcje[[#This Row],[kategoria]],parametr[kategoria],parametr[typ])</f>
        <v>wydatki</v>
      </c>
      <c r="I2551" s="1">
        <f>ABS(transakcje[[#This Row],[kwota]])</f>
        <v>58.470000000000006</v>
      </c>
    </row>
    <row r="2552" spans="1:9" x14ac:dyDescent="0.3">
      <c r="A2552">
        <v>2551</v>
      </c>
      <c r="B2552">
        <v>2018</v>
      </c>
      <c r="C2552">
        <v>9</v>
      </c>
      <c r="D2552">
        <v>11</v>
      </c>
      <c r="E2552" s="1">
        <v>-36.781999999999996</v>
      </c>
      <c r="F2552" t="s">
        <v>11</v>
      </c>
      <c r="G2552" t="str">
        <f>_xlfn.XLOOKUP(transakcje[[#This Row],[podkategoria]],parametr[podkategoria],parametr[kategoria])</f>
        <v>wydatki inne</v>
      </c>
      <c r="H2552" t="str">
        <f>_xlfn.XLOOKUP(transakcje[[#This Row],[kategoria]],parametr[kategoria],parametr[typ])</f>
        <v>wydatki</v>
      </c>
      <c r="I2552" s="1">
        <f>ABS(transakcje[[#This Row],[kwota]])</f>
        <v>36.781999999999996</v>
      </c>
    </row>
    <row r="2553" spans="1:9" x14ac:dyDescent="0.3">
      <c r="A2553">
        <v>2552</v>
      </c>
      <c r="B2553">
        <v>2018</v>
      </c>
      <c r="C2553">
        <v>9</v>
      </c>
      <c r="D2553">
        <v>11</v>
      </c>
      <c r="E2553" s="1">
        <v>-37.998000000000005</v>
      </c>
      <c r="F2553" t="s">
        <v>11</v>
      </c>
      <c r="G2553" t="str">
        <f>_xlfn.XLOOKUP(transakcje[[#This Row],[podkategoria]],parametr[podkategoria],parametr[kategoria])</f>
        <v>wydatki inne</v>
      </c>
      <c r="H2553" t="str">
        <f>_xlfn.XLOOKUP(transakcje[[#This Row],[kategoria]],parametr[kategoria],parametr[typ])</f>
        <v>wydatki</v>
      </c>
      <c r="I2553" s="1">
        <f>ABS(transakcje[[#This Row],[kwota]])</f>
        <v>37.998000000000005</v>
      </c>
    </row>
    <row r="2554" spans="1:9" x14ac:dyDescent="0.3">
      <c r="A2554">
        <v>2553</v>
      </c>
      <c r="B2554">
        <v>2018</v>
      </c>
      <c r="C2554">
        <v>9</v>
      </c>
      <c r="D2554">
        <v>11</v>
      </c>
      <c r="E2554" s="1">
        <v>-35.6</v>
      </c>
      <c r="F2554" t="s">
        <v>11</v>
      </c>
      <c r="G2554" t="str">
        <f>_xlfn.XLOOKUP(transakcje[[#This Row],[podkategoria]],parametr[podkategoria],parametr[kategoria])</f>
        <v>wydatki inne</v>
      </c>
      <c r="H2554" t="str">
        <f>_xlfn.XLOOKUP(transakcje[[#This Row],[kategoria]],parametr[kategoria],parametr[typ])</f>
        <v>wydatki</v>
      </c>
      <c r="I2554" s="1">
        <f>ABS(transakcje[[#This Row],[kwota]])</f>
        <v>35.6</v>
      </c>
    </row>
    <row r="2555" spans="1:9" x14ac:dyDescent="0.3">
      <c r="A2555">
        <v>2554</v>
      </c>
      <c r="B2555">
        <v>2018</v>
      </c>
      <c r="C2555">
        <v>9</v>
      </c>
      <c r="D2555">
        <v>13</v>
      </c>
      <c r="E2555" s="1">
        <v>-2.4</v>
      </c>
      <c r="F2555" t="s">
        <v>11</v>
      </c>
      <c r="G2555" t="str">
        <f>_xlfn.XLOOKUP(transakcje[[#This Row],[podkategoria]],parametr[podkategoria],parametr[kategoria])</f>
        <v>wydatki inne</v>
      </c>
      <c r="H2555" t="str">
        <f>_xlfn.XLOOKUP(transakcje[[#This Row],[kategoria]],parametr[kategoria],parametr[typ])</f>
        <v>wydatki</v>
      </c>
      <c r="I2555" s="1">
        <f>ABS(transakcje[[#This Row],[kwota]])</f>
        <v>2.4</v>
      </c>
    </row>
    <row r="2556" spans="1:9" x14ac:dyDescent="0.3">
      <c r="A2556">
        <v>2555</v>
      </c>
      <c r="B2556">
        <v>2018</v>
      </c>
      <c r="C2556">
        <v>9</v>
      </c>
      <c r="D2556">
        <v>13</v>
      </c>
      <c r="E2556" s="1">
        <v>-2</v>
      </c>
      <c r="F2556" t="s">
        <v>11</v>
      </c>
      <c r="G2556" t="str">
        <f>_xlfn.XLOOKUP(transakcje[[#This Row],[podkategoria]],parametr[podkategoria],parametr[kategoria])</f>
        <v>wydatki inne</v>
      </c>
      <c r="H2556" t="str">
        <f>_xlfn.XLOOKUP(transakcje[[#This Row],[kategoria]],parametr[kategoria],parametr[typ])</f>
        <v>wydatki</v>
      </c>
      <c r="I2556" s="1">
        <f>ABS(transakcje[[#This Row],[kwota]])</f>
        <v>2</v>
      </c>
    </row>
    <row r="2557" spans="1:9" x14ac:dyDescent="0.3">
      <c r="A2557">
        <v>2556</v>
      </c>
      <c r="B2557">
        <v>2018</v>
      </c>
      <c r="C2557">
        <v>9</v>
      </c>
      <c r="D2557">
        <v>14</v>
      </c>
      <c r="E2557" s="1">
        <v>-38.516000000000005</v>
      </c>
      <c r="F2557" t="s">
        <v>20</v>
      </c>
      <c r="G2557" t="str">
        <f>_xlfn.XLOOKUP(transakcje[[#This Row],[podkategoria]],parametr[podkategoria],parametr[kategoria])</f>
        <v>trwałe</v>
      </c>
      <c r="H2557" t="str">
        <f>_xlfn.XLOOKUP(transakcje[[#This Row],[kategoria]],parametr[kategoria],parametr[typ])</f>
        <v>wydatki</v>
      </c>
      <c r="I2557" s="1">
        <f>ABS(transakcje[[#This Row],[kwota]])</f>
        <v>38.516000000000005</v>
      </c>
    </row>
    <row r="2558" spans="1:9" x14ac:dyDescent="0.3">
      <c r="A2558">
        <v>2557</v>
      </c>
      <c r="B2558">
        <v>2018</v>
      </c>
      <c r="C2558">
        <v>9</v>
      </c>
      <c r="D2558">
        <v>17</v>
      </c>
      <c r="E2558" s="1">
        <v>-6.2859999999999996</v>
      </c>
      <c r="F2558" t="s">
        <v>11</v>
      </c>
      <c r="G2558" t="str">
        <f>_xlfn.XLOOKUP(transakcje[[#This Row],[podkategoria]],parametr[podkategoria],parametr[kategoria])</f>
        <v>wydatki inne</v>
      </c>
      <c r="H2558" t="str">
        <f>_xlfn.XLOOKUP(transakcje[[#This Row],[kategoria]],parametr[kategoria],parametr[typ])</f>
        <v>wydatki</v>
      </c>
      <c r="I2558" s="1">
        <f>ABS(transakcje[[#This Row],[kwota]])</f>
        <v>6.2859999999999996</v>
      </c>
    </row>
    <row r="2559" spans="1:9" x14ac:dyDescent="0.3">
      <c r="A2559">
        <v>2558</v>
      </c>
      <c r="B2559">
        <v>2018</v>
      </c>
      <c r="C2559">
        <v>9</v>
      </c>
      <c r="D2559">
        <v>17</v>
      </c>
      <c r="E2559" s="1">
        <v>-8.8379999999999992</v>
      </c>
      <c r="F2559" t="s">
        <v>26</v>
      </c>
      <c r="G2559" t="str">
        <f>_xlfn.XLOOKUP(transakcje[[#This Row],[podkategoria]],parametr[podkategoria],parametr[kategoria])</f>
        <v>życie</v>
      </c>
      <c r="H2559" t="str">
        <f>_xlfn.XLOOKUP(transakcje[[#This Row],[kategoria]],parametr[kategoria],parametr[typ])</f>
        <v>wydatki</v>
      </c>
      <c r="I2559" s="1">
        <f>ABS(transakcje[[#This Row],[kwota]])</f>
        <v>8.8379999999999992</v>
      </c>
    </row>
    <row r="2560" spans="1:9" x14ac:dyDescent="0.3">
      <c r="A2560">
        <v>2559</v>
      </c>
      <c r="B2560">
        <v>2018</v>
      </c>
      <c r="C2560">
        <v>9</v>
      </c>
      <c r="D2560">
        <v>17</v>
      </c>
      <c r="E2560" s="1">
        <v>-19.8</v>
      </c>
      <c r="F2560" t="s">
        <v>32</v>
      </c>
      <c r="G2560" t="str">
        <f>_xlfn.XLOOKUP(transakcje[[#This Row],[podkategoria]],parametr[podkategoria],parametr[kategoria])</f>
        <v>opłaty stałe</v>
      </c>
      <c r="H2560" t="str">
        <f>_xlfn.XLOOKUP(transakcje[[#This Row],[kategoria]],parametr[kategoria],parametr[typ])</f>
        <v>wydatki</v>
      </c>
      <c r="I2560" s="1">
        <f>ABS(transakcje[[#This Row],[kwota]])</f>
        <v>19.8</v>
      </c>
    </row>
    <row r="2561" spans="1:9" x14ac:dyDescent="0.3">
      <c r="A2561">
        <v>2560</v>
      </c>
      <c r="B2561">
        <v>2018</v>
      </c>
      <c r="C2561">
        <v>9</v>
      </c>
      <c r="D2561">
        <v>18</v>
      </c>
      <c r="E2561" s="1">
        <v>-0.39800000000000002</v>
      </c>
      <c r="F2561" t="s">
        <v>14</v>
      </c>
      <c r="G2561" t="str">
        <f>_xlfn.XLOOKUP(transakcje[[#This Row],[podkategoria]],parametr[podkategoria],parametr[kategoria])</f>
        <v>opłaty stałe</v>
      </c>
      <c r="H2561" t="str">
        <f>_xlfn.XLOOKUP(transakcje[[#This Row],[kategoria]],parametr[kategoria],parametr[typ])</f>
        <v>wydatki</v>
      </c>
      <c r="I2561" s="1">
        <f>ABS(transakcje[[#This Row],[kwota]])</f>
        <v>0.39800000000000002</v>
      </c>
    </row>
    <row r="2562" spans="1:9" x14ac:dyDescent="0.3">
      <c r="A2562">
        <v>2561</v>
      </c>
      <c r="B2562">
        <v>2018</v>
      </c>
      <c r="C2562">
        <v>9</v>
      </c>
      <c r="D2562">
        <v>18</v>
      </c>
      <c r="E2562" s="1">
        <v>-14.276</v>
      </c>
      <c r="F2562" t="s">
        <v>26</v>
      </c>
      <c r="G2562" t="str">
        <f>_xlfn.XLOOKUP(transakcje[[#This Row],[podkategoria]],parametr[podkategoria],parametr[kategoria])</f>
        <v>życie</v>
      </c>
      <c r="H2562" t="str">
        <f>_xlfn.XLOOKUP(transakcje[[#This Row],[kategoria]],parametr[kategoria],parametr[typ])</f>
        <v>wydatki</v>
      </c>
      <c r="I2562" s="1">
        <f>ABS(transakcje[[#This Row],[kwota]])</f>
        <v>14.276</v>
      </c>
    </row>
    <row r="2563" spans="1:9" x14ac:dyDescent="0.3">
      <c r="A2563">
        <v>2562</v>
      </c>
      <c r="B2563">
        <v>2018</v>
      </c>
      <c r="C2563">
        <v>9</v>
      </c>
      <c r="D2563">
        <v>25</v>
      </c>
      <c r="E2563" s="1">
        <v>554.77800000000002</v>
      </c>
      <c r="F2563" t="s">
        <v>8</v>
      </c>
      <c r="G2563" t="str">
        <f>_xlfn.XLOOKUP(transakcje[[#This Row],[podkategoria]],parametr[podkategoria],parametr[kategoria])</f>
        <v>dochody z pracy</v>
      </c>
      <c r="H2563" t="str">
        <f>_xlfn.XLOOKUP(transakcje[[#This Row],[kategoria]],parametr[kategoria],parametr[typ])</f>
        <v>dochody</v>
      </c>
      <c r="I2563" s="1">
        <f>ABS(transakcje[[#This Row],[kwota]])</f>
        <v>554.77800000000002</v>
      </c>
    </row>
    <row r="2564" spans="1:9" x14ac:dyDescent="0.3">
      <c r="A2564">
        <v>2563</v>
      </c>
      <c r="B2564">
        <v>2018</v>
      </c>
      <c r="C2564">
        <v>9</v>
      </c>
      <c r="D2564">
        <v>29</v>
      </c>
      <c r="E2564" s="1">
        <v>-1.198</v>
      </c>
      <c r="F2564" t="s">
        <v>14</v>
      </c>
      <c r="G2564" t="str">
        <f>_xlfn.XLOOKUP(transakcje[[#This Row],[podkategoria]],parametr[podkategoria],parametr[kategoria])</f>
        <v>opłaty stałe</v>
      </c>
      <c r="H2564" t="str">
        <f>_xlfn.XLOOKUP(transakcje[[#This Row],[kategoria]],parametr[kategoria],parametr[typ])</f>
        <v>wydatki</v>
      </c>
      <c r="I2564" s="1">
        <f>ABS(transakcje[[#This Row],[kwota]])</f>
        <v>1.198</v>
      </c>
    </row>
    <row r="2565" spans="1:9" x14ac:dyDescent="0.3">
      <c r="A2565">
        <v>2564</v>
      </c>
      <c r="B2565">
        <v>2018</v>
      </c>
      <c r="C2565">
        <v>9</v>
      </c>
      <c r="D2565">
        <v>29</v>
      </c>
      <c r="E2565" s="1">
        <v>6.0000000000000001E-3</v>
      </c>
      <c r="F2565" t="s">
        <v>17</v>
      </c>
      <c r="G2565" t="str">
        <f>_xlfn.XLOOKUP(transakcje[[#This Row],[podkategoria]],parametr[podkategoria],parametr[kategoria])</f>
        <v>dochody pozostałe</v>
      </c>
      <c r="H2565" t="str">
        <f>_xlfn.XLOOKUP(transakcje[[#This Row],[kategoria]],parametr[kategoria],parametr[typ])</f>
        <v>dochody</v>
      </c>
      <c r="I2565" s="1">
        <f>ABS(transakcje[[#This Row],[kwota]])</f>
        <v>6.0000000000000001E-3</v>
      </c>
    </row>
    <row r="2566" spans="1:9" x14ac:dyDescent="0.3">
      <c r="A2566">
        <v>2565</v>
      </c>
      <c r="B2566">
        <v>2018</v>
      </c>
      <c r="C2566">
        <v>9</v>
      </c>
      <c r="D2566">
        <v>29</v>
      </c>
      <c r="E2566" s="1">
        <v>-1.08</v>
      </c>
      <c r="F2566" t="s">
        <v>26</v>
      </c>
      <c r="G2566" t="str">
        <f>_xlfn.XLOOKUP(transakcje[[#This Row],[podkategoria]],parametr[podkategoria],parametr[kategoria])</f>
        <v>życie</v>
      </c>
      <c r="H2566" t="str">
        <f>_xlfn.XLOOKUP(transakcje[[#This Row],[kategoria]],parametr[kategoria],parametr[typ])</f>
        <v>wydatki</v>
      </c>
      <c r="I2566" s="1">
        <f>ABS(transakcje[[#This Row],[kwota]])</f>
        <v>1.08</v>
      </c>
    </row>
    <row r="2567" spans="1:9" x14ac:dyDescent="0.3">
      <c r="A2567">
        <v>2566</v>
      </c>
      <c r="B2567">
        <v>2018</v>
      </c>
      <c r="C2567">
        <v>9</v>
      </c>
      <c r="D2567">
        <v>29</v>
      </c>
      <c r="E2567" s="1">
        <v>-10.906000000000001</v>
      </c>
      <c r="F2567" t="s">
        <v>26</v>
      </c>
      <c r="G2567" t="str">
        <f>_xlfn.XLOOKUP(transakcje[[#This Row],[podkategoria]],parametr[podkategoria],parametr[kategoria])</f>
        <v>życie</v>
      </c>
      <c r="H2567" t="str">
        <f>_xlfn.XLOOKUP(transakcje[[#This Row],[kategoria]],parametr[kategoria],parametr[typ])</f>
        <v>wydatki</v>
      </c>
      <c r="I2567" s="1">
        <f>ABS(transakcje[[#This Row],[kwota]])</f>
        <v>10.906000000000001</v>
      </c>
    </row>
    <row r="2568" spans="1:9" x14ac:dyDescent="0.3">
      <c r="A2568">
        <v>2567</v>
      </c>
      <c r="B2568">
        <v>2018</v>
      </c>
      <c r="C2568">
        <v>9</v>
      </c>
      <c r="D2568">
        <v>29</v>
      </c>
      <c r="E2568" s="1">
        <v>-0.5</v>
      </c>
      <c r="F2568" t="s">
        <v>14</v>
      </c>
      <c r="G2568" t="str">
        <f>_xlfn.XLOOKUP(transakcje[[#This Row],[podkategoria]],parametr[podkategoria],parametr[kategoria])</f>
        <v>opłaty stałe</v>
      </c>
      <c r="H2568" t="str">
        <f>_xlfn.XLOOKUP(transakcje[[#This Row],[kategoria]],parametr[kategoria],parametr[typ])</f>
        <v>wydatki</v>
      </c>
      <c r="I2568" s="1">
        <f>ABS(transakcje[[#This Row],[kwota]])</f>
        <v>0.5</v>
      </c>
    </row>
    <row r="2569" spans="1:9" x14ac:dyDescent="0.3">
      <c r="A2569">
        <v>2568</v>
      </c>
      <c r="B2569">
        <v>2018</v>
      </c>
      <c r="C2569">
        <v>9</v>
      </c>
      <c r="D2569">
        <v>29</v>
      </c>
      <c r="E2569" s="1">
        <v>-2E-3</v>
      </c>
      <c r="F2569" t="s">
        <v>14</v>
      </c>
      <c r="G2569" t="str">
        <f>_xlfn.XLOOKUP(transakcje[[#This Row],[podkategoria]],parametr[podkategoria],parametr[kategoria])</f>
        <v>opłaty stałe</v>
      </c>
      <c r="H2569" t="str">
        <f>_xlfn.XLOOKUP(transakcje[[#This Row],[kategoria]],parametr[kategoria],parametr[typ])</f>
        <v>wydatki</v>
      </c>
      <c r="I2569" s="1">
        <f>ABS(transakcje[[#This Row],[kwota]])</f>
        <v>2E-3</v>
      </c>
    </row>
    <row r="2570" spans="1:9" x14ac:dyDescent="0.3">
      <c r="A2570">
        <v>2569</v>
      </c>
      <c r="B2570">
        <v>2018</v>
      </c>
      <c r="C2570">
        <v>10</v>
      </c>
      <c r="D2570">
        <v>1</v>
      </c>
      <c r="E2570" s="1">
        <v>-53.29</v>
      </c>
      <c r="F2570" t="s">
        <v>31</v>
      </c>
      <c r="G2570" t="str">
        <f>_xlfn.XLOOKUP(transakcje[[#This Row],[podkategoria]],parametr[podkategoria],parametr[kategoria])</f>
        <v>opłaty stałe</v>
      </c>
      <c r="H2570" t="str">
        <f>_xlfn.XLOOKUP(transakcje[[#This Row],[kategoria]],parametr[kategoria],parametr[typ])</f>
        <v>wydatki</v>
      </c>
      <c r="I2570" s="1">
        <f>ABS(transakcje[[#This Row],[kwota]])</f>
        <v>53.29</v>
      </c>
    </row>
    <row r="2571" spans="1:9" x14ac:dyDescent="0.3">
      <c r="A2571">
        <v>2570</v>
      </c>
      <c r="B2571">
        <v>2018</v>
      </c>
      <c r="C2571">
        <v>10</v>
      </c>
      <c r="D2571">
        <v>1</v>
      </c>
      <c r="E2571" s="1">
        <v>-7.38</v>
      </c>
      <c r="F2571" t="s">
        <v>23</v>
      </c>
      <c r="G2571" t="str">
        <f>_xlfn.XLOOKUP(transakcje[[#This Row],[podkategoria]],parametr[podkategoria],parametr[kategoria])</f>
        <v>opłaty stałe</v>
      </c>
      <c r="H2571" t="str">
        <f>_xlfn.XLOOKUP(transakcje[[#This Row],[kategoria]],parametr[kategoria],parametr[typ])</f>
        <v>wydatki</v>
      </c>
      <c r="I2571" s="1">
        <f>ABS(transakcje[[#This Row],[kwota]])</f>
        <v>7.38</v>
      </c>
    </row>
    <row r="2572" spans="1:9" x14ac:dyDescent="0.3">
      <c r="A2572">
        <v>2571</v>
      </c>
      <c r="B2572">
        <v>2018</v>
      </c>
      <c r="C2572">
        <v>10</v>
      </c>
      <c r="D2572">
        <v>1</v>
      </c>
      <c r="E2572" s="1">
        <v>-10.8</v>
      </c>
      <c r="F2572" t="s">
        <v>25</v>
      </c>
      <c r="G2572" t="str">
        <f>_xlfn.XLOOKUP(transakcje[[#This Row],[podkategoria]],parametr[podkategoria],parametr[kategoria])</f>
        <v>opłaty stałe</v>
      </c>
      <c r="H2572" t="str">
        <f>_xlfn.XLOOKUP(transakcje[[#This Row],[kategoria]],parametr[kategoria],parametr[typ])</f>
        <v>wydatki</v>
      </c>
      <c r="I2572" s="1">
        <f>ABS(transakcje[[#This Row],[kwota]])</f>
        <v>10.8</v>
      </c>
    </row>
    <row r="2573" spans="1:9" x14ac:dyDescent="0.3">
      <c r="A2573">
        <v>2572</v>
      </c>
      <c r="B2573">
        <v>2018</v>
      </c>
      <c r="C2573">
        <v>10</v>
      </c>
      <c r="D2573">
        <v>2</v>
      </c>
      <c r="E2573" s="1">
        <v>-2.8679999999999999</v>
      </c>
      <c r="F2573" t="s">
        <v>26</v>
      </c>
      <c r="G2573" t="str">
        <f>_xlfn.XLOOKUP(transakcje[[#This Row],[podkategoria]],parametr[podkategoria],parametr[kategoria])</f>
        <v>życie</v>
      </c>
      <c r="H2573" t="str">
        <f>_xlfn.XLOOKUP(transakcje[[#This Row],[kategoria]],parametr[kategoria],parametr[typ])</f>
        <v>wydatki</v>
      </c>
      <c r="I2573" s="1">
        <f>ABS(transakcje[[#This Row],[kwota]])</f>
        <v>2.8679999999999999</v>
      </c>
    </row>
    <row r="2574" spans="1:9" x14ac:dyDescent="0.3">
      <c r="A2574">
        <v>2573</v>
      </c>
      <c r="B2574">
        <v>2018</v>
      </c>
      <c r="C2574">
        <v>10</v>
      </c>
      <c r="D2574">
        <v>4</v>
      </c>
      <c r="E2574" s="1">
        <v>130</v>
      </c>
      <c r="F2574" t="s">
        <v>16</v>
      </c>
      <c r="G2574" t="str">
        <f>_xlfn.XLOOKUP(transakcje[[#This Row],[podkategoria]],parametr[podkategoria],parametr[kategoria])</f>
        <v>dochody z pracy</v>
      </c>
      <c r="H2574" t="str">
        <f>_xlfn.XLOOKUP(transakcje[[#This Row],[kategoria]],parametr[kategoria],parametr[typ])</f>
        <v>dochody</v>
      </c>
      <c r="I2574" s="1">
        <f>ABS(transakcje[[#This Row],[kwota]])</f>
        <v>130</v>
      </c>
    </row>
    <row r="2575" spans="1:9" x14ac:dyDescent="0.3">
      <c r="A2575">
        <v>2574</v>
      </c>
      <c r="B2575">
        <v>2018</v>
      </c>
      <c r="C2575">
        <v>10</v>
      </c>
      <c r="D2575">
        <v>5</v>
      </c>
      <c r="E2575" s="1">
        <v>-2.6219999999999999</v>
      </c>
      <c r="F2575" t="s">
        <v>26</v>
      </c>
      <c r="G2575" t="str">
        <f>_xlfn.XLOOKUP(transakcje[[#This Row],[podkategoria]],parametr[podkategoria],parametr[kategoria])</f>
        <v>życie</v>
      </c>
      <c r="H2575" t="str">
        <f>_xlfn.XLOOKUP(transakcje[[#This Row],[kategoria]],parametr[kategoria],parametr[typ])</f>
        <v>wydatki</v>
      </c>
      <c r="I2575" s="1">
        <f>ABS(transakcje[[#This Row],[kwota]])</f>
        <v>2.6219999999999999</v>
      </c>
    </row>
    <row r="2576" spans="1:9" x14ac:dyDescent="0.3">
      <c r="A2576">
        <v>2575</v>
      </c>
      <c r="B2576">
        <v>2018</v>
      </c>
      <c r="C2576">
        <v>10</v>
      </c>
      <c r="D2576">
        <v>6</v>
      </c>
      <c r="E2576" s="1">
        <v>-239.8</v>
      </c>
      <c r="F2576" t="s">
        <v>11</v>
      </c>
      <c r="G2576" t="str">
        <f>_xlfn.XLOOKUP(transakcje[[#This Row],[podkategoria]],parametr[podkategoria],parametr[kategoria])</f>
        <v>wydatki inne</v>
      </c>
      <c r="H2576" t="str">
        <f>_xlfn.XLOOKUP(transakcje[[#This Row],[kategoria]],parametr[kategoria],parametr[typ])</f>
        <v>wydatki</v>
      </c>
      <c r="I2576" s="1">
        <f>ABS(transakcje[[#This Row],[kwota]])</f>
        <v>239.8</v>
      </c>
    </row>
    <row r="2577" spans="1:9" x14ac:dyDescent="0.3">
      <c r="A2577">
        <v>2576</v>
      </c>
      <c r="B2577">
        <v>2018</v>
      </c>
      <c r="C2577">
        <v>10</v>
      </c>
      <c r="D2577">
        <v>9</v>
      </c>
      <c r="E2577" s="1">
        <v>-6.8140000000000001</v>
      </c>
      <c r="F2577" t="s">
        <v>26</v>
      </c>
      <c r="G2577" t="str">
        <f>_xlfn.XLOOKUP(transakcje[[#This Row],[podkategoria]],parametr[podkategoria],parametr[kategoria])</f>
        <v>życie</v>
      </c>
      <c r="H2577" t="str">
        <f>_xlfn.XLOOKUP(transakcje[[#This Row],[kategoria]],parametr[kategoria],parametr[typ])</f>
        <v>wydatki</v>
      </c>
      <c r="I2577" s="1">
        <f>ABS(transakcje[[#This Row],[kwota]])</f>
        <v>6.8140000000000001</v>
      </c>
    </row>
    <row r="2578" spans="1:9" x14ac:dyDescent="0.3">
      <c r="A2578">
        <v>2577</v>
      </c>
      <c r="B2578">
        <v>2018</v>
      </c>
      <c r="C2578">
        <v>10</v>
      </c>
      <c r="D2578">
        <v>10</v>
      </c>
      <c r="E2578" s="1">
        <v>3000</v>
      </c>
      <c r="F2578" t="s">
        <v>28</v>
      </c>
      <c r="G2578" t="str">
        <f>_xlfn.XLOOKUP(transakcje[[#This Row],[podkategoria]],parametr[podkategoria],parametr[kategoria])</f>
        <v>dochody pozostałe</v>
      </c>
      <c r="H2578" t="str">
        <f>_xlfn.XLOOKUP(transakcje[[#This Row],[kategoria]],parametr[kategoria],parametr[typ])</f>
        <v>dochody</v>
      </c>
      <c r="I2578" s="1">
        <f>ABS(transakcje[[#This Row],[kwota]])</f>
        <v>3000</v>
      </c>
    </row>
    <row r="2579" spans="1:9" x14ac:dyDescent="0.3">
      <c r="A2579">
        <v>2578</v>
      </c>
      <c r="B2579">
        <v>2018</v>
      </c>
      <c r="C2579">
        <v>10</v>
      </c>
      <c r="D2579">
        <v>12</v>
      </c>
      <c r="E2579" s="1">
        <v>-2.0739999999999998</v>
      </c>
      <c r="F2579" t="s">
        <v>26</v>
      </c>
      <c r="G2579" t="str">
        <f>_xlfn.XLOOKUP(transakcje[[#This Row],[podkategoria]],parametr[podkategoria],parametr[kategoria])</f>
        <v>życie</v>
      </c>
      <c r="H2579" t="str">
        <f>_xlfn.XLOOKUP(transakcje[[#This Row],[kategoria]],parametr[kategoria],parametr[typ])</f>
        <v>wydatki</v>
      </c>
      <c r="I2579" s="1">
        <f>ABS(transakcje[[#This Row],[kwota]])</f>
        <v>2.0739999999999998</v>
      </c>
    </row>
    <row r="2580" spans="1:9" x14ac:dyDescent="0.3">
      <c r="A2580">
        <v>2579</v>
      </c>
      <c r="B2580">
        <v>2018</v>
      </c>
      <c r="C2580">
        <v>10</v>
      </c>
      <c r="D2580">
        <v>12</v>
      </c>
      <c r="E2580" s="1">
        <v>-0.99</v>
      </c>
      <c r="F2580" t="s">
        <v>26</v>
      </c>
      <c r="G2580" t="str">
        <f>_xlfn.XLOOKUP(transakcje[[#This Row],[podkategoria]],parametr[podkategoria],parametr[kategoria])</f>
        <v>życie</v>
      </c>
      <c r="H2580" t="str">
        <f>_xlfn.XLOOKUP(transakcje[[#This Row],[kategoria]],parametr[kategoria],parametr[typ])</f>
        <v>wydatki</v>
      </c>
      <c r="I2580" s="1">
        <f>ABS(transakcje[[#This Row],[kwota]])</f>
        <v>0.99</v>
      </c>
    </row>
    <row r="2581" spans="1:9" x14ac:dyDescent="0.3">
      <c r="A2581">
        <v>2580</v>
      </c>
      <c r="B2581">
        <v>2018</v>
      </c>
      <c r="C2581">
        <v>10</v>
      </c>
      <c r="D2581">
        <v>16</v>
      </c>
      <c r="E2581" s="1">
        <v>-0.39800000000000002</v>
      </c>
      <c r="F2581" t="s">
        <v>14</v>
      </c>
      <c r="G2581" t="str">
        <f>_xlfn.XLOOKUP(transakcje[[#This Row],[podkategoria]],parametr[podkategoria],parametr[kategoria])</f>
        <v>opłaty stałe</v>
      </c>
      <c r="H2581" t="str">
        <f>_xlfn.XLOOKUP(transakcje[[#This Row],[kategoria]],parametr[kategoria],parametr[typ])</f>
        <v>wydatki</v>
      </c>
      <c r="I2581" s="1">
        <f>ABS(transakcje[[#This Row],[kwota]])</f>
        <v>0.39800000000000002</v>
      </c>
    </row>
    <row r="2582" spans="1:9" x14ac:dyDescent="0.3">
      <c r="A2582">
        <v>2581</v>
      </c>
      <c r="B2582">
        <v>2018</v>
      </c>
      <c r="C2582">
        <v>10</v>
      </c>
      <c r="D2582">
        <v>19</v>
      </c>
      <c r="E2582" s="1">
        <v>-4.4779999999999998</v>
      </c>
      <c r="F2582" t="s">
        <v>26</v>
      </c>
      <c r="G2582" t="str">
        <f>_xlfn.XLOOKUP(transakcje[[#This Row],[podkategoria]],parametr[podkategoria],parametr[kategoria])</f>
        <v>życie</v>
      </c>
      <c r="H2582" t="str">
        <f>_xlfn.XLOOKUP(transakcje[[#This Row],[kategoria]],parametr[kategoria],parametr[typ])</f>
        <v>wydatki</v>
      </c>
      <c r="I2582" s="1">
        <f>ABS(transakcje[[#This Row],[kwota]])</f>
        <v>4.4779999999999998</v>
      </c>
    </row>
    <row r="2583" spans="1:9" x14ac:dyDescent="0.3">
      <c r="A2583">
        <v>2582</v>
      </c>
      <c r="B2583">
        <v>2018</v>
      </c>
      <c r="C2583">
        <v>10</v>
      </c>
      <c r="D2583">
        <v>19</v>
      </c>
      <c r="E2583" s="1">
        <v>-7.9420000000000002</v>
      </c>
      <c r="F2583" t="s">
        <v>26</v>
      </c>
      <c r="G2583" t="str">
        <f>_xlfn.XLOOKUP(transakcje[[#This Row],[podkategoria]],parametr[podkategoria],parametr[kategoria])</f>
        <v>życie</v>
      </c>
      <c r="H2583" t="str">
        <f>_xlfn.XLOOKUP(transakcje[[#This Row],[kategoria]],parametr[kategoria],parametr[typ])</f>
        <v>wydatki</v>
      </c>
      <c r="I2583" s="1">
        <f>ABS(transakcje[[#This Row],[kwota]])</f>
        <v>7.9420000000000002</v>
      </c>
    </row>
    <row r="2584" spans="1:9" x14ac:dyDescent="0.3">
      <c r="A2584">
        <v>2583</v>
      </c>
      <c r="B2584">
        <v>2018</v>
      </c>
      <c r="C2584">
        <v>10</v>
      </c>
      <c r="D2584">
        <v>23</v>
      </c>
      <c r="E2584" s="1">
        <v>-0.79</v>
      </c>
      <c r="F2584" t="s">
        <v>26</v>
      </c>
      <c r="G2584" t="str">
        <f>_xlfn.XLOOKUP(transakcje[[#This Row],[podkategoria]],parametr[podkategoria],parametr[kategoria])</f>
        <v>życie</v>
      </c>
      <c r="H2584" t="str">
        <f>_xlfn.XLOOKUP(transakcje[[#This Row],[kategoria]],parametr[kategoria],parametr[typ])</f>
        <v>wydatki</v>
      </c>
      <c r="I2584" s="1">
        <f>ABS(transakcje[[#This Row],[kwota]])</f>
        <v>0.79</v>
      </c>
    </row>
    <row r="2585" spans="1:9" x14ac:dyDescent="0.3">
      <c r="A2585">
        <v>2584</v>
      </c>
      <c r="B2585">
        <v>2018</v>
      </c>
      <c r="C2585">
        <v>10</v>
      </c>
      <c r="D2585">
        <v>24</v>
      </c>
      <c r="E2585" s="1">
        <v>-11.837999999999999</v>
      </c>
      <c r="F2585" t="s">
        <v>26</v>
      </c>
      <c r="G2585" t="str">
        <f>_xlfn.XLOOKUP(transakcje[[#This Row],[podkategoria]],parametr[podkategoria],parametr[kategoria])</f>
        <v>życie</v>
      </c>
      <c r="H2585" t="str">
        <f>_xlfn.XLOOKUP(transakcje[[#This Row],[kategoria]],parametr[kategoria],parametr[typ])</f>
        <v>wydatki</v>
      </c>
      <c r="I2585" s="1">
        <f>ABS(transakcje[[#This Row],[kwota]])</f>
        <v>11.837999999999999</v>
      </c>
    </row>
    <row r="2586" spans="1:9" x14ac:dyDescent="0.3">
      <c r="A2586">
        <v>2585</v>
      </c>
      <c r="B2586">
        <v>2018</v>
      </c>
      <c r="C2586">
        <v>10</v>
      </c>
      <c r="D2586">
        <v>25</v>
      </c>
      <c r="E2586" s="1">
        <v>554.77800000000002</v>
      </c>
      <c r="F2586" t="s">
        <v>8</v>
      </c>
      <c r="G2586" t="str">
        <f>_xlfn.XLOOKUP(transakcje[[#This Row],[podkategoria]],parametr[podkategoria],parametr[kategoria])</f>
        <v>dochody z pracy</v>
      </c>
      <c r="H2586" t="str">
        <f>_xlfn.XLOOKUP(transakcje[[#This Row],[kategoria]],parametr[kategoria],parametr[typ])</f>
        <v>dochody</v>
      </c>
      <c r="I2586" s="1">
        <f>ABS(transakcje[[#This Row],[kwota]])</f>
        <v>554.77800000000002</v>
      </c>
    </row>
    <row r="2587" spans="1:9" x14ac:dyDescent="0.3">
      <c r="A2587">
        <v>2586</v>
      </c>
      <c r="B2587">
        <v>2018</v>
      </c>
      <c r="C2587">
        <v>10</v>
      </c>
      <c r="D2587">
        <v>26</v>
      </c>
      <c r="E2587" s="1">
        <v>-0.57999999999999996</v>
      </c>
      <c r="F2587" t="s">
        <v>26</v>
      </c>
      <c r="G2587" t="str">
        <f>_xlfn.XLOOKUP(transakcje[[#This Row],[podkategoria]],parametr[podkategoria],parametr[kategoria])</f>
        <v>życie</v>
      </c>
      <c r="H2587" t="str">
        <f>_xlfn.XLOOKUP(transakcje[[#This Row],[kategoria]],parametr[kategoria],parametr[typ])</f>
        <v>wydatki</v>
      </c>
      <c r="I2587" s="1">
        <f>ABS(transakcje[[#This Row],[kwota]])</f>
        <v>0.57999999999999996</v>
      </c>
    </row>
    <row r="2588" spans="1:9" x14ac:dyDescent="0.3">
      <c r="A2588">
        <v>2587</v>
      </c>
      <c r="B2588">
        <v>2018</v>
      </c>
      <c r="C2588">
        <v>10</v>
      </c>
      <c r="D2588">
        <v>27</v>
      </c>
      <c r="E2588" s="1">
        <v>-19.8</v>
      </c>
      <c r="F2588" t="s">
        <v>32</v>
      </c>
      <c r="G2588" t="str">
        <f>_xlfn.XLOOKUP(transakcje[[#This Row],[podkategoria]],parametr[podkategoria],parametr[kategoria])</f>
        <v>opłaty stałe</v>
      </c>
      <c r="H2588" t="str">
        <f>_xlfn.XLOOKUP(transakcje[[#This Row],[kategoria]],parametr[kategoria],parametr[typ])</f>
        <v>wydatki</v>
      </c>
      <c r="I2588" s="1">
        <f>ABS(transakcje[[#This Row],[kwota]])</f>
        <v>19.8</v>
      </c>
    </row>
    <row r="2589" spans="1:9" x14ac:dyDescent="0.3">
      <c r="A2589">
        <v>2588</v>
      </c>
      <c r="B2589">
        <v>2018</v>
      </c>
      <c r="C2589">
        <v>10</v>
      </c>
      <c r="D2589">
        <v>27</v>
      </c>
      <c r="E2589" s="1">
        <v>-17.375999999999998</v>
      </c>
      <c r="F2589" t="s">
        <v>26</v>
      </c>
      <c r="G2589" t="str">
        <f>_xlfn.XLOOKUP(transakcje[[#This Row],[podkategoria]],parametr[podkategoria],parametr[kategoria])</f>
        <v>życie</v>
      </c>
      <c r="H2589" t="str">
        <f>_xlfn.XLOOKUP(transakcje[[#This Row],[kategoria]],parametr[kategoria],parametr[typ])</f>
        <v>wydatki</v>
      </c>
      <c r="I2589" s="1">
        <f>ABS(transakcje[[#This Row],[kwota]])</f>
        <v>17.375999999999998</v>
      </c>
    </row>
    <row r="2590" spans="1:9" x14ac:dyDescent="0.3">
      <c r="A2590">
        <v>2589</v>
      </c>
      <c r="B2590">
        <v>2018</v>
      </c>
      <c r="C2590">
        <v>10</v>
      </c>
      <c r="D2590">
        <v>29</v>
      </c>
      <c r="E2590" s="1">
        <v>-4.6319999999999997</v>
      </c>
      <c r="F2590" t="s">
        <v>26</v>
      </c>
      <c r="G2590" t="str">
        <f>_xlfn.XLOOKUP(transakcje[[#This Row],[podkategoria]],parametr[podkategoria],parametr[kategoria])</f>
        <v>życie</v>
      </c>
      <c r="H2590" t="str">
        <f>_xlfn.XLOOKUP(transakcje[[#This Row],[kategoria]],parametr[kategoria],parametr[typ])</f>
        <v>wydatki</v>
      </c>
      <c r="I2590" s="1">
        <f>ABS(transakcje[[#This Row],[kwota]])</f>
        <v>4.6319999999999997</v>
      </c>
    </row>
    <row r="2591" spans="1:9" x14ac:dyDescent="0.3">
      <c r="A2591">
        <v>2590</v>
      </c>
      <c r="B2591">
        <v>2018</v>
      </c>
      <c r="C2591">
        <v>10</v>
      </c>
      <c r="D2591">
        <v>31</v>
      </c>
      <c r="E2591" s="1">
        <v>-2.8679999999999999</v>
      </c>
      <c r="F2591" t="s">
        <v>26</v>
      </c>
      <c r="G2591" t="str">
        <f>_xlfn.XLOOKUP(transakcje[[#This Row],[podkategoria]],parametr[podkategoria],parametr[kategoria])</f>
        <v>życie</v>
      </c>
      <c r="H2591" t="str">
        <f>_xlfn.XLOOKUP(transakcje[[#This Row],[kategoria]],parametr[kategoria],parametr[typ])</f>
        <v>wydatki</v>
      </c>
      <c r="I2591" s="1">
        <f>ABS(transakcje[[#This Row],[kwota]])</f>
        <v>2.8679999999999999</v>
      </c>
    </row>
    <row r="2592" spans="1:9" x14ac:dyDescent="0.3">
      <c r="A2592">
        <v>2591</v>
      </c>
      <c r="B2592">
        <v>2018</v>
      </c>
      <c r="C2592">
        <v>10</v>
      </c>
      <c r="D2592">
        <v>31</v>
      </c>
      <c r="E2592" s="1">
        <v>229.92800000000003</v>
      </c>
      <c r="F2592" t="s">
        <v>19</v>
      </c>
      <c r="G2592" t="str">
        <f>_xlfn.XLOOKUP(transakcje[[#This Row],[podkategoria]],parametr[podkategoria],parametr[kategoria])</f>
        <v>dochody z pracy</v>
      </c>
      <c r="H2592" t="str">
        <f>_xlfn.XLOOKUP(transakcje[[#This Row],[kategoria]],parametr[kategoria],parametr[typ])</f>
        <v>dochody</v>
      </c>
      <c r="I2592" s="1">
        <f>ABS(transakcje[[#This Row],[kwota]])</f>
        <v>229.92800000000003</v>
      </c>
    </row>
    <row r="2593" spans="1:9" x14ac:dyDescent="0.3">
      <c r="A2593">
        <v>2592</v>
      </c>
      <c r="B2593">
        <v>2018</v>
      </c>
      <c r="C2593">
        <v>10</v>
      </c>
      <c r="D2593">
        <v>31</v>
      </c>
      <c r="E2593" s="1">
        <v>-0.82</v>
      </c>
      <c r="F2593" t="s">
        <v>26</v>
      </c>
      <c r="G2593" t="str">
        <f>_xlfn.XLOOKUP(transakcje[[#This Row],[podkategoria]],parametr[podkategoria],parametr[kategoria])</f>
        <v>życie</v>
      </c>
      <c r="H2593" t="str">
        <f>_xlfn.XLOOKUP(transakcje[[#This Row],[kategoria]],parametr[kategoria],parametr[typ])</f>
        <v>wydatki</v>
      </c>
      <c r="I2593" s="1">
        <f>ABS(transakcje[[#This Row],[kwota]])</f>
        <v>0.82</v>
      </c>
    </row>
    <row r="2594" spans="1:9" x14ac:dyDescent="0.3">
      <c r="A2594">
        <v>2593</v>
      </c>
      <c r="B2594">
        <v>2018</v>
      </c>
      <c r="C2594">
        <v>10</v>
      </c>
      <c r="D2594">
        <v>31</v>
      </c>
      <c r="E2594" s="1">
        <v>-2E-3</v>
      </c>
      <c r="F2594" t="s">
        <v>14</v>
      </c>
      <c r="G2594" t="str">
        <f>_xlfn.XLOOKUP(transakcje[[#This Row],[podkategoria]],parametr[podkategoria],parametr[kategoria])</f>
        <v>opłaty stałe</v>
      </c>
      <c r="H2594" t="str">
        <f>_xlfn.XLOOKUP(transakcje[[#This Row],[kategoria]],parametr[kategoria],parametr[typ])</f>
        <v>wydatki</v>
      </c>
      <c r="I2594" s="1">
        <f>ABS(transakcje[[#This Row],[kwota]])</f>
        <v>2E-3</v>
      </c>
    </row>
    <row r="2595" spans="1:9" x14ac:dyDescent="0.3">
      <c r="A2595">
        <v>2594</v>
      </c>
      <c r="B2595">
        <v>2018</v>
      </c>
      <c r="C2595">
        <v>10</v>
      </c>
      <c r="D2595">
        <v>31</v>
      </c>
      <c r="E2595" s="1">
        <v>-0.998</v>
      </c>
      <c r="F2595" t="s">
        <v>11</v>
      </c>
      <c r="G2595" t="str">
        <f>_xlfn.XLOOKUP(transakcje[[#This Row],[podkategoria]],parametr[podkategoria],parametr[kategoria])</f>
        <v>wydatki inne</v>
      </c>
      <c r="H2595" t="str">
        <f>_xlfn.XLOOKUP(transakcje[[#This Row],[kategoria]],parametr[kategoria],parametr[typ])</f>
        <v>wydatki</v>
      </c>
      <c r="I2595" s="1">
        <f>ABS(transakcje[[#This Row],[kwota]])</f>
        <v>0.998</v>
      </c>
    </row>
    <row r="2596" spans="1:9" x14ac:dyDescent="0.3">
      <c r="A2596">
        <v>2595</v>
      </c>
      <c r="B2596">
        <v>2018</v>
      </c>
      <c r="C2596">
        <v>10</v>
      </c>
      <c r="D2596">
        <v>31</v>
      </c>
      <c r="E2596" s="1">
        <v>-0.54</v>
      </c>
      <c r="F2596" t="s">
        <v>26</v>
      </c>
      <c r="G2596" t="str">
        <f>_xlfn.XLOOKUP(transakcje[[#This Row],[podkategoria]],parametr[podkategoria],parametr[kategoria])</f>
        <v>życie</v>
      </c>
      <c r="H2596" t="str">
        <f>_xlfn.XLOOKUP(transakcje[[#This Row],[kategoria]],parametr[kategoria],parametr[typ])</f>
        <v>wydatki</v>
      </c>
      <c r="I2596" s="1">
        <f>ABS(transakcje[[#This Row],[kwota]])</f>
        <v>0.54</v>
      </c>
    </row>
    <row r="2597" spans="1:9" x14ac:dyDescent="0.3">
      <c r="A2597">
        <v>2596</v>
      </c>
      <c r="B2597">
        <v>2018</v>
      </c>
      <c r="C2597">
        <v>10</v>
      </c>
      <c r="D2597">
        <v>31</v>
      </c>
      <c r="E2597" s="1">
        <v>-1.198</v>
      </c>
      <c r="F2597" t="s">
        <v>14</v>
      </c>
      <c r="G2597" t="str">
        <f>_xlfn.XLOOKUP(transakcje[[#This Row],[podkategoria]],parametr[podkategoria],parametr[kategoria])</f>
        <v>opłaty stałe</v>
      </c>
      <c r="H2597" t="str">
        <f>_xlfn.XLOOKUP(transakcje[[#This Row],[kategoria]],parametr[kategoria],parametr[typ])</f>
        <v>wydatki</v>
      </c>
      <c r="I2597" s="1">
        <f>ABS(transakcje[[#This Row],[kwota]])</f>
        <v>1.198</v>
      </c>
    </row>
    <row r="2598" spans="1:9" x14ac:dyDescent="0.3">
      <c r="A2598">
        <v>2597</v>
      </c>
      <c r="B2598">
        <v>2018</v>
      </c>
      <c r="C2598">
        <v>10</v>
      </c>
      <c r="D2598">
        <v>31</v>
      </c>
      <c r="E2598" s="1">
        <v>8.0000000000000002E-3</v>
      </c>
      <c r="F2598" t="s">
        <v>17</v>
      </c>
      <c r="G2598" t="str">
        <f>_xlfn.XLOOKUP(transakcje[[#This Row],[podkategoria]],parametr[podkategoria],parametr[kategoria])</f>
        <v>dochody pozostałe</v>
      </c>
      <c r="H2598" t="str">
        <f>_xlfn.XLOOKUP(transakcje[[#This Row],[kategoria]],parametr[kategoria],parametr[typ])</f>
        <v>dochody</v>
      </c>
      <c r="I2598" s="1">
        <f>ABS(transakcje[[#This Row],[kwota]])</f>
        <v>8.0000000000000002E-3</v>
      </c>
    </row>
    <row r="2599" spans="1:9" x14ac:dyDescent="0.3">
      <c r="A2599">
        <v>2598</v>
      </c>
      <c r="B2599">
        <v>2018</v>
      </c>
      <c r="C2599">
        <v>11</v>
      </c>
      <c r="D2599">
        <v>1</v>
      </c>
      <c r="E2599" s="1">
        <v>-6.1420000000000003</v>
      </c>
      <c r="F2599" t="s">
        <v>35</v>
      </c>
      <c r="G2599" t="str">
        <f>_xlfn.XLOOKUP(transakcje[[#This Row],[podkategoria]],parametr[podkategoria],parametr[kategoria])</f>
        <v>opłaty stałe</v>
      </c>
      <c r="H2599" t="str">
        <f>_xlfn.XLOOKUP(transakcje[[#This Row],[kategoria]],parametr[kategoria],parametr[typ])</f>
        <v>wydatki</v>
      </c>
      <c r="I2599" s="1">
        <f>ABS(transakcje[[#This Row],[kwota]])</f>
        <v>6.1420000000000003</v>
      </c>
    </row>
    <row r="2600" spans="1:9" x14ac:dyDescent="0.3">
      <c r="A2600">
        <v>2599</v>
      </c>
      <c r="B2600">
        <v>2018</v>
      </c>
      <c r="C2600">
        <v>11</v>
      </c>
      <c r="D2600">
        <v>1</v>
      </c>
      <c r="E2600" s="1">
        <v>-93.289999999999992</v>
      </c>
      <c r="F2600" t="s">
        <v>31</v>
      </c>
      <c r="G2600" t="str">
        <f>_xlfn.XLOOKUP(transakcje[[#This Row],[podkategoria]],parametr[podkategoria],parametr[kategoria])</f>
        <v>opłaty stałe</v>
      </c>
      <c r="H2600" t="str">
        <f>_xlfn.XLOOKUP(transakcje[[#This Row],[kategoria]],parametr[kategoria],parametr[typ])</f>
        <v>wydatki</v>
      </c>
      <c r="I2600" s="1">
        <f>ABS(transakcje[[#This Row],[kwota]])</f>
        <v>93.289999999999992</v>
      </c>
    </row>
    <row r="2601" spans="1:9" x14ac:dyDescent="0.3">
      <c r="A2601">
        <v>2600</v>
      </c>
      <c r="B2601">
        <v>2018</v>
      </c>
      <c r="C2601">
        <v>11</v>
      </c>
      <c r="D2601">
        <v>1</v>
      </c>
      <c r="E2601" s="1">
        <v>-5.8</v>
      </c>
      <c r="F2601" t="s">
        <v>25</v>
      </c>
      <c r="G2601" t="str">
        <f>_xlfn.XLOOKUP(transakcje[[#This Row],[podkategoria]],parametr[podkategoria],parametr[kategoria])</f>
        <v>opłaty stałe</v>
      </c>
      <c r="H2601" t="str">
        <f>_xlfn.XLOOKUP(transakcje[[#This Row],[kategoria]],parametr[kategoria],parametr[typ])</f>
        <v>wydatki</v>
      </c>
      <c r="I2601" s="1">
        <f>ABS(transakcje[[#This Row],[kwota]])</f>
        <v>5.8</v>
      </c>
    </row>
    <row r="2602" spans="1:9" x14ac:dyDescent="0.3">
      <c r="A2602">
        <v>2601</v>
      </c>
      <c r="B2602">
        <v>2018</v>
      </c>
      <c r="C2602">
        <v>11</v>
      </c>
      <c r="D2602">
        <v>1</v>
      </c>
      <c r="E2602" s="1">
        <v>-17.175999999999998</v>
      </c>
      <c r="F2602" t="s">
        <v>34</v>
      </c>
      <c r="G2602" t="str">
        <f>_xlfn.XLOOKUP(transakcje[[#This Row],[podkategoria]],parametr[podkategoria],parametr[kategoria])</f>
        <v>opłaty stałe</v>
      </c>
      <c r="H2602" t="str">
        <f>_xlfn.XLOOKUP(transakcje[[#This Row],[kategoria]],parametr[kategoria],parametr[typ])</f>
        <v>wydatki</v>
      </c>
      <c r="I2602" s="1">
        <f>ABS(transakcje[[#This Row],[kwota]])</f>
        <v>17.175999999999998</v>
      </c>
    </row>
    <row r="2603" spans="1:9" x14ac:dyDescent="0.3">
      <c r="A2603">
        <v>2602</v>
      </c>
      <c r="B2603">
        <v>2018</v>
      </c>
      <c r="C2603">
        <v>11</v>
      </c>
      <c r="D2603">
        <v>1</v>
      </c>
      <c r="E2603" s="1">
        <v>-7.38</v>
      </c>
      <c r="F2603" t="s">
        <v>23</v>
      </c>
      <c r="G2603" t="str">
        <f>_xlfn.XLOOKUP(transakcje[[#This Row],[podkategoria]],parametr[podkategoria],parametr[kategoria])</f>
        <v>opłaty stałe</v>
      </c>
      <c r="H2603" t="str">
        <f>_xlfn.XLOOKUP(transakcje[[#This Row],[kategoria]],parametr[kategoria],parametr[typ])</f>
        <v>wydatki</v>
      </c>
      <c r="I2603" s="1">
        <f>ABS(transakcje[[#This Row],[kwota]])</f>
        <v>7.38</v>
      </c>
    </row>
    <row r="2604" spans="1:9" x14ac:dyDescent="0.3">
      <c r="A2604">
        <v>2603</v>
      </c>
      <c r="B2604">
        <v>2018</v>
      </c>
      <c r="C2604">
        <v>11</v>
      </c>
      <c r="D2604">
        <v>3</v>
      </c>
      <c r="E2604" s="1">
        <v>-8.4879999999999995</v>
      </c>
      <c r="F2604" t="s">
        <v>26</v>
      </c>
      <c r="G2604" t="str">
        <f>_xlfn.XLOOKUP(transakcje[[#This Row],[podkategoria]],parametr[podkategoria],parametr[kategoria])</f>
        <v>życie</v>
      </c>
      <c r="H2604" t="str">
        <f>_xlfn.XLOOKUP(transakcje[[#This Row],[kategoria]],parametr[kategoria],parametr[typ])</f>
        <v>wydatki</v>
      </c>
      <c r="I2604" s="1">
        <f>ABS(transakcje[[#This Row],[kwota]])</f>
        <v>8.4879999999999995</v>
      </c>
    </row>
    <row r="2605" spans="1:9" x14ac:dyDescent="0.3">
      <c r="A2605">
        <v>2604</v>
      </c>
      <c r="B2605">
        <v>2018</v>
      </c>
      <c r="C2605">
        <v>11</v>
      </c>
      <c r="D2605">
        <v>6</v>
      </c>
      <c r="E2605" s="1">
        <v>-1.768</v>
      </c>
      <c r="F2605" t="s">
        <v>26</v>
      </c>
      <c r="G2605" t="str">
        <f>_xlfn.XLOOKUP(transakcje[[#This Row],[podkategoria]],parametr[podkategoria],parametr[kategoria])</f>
        <v>życie</v>
      </c>
      <c r="H2605" t="str">
        <f>_xlfn.XLOOKUP(transakcje[[#This Row],[kategoria]],parametr[kategoria],parametr[typ])</f>
        <v>wydatki</v>
      </c>
      <c r="I2605" s="1">
        <f>ABS(transakcje[[#This Row],[kwota]])</f>
        <v>1.768</v>
      </c>
    </row>
    <row r="2606" spans="1:9" x14ac:dyDescent="0.3">
      <c r="A2606">
        <v>2605</v>
      </c>
      <c r="B2606">
        <v>2018</v>
      </c>
      <c r="C2606">
        <v>11</v>
      </c>
      <c r="D2606">
        <v>8</v>
      </c>
      <c r="E2606" s="1">
        <v>-28.556000000000001</v>
      </c>
      <c r="F2606" t="s">
        <v>11</v>
      </c>
      <c r="G2606" t="str">
        <f>_xlfn.XLOOKUP(transakcje[[#This Row],[podkategoria]],parametr[podkategoria],parametr[kategoria])</f>
        <v>wydatki inne</v>
      </c>
      <c r="H2606" t="str">
        <f>_xlfn.XLOOKUP(transakcje[[#This Row],[kategoria]],parametr[kategoria],parametr[typ])</f>
        <v>wydatki</v>
      </c>
      <c r="I2606" s="1">
        <f>ABS(transakcje[[#This Row],[kwota]])</f>
        <v>28.556000000000001</v>
      </c>
    </row>
    <row r="2607" spans="1:9" x14ac:dyDescent="0.3">
      <c r="A2607">
        <v>2606</v>
      </c>
      <c r="B2607">
        <v>2018</v>
      </c>
      <c r="C2607">
        <v>11</v>
      </c>
      <c r="D2607">
        <v>8</v>
      </c>
      <c r="E2607" s="1">
        <v>-11.641999999999999</v>
      </c>
      <c r="F2607" t="s">
        <v>26</v>
      </c>
      <c r="G2607" t="str">
        <f>_xlfn.XLOOKUP(transakcje[[#This Row],[podkategoria]],parametr[podkategoria],parametr[kategoria])</f>
        <v>życie</v>
      </c>
      <c r="H2607" t="str">
        <f>_xlfn.XLOOKUP(transakcje[[#This Row],[kategoria]],parametr[kategoria],parametr[typ])</f>
        <v>wydatki</v>
      </c>
      <c r="I2607" s="1">
        <f>ABS(transakcje[[#This Row],[kwota]])</f>
        <v>11.641999999999999</v>
      </c>
    </row>
    <row r="2608" spans="1:9" x14ac:dyDescent="0.3">
      <c r="A2608">
        <v>2607</v>
      </c>
      <c r="B2608">
        <v>2018</v>
      </c>
      <c r="C2608">
        <v>11</v>
      </c>
      <c r="D2608">
        <v>9</v>
      </c>
      <c r="E2608" s="1">
        <v>-1.9100000000000001</v>
      </c>
      <c r="F2608" t="s">
        <v>26</v>
      </c>
      <c r="G2608" t="str">
        <f>_xlfn.XLOOKUP(transakcje[[#This Row],[podkategoria]],parametr[podkategoria],parametr[kategoria])</f>
        <v>życie</v>
      </c>
      <c r="H2608" t="str">
        <f>_xlfn.XLOOKUP(transakcje[[#This Row],[kategoria]],parametr[kategoria],parametr[typ])</f>
        <v>wydatki</v>
      </c>
      <c r="I2608" s="1">
        <f>ABS(transakcje[[#This Row],[kwota]])</f>
        <v>1.9100000000000001</v>
      </c>
    </row>
    <row r="2609" spans="1:9" x14ac:dyDescent="0.3">
      <c r="A2609">
        <v>2608</v>
      </c>
      <c r="B2609">
        <v>2018</v>
      </c>
      <c r="C2609">
        <v>11</v>
      </c>
      <c r="D2609">
        <v>10</v>
      </c>
      <c r="E2609" s="1">
        <v>-9.8339999999999996</v>
      </c>
      <c r="F2609" t="s">
        <v>26</v>
      </c>
      <c r="G2609" t="str">
        <f>_xlfn.XLOOKUP(transakcje[[#This Row],[podkategoria]],parametr[podkategoria],parametr[kategoria])</f>
        <v>życie</v>
      </c>
      <c r="H2609" t="str">
        <f>_xlfn.XLOOKUP(transakcje[[#This Row],[kategoria]],parametr[kategoria],parametr[typ])</f>
        <v>wydatki</v>
      </c>
      <c r="I2609" s="1">
        <f>ABS(transakcje[[#This Row],[kwota]])</f>
        <v>9.8339999999999996</v>
      </c>
    </row>
    <row r="2610" spans="1:9" x14ac:dyDescent="0.3">
      <c r="A2610">
        <v>2609</v>
      </c>
      <c r="B2610">
        <v>2018</v>
      </c>
      <c r="C2610">
        <v>11</v>
      </c>
      <c r="D2610">
        <v>13</v>
      </c>
      <c r="E2610" s="1">
        <v>-0.39800000000000002</v>
      </c>
      <c r="F2610" t="s">
        <v>14</v>
      </c>
      <c r="G2610" t="str">
        <f>_xlfn.XLOOKUP(transakcje[[#This Row],[podkategoria]],parametr[podkategoria],parametr[kategoria])</f>
        <v>opłaty stałe</v>
      </c>
      <c r="H2610" t="str">
        <f>_xlfn.XLOOKUP(transakcje[[#This Row],[kategoria]],parametr[kategoria],parametr[typ])</f>
        <v>wydatki</v>
      </c>
      <c r="I2610" s="1">
        <f>ABS(transakcje[[#This Row],[kwota]])</f>
        <v>0.39800000000000002</v>
      </c>
    </row>
    <row r="2611" spans="1:9" x14ac:dyDescent="0.3">
      <c r="A2611">
        <v>2610</v>
      </c>
      <c r="B2611">
        <v>2018</v>
      </c>
      <c r="C2611">
        <v>11</v>
      </c>
      <c r="D2611">
        <v>16</v>
      </c>
      <c r="E2611" s="1">
        <v>-1.474</v>
      </c>
      <c r="F2611" t="s">
        <v>26</v>
      </c>
      <c r="G2611" t="str">
        <f>_xlfn.XLOOKUP(transakcje[[#This Row],[podkategoria]],parametr[podkategoria],parametr[kategoria])</f>
        <v>życie</v>
      </c>
      <c r="H2611" t="str">
        <f>_xlfn.XLOOKUP(transakcje[[#This Row],[kategoria]],parametr[kategoria],parametr[typ])</f>
        <v>wydatki</v>
      </c>
      <c r="I2611" s="1">
        <f>ABS(transakcje[[#This Row],[kwota]])</f>
        <v>1.474</v>
      </c>
    </row>
    <row r="2612" spans="1:9" x14ac:dyDescent="0.3">
      <c r="A2612">
        <v>2611</v>
      </c>
      <c r="B2612">
        <v>2018</v>
      </c>
      <c r="C2612">
        <v>11</v>
      </c>
      <c r="D2612">
        <v>16</v>
      </c>
      <c r="E2612" s="1">
        <v>-0.54</v>
      </c>
      <c r="F2612" t="s">
        <v>26</v>
      </c>
      <c r="G2612" t="str">
        <f>_xlfn.XLOOKUP(transakcje[[#This Row],[podkategoria]],parametr[podkategoria],parametr[kategoria])</f>
        <v>życie</v>
      </c>
      <c r="H2612" t="str">
        <f>_xlfn.XLOOKUP(transakcje[[#This Row],[kategoria]],parametr[kategoria],parametr[typ])</f>
        <v>wydatki</v>
      </c>
      <c r="I2612" s="1">
        <f>ABS(transakcje[[#This Row],[kwota]])</f>
        <v>0.54</v>
      </c>
    </row>
    <row r="2613" spans="1:9" x14ac:dyDescent="0.3">
      <c r="A2613">
        <v>2612</v>
      </c>
      <c r="B2613">
        <v>2018</v>
      </c>
      <c r="C2613">
        <v>11</v>
      </c>
      <c r="D2613">
        <v>20</v>
      </c>
      <c r="E2613" s="1">
        <v>-1.7120000000000002</v>
      </c>
      <c r="F2613" t="s">
        <v>26</v>
      </c>
      <c r="G2613" t="str">
        <f>_xlfn.XLOOKUP(transakcje[[#This Row],[podkategoria]],parametr[podkategoria],parametr[kategoria])</f>
        <v>życie</v>
      </c>
      <c r="H2613" t="str">
        <f>_xlfn.XLOOKUP(transakcje[[#This Row],[kategoria]],parametr[kategoria],parametr[typ])</f>
        <v>wydatki</v>
      </c>
      <c r="I2613" s="1">
        <f>ABS(transakcje[[#This Row],[kwota]])</f>
        <v>1.7120000000000002</v>
      </c>
    </row>
    <row r="2614" spans="1:9" x14ac:dyDescent="0.3">
      <c r="A2614">
        <v>2613</v>
      </c>
      <c r="B2614">
        <v>2018</v>
      </c>
      <c r="C2614">
        <v>11</v>
      </c>
      <c r="D2614">
        <v>23</v>
      </c>
      <c r="E2614" s="1">
        <v>-11</v>
      </c>
      <c r="F2614" t="s">
        <v>26</v>
      </c>
      <c r="G2614" t="str">
        <f>_xlfn.XLOOKUP(transakcje[[#This Row],[podkategoria]],parametr[podkategoria],parametr[kategoria])</f>
        <v>życie</v>
      </c>
      <c r="H2614" t="str">
        <f>_xlfn.XLOOKUP(transakcje[[#This Row],[kategoria]],parametr[kategoria],parametr[typ])</f>
        <v>wydatki</v>
      </c>
      <c r="I2614" s="1">
        <f>ABS(transakcje[[#This Row],[kwota]])</f>
        <v>11</v>
      </c>
    </row>
    <row r="2615" spans="1:9" x14ac:dyDescent="0.3">
      <c r="A2615">
        <v>2614</v>
      </c>
      <c r="B2615">
        <v>2018</v>
      </c>
      <c r="C2615">
        <v>11</v>
      </c>
      <c r="D2615">
        <v>23</v>
      </c>
      <c r="E2615" s="1">
        <v>559.48599999999999</v>
      </c>
      <c r="F2615" t="s">
        <v>8</v>
      </c>
      <c r="G2615" t="str">
        <f>_xlfn.XLOOKUP(transakcje[[#This Row],[podkategoria]],parametr[podkategoria],parametr[kategoria])</f>
        <v>dochody z pracy</v>
      </c>
      <c r="H2615" t="str">
        <f>_xlfn.XLOOKUP(transakcje[[#This Row],[kategoria]],parametr[kategoria],parametr[typ])</f>
        <v>dochody</v>
      </c>
      <c r="I2615" s="1">
        <f>ABS(transakcje[[#This Row],[kwota]])</f>
        <v>559.48599999999999</v>
      </c>
    </row>
    <row r="2616" spans="1:9" x14ac:dyDescent="0.3">
      <c r="A2616">
        <v>2615</v>
      </c>
      <c r="B2616">
        <v>2018</v>
      </c>
      <c r="C2616">
        <v>11</v>
      </c>
      <c r="D2616">
        <v>26</v>
      </c>
      <c r="E2616" s="1">
        <v>-9.0259999999999998</v>
      </c>
      <c r="F2616" t="s">
        <v>26</v>
      </c>
      <c r="G2616" t="str">
        <f>_xlfn.XLOOKUP(transakcje[[#This Row],[podkategoria]],parametr[podkategoria],parametr[kategoria])</f>
        <v>życie</v>
      </c>
      <c r="H2616" t="str">
        <f>_xlfn.XLOOKUP(transakcje[[#This Row],[kategoria]],parametr[kategoria],parametr[typ])</f>
        <v>wydatki</v>
      </c>
      <c r="I2616" s="1">
        <f>ABS(transakcje[[#This Row],[kwota]])</f>
        <v>9.0259999999999998</v>
      </c>
    </row>
    <row r="2617" spans="1:9" x14ac:dyDescent="0.3">
      <c r="A2617">
        <v>2616</v>
      </c>
      <c r="B2617">
        <v>2018</v>
      </c>
      <c r="C2617">
        <v>11</v>
      </c>
      <c r="D2617">
        <v>26</v>
      </c>
      <c r="E2617" s="1">
        <v>-39.700000000000003</v>
      </c>
      <c r="F2617" t="s">
        <v>11</v>
      </c>
      <c r="G2617" t="str">
        <f>_xlfn.XLOOKUP(transakcje[[#This Row],[podkategoria]],parametr[podkategoria],parametr[kategoria])</f>
        <v>wydatki inne</v>
      </c>
      <c r="H2617" t="str">
        <f>_xlfn.XLOOKUP(transakcje[[#This Row],[kategoria]],parametr[kategoria],parametr[typ])</f>
        <v>wydatki</v>
      </c>
      <c r="I2617" s="1">
        <f>ABS(transakcje[[#This Row],[kwota]])</f>
        <v>39.700000000000003</v>
      </c>
    </row>
    <row r="2618" spans="1:9" x14ac:dyDescent="0.3">
      <c r="A2618">
        <v>2617</v>
      </c>
      <c r="B2618">
        <v>2018</v>
      </c>
      <c r="C2618">
        <v>11</v>
      </c>
      <c r="D2618">
        <v>27</v>
      </c>
      <c r="E2618" s="1">
        <v>-20.399999999999999</v>
      </c>
      <c r="F2618" t="s">
        <v>32</v>
      </c>
      <c r="G2618" t="str">
        <f>_xlfn.XLOOKUP(transakcje[[#This Row],[podkategoria]],parametr[podkategoria],parametr[kategoria])</f>
        <v>opłaty stałe</v>
      </c>
      <c r="H2618" t="str">
        <f>_xlfn.XLOOKUP(transakcje[[#This Row],[kategoria]],parametr[kategoria],parametr[typ])</f>
        <v>wydatki</v>
      </c>
      <c r="I2618" s="1">
        <f>ABS(transakcje[[#This Row],[kwota]])</f>
        <v>20.399999999999999</v>
      </c>
    </row>
    <row r="2619" spans="1:9" x14ac:dyDescent="0.3">
      <c r="A2619">
        <v>2618</v>
      </c>
      <c r="B2619">
        <v>2018</v>
      </c>
      <c r="C2619">
        <v>11</v>
      </c>
      <c r="D2619">
        <v>27</v>
      </c>
      <c r="E2619" s="1">
        <v>-55.065999999999995</v>
      </c>
      <c r="F2619" t="s">
        <v>11</v>
      </c>
      <c r="G2619" t="str">
        <f>_xlfn.XLOOKUP(transakcje[[#This Row],[podkategoria]],parametr[podkategoria],parametr[kategoria])</f>
        <v>wydatki inne</v>
      </c>
      <c r="H2619" t="str">
        <f>_xlfn.XLOOKUP(transakcje[[#This Row],[kategoria]],parametr[kategoria],parametr[typ])</f>
        <v>wydatki</v>
      </c>
      <c r="I2619" s="1">
        <f>ABS(transakcje[[#This Row],[kwota]])</f>
        <v>55.065999999999995</v>
      </c>
    </row>
    <row r="2620" spans="1:9" x14ac:dyDescent="0.3">
      <c r="A2620">
        <v>2619</v>
      </c>
      <c r="B2620">
        <v>2018</v>
      </c>
      <c r="C2620">
        <v>11</v>
      </c>
      <c r="D2620">
        <v>27</v>
      </c>
      <c r="E2620" s="1">
        <v>-0.27</v>
      </c>
      <c r="F2620" t="s">
        <v>26</v>
      </c>
      <c r="G2620" t="str">
        <f>_xlfn.XLOOKUP(transakcje[[#This Row],[podkategoria]],parametr[podkategoria],parametr[kategoria])</f>
        <v>życie</v>
      </c>
      <c r="H2620" t="str">
        <f>_xlfn.XLOOKUP(transakcje[[#This Row],[kategoria]],parametr[kategoria],parametr[typ])</f>
        <v>wydatki</v>
      </c>
      <c r="I2620" s="1">
        <f>ABS(transakcje[[#This Row],[kwota]])</f>
        <v>0.27</v>
      </c>
    </row>
    <row r="2621" spans="1:9" x14ac:dyDescent="0.3">
      <c r="A2621">
        <v>2620</v>
      </c>
      <c r="B2621">
        <v>2018</v>
      </c>
      <c r="C2621">
        <v>11</v>
      </c>
      <c r="D2621">
        <v>28</v>
      </c>
      <c r="E2621" s="1">
        <v>-28.766000000000002</v>
      </c>
      <c r="F2621" t="s">
        <v>11</v>
      </c>
      <c r="G2621" t="str">
        <f>_xlfn.XLOOKUP(transakcje[[#This Row],[podkategoria]],parametr[podkategoria],parametr[kategoria])</f>
        <v>wydatki inne</v>
      </c>
      <c r="H2621" t="str">
        <f>_xlfn.XLOOKUP(transakcje[[#This Row],[kategoria]],parametr[kategoria],parametr[typ])</f>
        <v>wydatki</v>
      </c>
      <c r="I2621" s="1">
        <f>ABS(transakcje[[#This Row],[kwota]])</f>
        <v>28.766000000000002</v>
      </c>
    </row>
    <row r="2622" spans="1:9" x14ac:dyDescent="0.3">
      <c r="A2622">
        <v>2621</v>
      </c>
      <c r="B2622">
        <v>2018</v>
      </c>
      <c r="C2622">
        <v>11</v>
      </c>
      <c r="D2622">
        <v>29</v>
      </c>
      <c r="E2622" s="1">
        <v>-10.738</v>
      </c>
      <c r="F2622" t="s">
        <v>26</v>
      </c>
      <c r="G2622" t="str">
        <f>_xlfn.XLOOKUP(transakcje[[#This Row],[podkategoria]],parametr[podkategoria],parametr[kategoria])</f>
        <v>życie</v>
      </c>
      <c r="H2622" t="str">
        <f>_xlfn.XLOOKUP(transakcje[[#This Row],[kategoria]],parametr[kategoria],parametr[typ])</f>
        <v>wydatki</v>
      </c>
      <c r="I2622" s="1">
        <f>ABS(transakcje[[#This Row],[kwota]])</f>
        <v>10.738</v>
      </c>
    </row>
    <row r="2623" spans="1:9" x14ac:dyDescent="0.3">
      <c r="A2623">
        <v>2622</v>
      </c>
      <c r="B2623">
        <v>2018</v>
      </c>
      <c r="C2623">
        <v>11</v>
      </c>
      <c r="D2623">
        <v>30</v>
      </c>
      <c r="E2623" s="1">
        <v>-2E-3</v>
      </c>
      <c r="F2623" t="s">
        <v>14</v>
      </c>
      <c r="G2623" t="str">
        <f>_xlfn.XLOOKUP(transakcje[[#This Row],[podkategoria]],parametr[podkategoria],parametr[kategoria])</f>
        <v>opłaty stałe</v>
      </c>
      <c r="H2623" t="str">
        <f>_xlfn.XLOOKUP(transakcje[[#This Row],[kategoria]],parametr[kategoria],parametr[typ])</f>
        <v>wydatki</v>
      </c>
      <c r="I2623" s="1">
        <f>ABS(transakcje[[#This Row],[kwota]])</f>
        <v>2E-3</v>
      </c>
    </row>
    <row r="2624" spans="1:9" x14ac:dyDescent="0.3">
      <c r="A2624">
        <v>2623</v>
      </c>
      <c r="B2624">
        <v>2018</v>
      </c>
      <c r="C2624">
        <v>11</v>
      </c>
      <c r="D2624">
        <v>30</v>
      </c>
      <c r="E2624" s="1">
        <v>-0.57999999999999996</v>
      </c>
      <c r="F2624" t="s">
        <v>26</v>
      </c>
      <c r="G2624" t="str">
        <f>_xlfn.XLOOKUP(transakcje[[#This Row],[podkategoria]],parametr[podkategoria],parametr[kategoria])</f>
        <v>życie</v>
      </c>
      <c r="H2624" t="str">
        <f>_xlfn.XLOOKUP(transakcje[[#This Row],[kategoria]],parametr[kategoria],parametr[typ])</f>
        <v>wydatki</v>
      </c>
      <c r="I2624" s="1">
        <f>ABS(transakcje[[#This Row],[kwota]])</f>
        <v>0.57999999999999996</v>
      </c>
    </row>
    <row r="2625" spans="1:9" x14ac:dyDescent="0.3">
      <c r="A2625">
        <v>2624</v>
      </c>
      <c r="B2625">
        <v>2018</v>
      </c>
      <c r="C2625">
        <v>11</v>
      </c>
      <c r="D2625">
        <v>30</v>
      </c>
      <c r="E2625" s="1">
        <v>-1.198</v>
      </c>
      <c r="F2625" t="s">
        <v>14</v>
      </c>
      <c r="G2625" t="str">
        <f>_xlfn.XLOOKUP(transakcje[[#This Row],[podkategoria]],parametr[podkategoria],parametr[kategoria])</f>
        <v>opłaty stałe</v>
      </c>
      <c r="H2625" t="str">
        <f>_xlfn.XLOOKUP(transakcje[[#This Row],[kategoria]],parametr[kategoria],parametr[typ])</f>
        <v>wydatki</v>
      </c>
      <c r="I2625" s="1">
        <f>ABS(transakcje[[#This Row],[kwota]])</f>
        <v>1.198</v>
      </c>
    </row>
    <row r="2626" spans="1:9" x14ac:dyDescent="0.3">
      <c r="A2626">
        <v>2625</v>
      </c>
      <c r="B2626">
        <v>2018</v>
      </c>
      <c r="C2626">
        <v>11</v>
      </c>
      <c r="D2626">
        <v>30</v>
      </c>
      <c r="E2626" s="1">
        <v>2E-3</v>
      </c>
      <c r="F2626" t="s">
        <v>17</v>
      </c>
      <c r="G2626" t="str">
        <f>_xlfn.XLOOKUP(transakcje[[#This Row],[podkategoria]],parametr[podkategoria],parametr[kategoria])</f>
        <v>dochody pozostałe</v>
      </c>
      <c r="H2626" t="str">
        <f>_xlfn.XLOOKUP(transakcje[[#This Row],[kategoria]],parametr[kategoria],parametr[typ])</f>
        <v>dochody</v>
      </c>
      <c r="I2626" s="1">
        <f>ABS(transakcje[[#This Row],[kwota]])</f>
        <v>2E-3</v>
      </c>
    </row>
    <row r="2627" spans="1:9" x14ac:dyDescent="0.3">
      <c r="A2627">
        <v>2626</v>
      </c>
      <c r="B2627">
        <v>2018</v>
      </c>
      <c r="C2627">
        <v>12</v>
      </c>
      <c r="D2627">
        <v>1</v>
      </c>
      <c r="E2627" s="1">
        <v>-7.38</v>
      </c>
      <c r="F2627" t="s">
        <v>23</v>
      </c>
      <c r="G2627" t="str">
        <f>_xlfn.XLOOKUP(transakcje[[#This Row],[podkategoria]],parametr[podkategoria],parametr[kategoria])</f>
        <v>opłaty stałe</v>
      </c>
      <c r="H2627" t="str">
        <f>_xlfn.XLOOKUP(transakcje[[#This Row],[kategoria]],parametr[kategoria],parametr[typ])</f>
        <v>wydatki</v>
      </c>
      <c r="I2627" s="1">
        <f>ABS(transakcje[[#This Row],[kwota]])</f>
        <v>7.38</v>
      </c>
    </row>
    <row r="2628" spans="1:9" x14ac:dyDescent="0.3">
      <c r="A2628">
        <v>2627</v>
      </c>
      <c r="B2628">
        <v>2018</v>
      </c>
      <c r="C2628">
        <v>12</v>
      </c>
      <c r="D2628">
        <v>1</v>
      </c>
      <c r="E2628" s="1">
        <v>-4.0000000000000001E-3</v>
      </c>
      <c r="F2628" t="s">
        <v>11</v>
      </c>
      <c r="G2628" t="str">
        <f>_xlfn.XLOOKUP(transakcje[[#This Row],[podkategoria]],parametr[podkategoria],parametr[kategoria])</f>
        <v>wydatki inne</v>
      </c>
      <c r="H2628" t="str">
        <f>_xlfn.XLOOKUP(transakcje[[#This Row],[kategoria]],parametr[kategoria],parametr[typ])</f>
        <v>wydatki</v>
      </c>
      <c r="I2628" s="1">
        <f>ABS(transakcje[[#This Row],[kwota]])</f>
        <v>4.0000000000000001E-3</v>
      </c>
    </row>
    <row r="2629" spans="1:9" x14ac:dyDescent="0.3">
      <c r="A2629">
        <v>2628</v>
      </c>
      <c r="B2629">
        <v>2018</v>
      </c>
      <c r="C2629">
        <v>12</v>
      </c>
      <c r="D2629">
        <v>1</v>
      </c>
      <c r="E2629" s="1">
        <v>-84.89</v>
      </c>
      <c r="F2629" t="s">
        <v>31</v>
      </c>
      <c r="G2629" t="str">
        <f>_xlfn.XLOOKUP(transakcje[[#This Row],[podkategoria]],parametr[podkategoria],parametr[kategoria])</f>
        <v>opłaty stałe</v>
      </c>
      <c r="H2629" t="str">
        <f>_xlfn.XLOOKUP(transakcje[[#This Row],[kategoria]],parametr[kategoria],parametr[typ])</f>
        <v>wydatki</v>
      </c>
      <c r="I2629" s="1">
        <f>ABS(transakcje[[#This Row],[kwota]])</f>
        <v>84.89</v>
      </c>
    </row>
    <row r="2630" spans="1:9" x14ac:dyDescent="0.3">
      <c r="A2630">
        <v>2629</v>
      </c>
      <c r="B2630">
        <v>2018</v>
      </c>
      <c r="C2630">
        <v>12</v>
      </c>
      <c r="D2630">
        <v>1</v>
      </c>
      <c r="E2630" s="1">
        <v>-5.8</v>
      </c>
      <c r="F2630" t="s">
        <v>25</v>
      </c>
      <c r="G2630" t="str">
        <f>_xlfn.XLOOKUP(transakcje[[#This Row],[podkategoria]],parametr[podkategoria],parametr[kategoria])</f>
        <v>opłaty stałe</v>
      </c>
      <c r="H2630" t="str">
        <f>_xlfn.XLOOKUP(transakcje[[#This Row],[kategoria]],parametr[kategoria],parametr[typ])</f>
        <v>wydatki</v>
      </c>
      <c r="I2630" s="1">
        <f>ABS(transakcje[[#This Row],[kwota]])</f>
        <v>5.8</v>
      </c>
    </row>
    <row r="2631" spans="1:9" x14ac:dyDescent="0.3">
      <c r="A2631">
        <v>2630</v>
      </c>
      <c r="B2631">
        <v>2018</v>
      </c>
      <c r="C2631">
        <v>12</v>
      </c>
      <c r="D2631">
        <v>5</v>
      </c>
      <c r="E2631" s="1">
        <v>-17.167999999999999</v>
      </c>
      <c r="F2631" t="s">
        <v>26</v>
      </c>
      <c r="G2631" t="str">
        <f>_xlfn.XLOOKUP(transakcje[[#This Row],[podkategoria]],parametr[podkategoria],parametr[kategoria])</f>
        <v>życie</v>
      </c>
      <c r="H2631" t="str">
        <f>_xlfn.XLOOKUP(transakcje[[#This Row],[kategoria]],parametr[kategoria],parametr[typ])</f>
        <v>wydatki</v>
      </c>
      <c r="I2631" s="1">
        <f>ABS(transakcje[[#This Row],[kwota]])</f>
        <v>17.167999999999999</v>
      </c>
    </row>
    <row r="2632" spans="1:9" x14ac:dyDescent="0.3">
      <c r="A2632">
        <v>2631</v>
      </c>
      <c r="B2632">
        <v>2018</v>
      </c>
      <c r="C2632">
        <v>12</v>
      </c>
      <c r="D2632">
        <v>5</v>
      </c>
      <c r="E2632" s="1">
        <v>-0.3</v>
      </c>
      <c r="F2632" t="s">
        <v>26</v>
      </c>
      <c r="G2632" t="str">
        <f>_xlfn.XLOOKUP(transakcje[[#This Row],[podkategoria]],parametr[podkategoria],parametr[kategoria])</f>
        <v>życie</v>
      </c>
      <c r="H2632" t="str">
        <f>_xlfn.XLOOKUP(transakcje[[#This Row],[kategoria]],parametr[kategoria],parametr[typ])</f>
        <v>wydatki</v>
      </c>
      <c r="I2632" s="1">
        <f>ABS(transakcje[[#This Row],[kwota]])</f>
        <v>0.3</v>
      </c>
    </row>
    <row r="2633" spans="1:9" x14ac:dyDescent="0.3">
      <c r="A2633">
        <v>2632</v>
      </c>
      <c r="B2633">
        <v>2018</v>
      </c>
      <c r="C2633">
        <v>12</v>
      </c>
      <c r="D2633">
        <v>6</v>
      </c>
      <c r="E2633" s="1">
        <v>-7.63</v>
      </c>
      <c r="F2633" t="s">
        <v>26</v>
      </c>
      <c r="G2633" t="str">
        <f>_xlfn.XLOOKUP(transakcje[[#This Row],[podkategoria]],parametr[podkategoria],parametr[kategoria])</f>
        <v>życie</v>
      </c>
      <c r="H2633" t="str">
        <f>_xlfn.XLOOKUP(transakcje[[#This Row],[kategoria]],parametr[kategoria],parametr[typ])</f>
        <v>wydatki</v>
      </c>
      <c r="I2633" s="1">
        <f>ABS(transakcje[[#This Row],[kwota]])</f>
        <v>7.63</v>
      </c>
    </row>
    <row r="2634" spans="1:9" x14ac:dyDescent="0.3">
      <c r="A2634">
        <v>2633</v>
      </c>
      <c r="B2634">
        <v>2018</v>
      </c>
      <c r="C2634">
        <v>12</v>
      </c>
      <c r="D2634">
        <v>7</v>
      </c>
      <c r="E2634" s="1">
        <v>-0.59800000000000009</v>
      </c>
      <c r="F2634" t="s">
        <v>26</v>
      </c>
      <c r="G2634" t="str">
        <f>_xlfn.XLOOKUP(transakcje[[#This Row],[podkategoria]],parametr[podkategoria],parametr[kategoria])</f>
        <v>życie</v>
      </c>
      <c r="H2634" t="str">
        <f>_xlfn.XLOOKUP(transakcje[[#This Row],[kategoria]],parametr[kategoria],parametr[typ])</f>
        <v>wydatki</v>
      </c>
      <c r="I2634" s="1">
        <f>ABS(transakcje[[#This Row],[kwota]])</f>
        <v>0.59800000000000009</v>
      </c>
    </row>
    <row r="2635" spans="1:9" x14ac:dyDescent="0.3">
      <c r="A2635">
        <v>2634</v>
      </c>
      <c r="B2635">
        <v>2018</v>
      </c>
      <c r="C2635">
        <v>12</v>
      </c>
      <c r="D2635">
        <v>12</v>
      </c>
      <c r="E2635" s="1">
        <v>-15.587999999999999</v>
      </c>
      <c r="F2635" t="s">
        <v>26</v>
      </c>
      <c r="G2635" t="str">
        <f>_xlfn.XLOOKUP(transakcje[[#This Row],[podkategoria]],parametr[podkategoria],parametr[kategoria])</f>
        <v>życie</v>
      </c>
      <c r="H2635" t="str">
        <f>_xlfn.XLOOKUP(transakcje[[#This Row],[kategoria]],parametr[kategoria],parametr[typ])</f>
        <v>wydatki</v>
      </c>
      <c r="I2635" s="1">
        <f>ABS(transakcje[[#This Row],[kwota]])</f>
        <v>15.587999999999999</v>
      </c>
    </row>
    <row r="2636" spans="1:9" x14ac:dyDescent="0.3">
      <c r="A2636">
        <v>2635</v>
      </c>
      <c r="B2636">
        <v>2018</v>
      </c>
      <c r="C2636">
        <v>12</v>
      </c>
      <c r="D2636">
        <v>12</v>
      </c>
      <c r="E2636" s="1">
        <v>559.48599999999999</v>
      </c>
      <c r="F2636" t="s">
        <v>8</v>
      </c>
      <c r="G2636" t="str">
        <f>_xlfn.XLOOKUP(transakcje[[#This Row],[podkategoria]],parametr[podkategoria],parametr[kategoria])</f>
        <v>dochody z pracy</v>
      </c>
      <c r="H2636" t="str">
        <f>_xlfn.XLOOKUP(transakcje[[#This Row],[kategoria]],parametr[kategoria],parametr[typ])</f>
        <v>dochody</v>
      </c>
      <c r="I2636" s="1">
        <f>ABS(transakcje[[#This Row],[kwota]])</f>
        <v>559.48599999999999</v>
      </c>
    </row>
    <row r="2637" spans="1:9" x14ac:dyDescent="0.3">
      <c r="A2637">
        <v>2636</v>
      </c>
      <c r="B2637">
        <v>2018</v>
      </c>
      <c r="C2637">
        <v>12</v>
      </c>
      <c r="D2637">
        <v>14</v>
      </c>
      <c r="E2637" s="1">
        <v>-1.1179999999999999</v>
      </c>
      <c r="F2637" t="s">
        <v>26</v>
      </c>
      <c r="G2637" t="str">
        <f>_xlfn.XLOOKUP(transakcje[[#This Row],[podkategoria]],parametr[podkategoria],parametr[kategoria])</f>
        <v>życie</v>
      </c>
      <c r="H2637" t="str">
        <f>_xlfn.XLOOKUP(transakcje[[#This Row],[kategoria]],parametr[kategoria],parametr[typ])</f>
        <v>wydatki</v>
      </c>
      <c r="I2637" s="1">
        <f>ABS(transakcje[[#This Row],[kwota]])</f>
        <v>1.1179999999999999</v>
      </c>
    </row>
    <row r="2638" spans="1:9" x14ac:dyDescent="0.3">
      <c r="A2638">
        <v>2637</v>
      </c>
      <c r="B2638">
        <v>2018</v>
      </c>
      <c r="C2638">
        <v>12</v>
      </c>
      <c r="D2638">
        <v>15</v>
      </c>
      <c r="E2638" s="1">
        <v>-0.3</v>
      </c>
      <c r="F2638" t="s">
        <v>26</v>
      </c>
      <c r="G2638" t="str">
        <f>_xlfn.XLOOKUP(transakcje[[#This Row],[podkategoria]],parametr[podkategoria],parametr[kategoria])</f>
        <v>życie</v>
      </c>
      <c r="H2638" t="str">
        <f>_xlfn.XLOOKUP(transakcje[[#This Row],[kategoria]],parametr[kategoria],parametr[typ])</f>
        <v>wydatki</v>
      </c>
      <c r="I2638" s="1">
        <f>ABS(transakcje[[#This Row],[kwota]])</f>
        <v>0.3</v>
      </c>
    </row>
    <row r="2639" spans="1:9" x14ac:dyDescent="0.3">
      <c r="A2639">
        <v>2638</v>
      </c>
      <c r="B2639">
        <v>2018</v>
      </c>
      <c r="C2639">
        <v>12</v>
      </c>
      <c r="D2639">
        <v>15</v>
      </c>
      <c r="E2639" s="1">
        <v>-0.77800000000000002</v>
      </c>
      <c r="F2639" t="s">
        <v>26</v>
      </c>
      <c r="G2639" t="str">
        <f>_xlfn.XLOOKUP(transakcje[[#This Row],[podkategoria]],parametr[podkategoria],parametr[kategoria])</f>
        <v>życie</v>
      </c>
      <c r="H2639" t="str">
        <f>_xlfn.XLOOKUP(transakcje[[#This Row],[kategoria]],parametr[kategoria],parametr[typ])</f>
        <v>wydatki</v>
      </c>
      <c r="I2639" s="1">
        <f>ABS(transakcje[[#This Row],[kwota]])</f>
        <v>0.77800000000000002</v>
      </c>
    </row>
    <row r="2640" spans="1:9" x14ac:dyDescent="0.3">
      <c r="A2640">
        <v>2639</v>
      </c>
      <c r="B2640">
        <v>2018</v>
      </c>
      <c r="C2640">
        <v>12</v>
      </c>
      <c r="D2640">
        <v>17</v>
      </c>
      <c r="E2640" s="1">
        <v>73.2</v>
      </c>
      <c r="F2640" t="s">
        <v>16</v>
      </c>
      <c r="G2640" t="str">
        <f>_xlfn.XLOOKUP(transakcje[[#This Row],[podkategoria]],parametr[podkategoria],parametr[kategoria])</f>
        <v>dochody z pracy</v>
      </c>
      <c r="H2640" t="str">
        <f>_xlfn.XLOOKUP(transakcje[[#This Row],[kategoria]],parametr[kategoria],parametr[typ])</f>
        <v>dochody</v>
      </c>
      <c r="I2640" s="1">
        <f>ABS(transakcje[[#This Row],[kwota]])</f>
        <v>73.2</v>
      </c>
    </row>
    <row r="2641" spans="1:9" x14ac:dyDescent="0.3">
      <c r="A2641">
        <v>2640</v>
      </c>
      <c r="B2641">
        <v>2018</v>
      </c>
      <c r="C2641">
        <v>12</v>
      </c>
      <c r="D2641">
        <v>18</v>
      </c>
      <c r="E2641" s="1">
        <v>-0.39800000000000002</v>
      </c>
      <c r="F2641" t="s">
        <v>14</v>
      </c>
      <c r="G2641" t="str">
        <f>_xlfn.XLOOKUP(transakcje[[#This Row],[podkategoria]],parametr[podkategoria],parametr[kategoria])</f>
        <v>opłaty stałe</v>
      </c>
      <c r="H2641" t="str">
        <f>_xlfn.XLOOKUP(transakcje[[#This Row],[kategoria]],parametr[kategoria],parametr[typ])</f>
        <v>wydatki</v>
      </c>
      <c r="I2641" s="1">
        <f>ABS(transakcje[[#This Row],[kwota]])</f>
        <v>0.39800000000000002</v>
      </c>
    </row>
    <row r="2642" spans="1:9" x14ac:dyDescent="0.3">
      <c r="A2642">
        <v>2641</v>
      </c>
      <c r="B2642">
        <v>2018</v>
      </c>
      <c r="C2642">
        <v>12</v>
      </c>
      <c r="D2642">
        <v>20</v>
      </c>
      <c r="E2642" s="1">
        <v>-10.208</v>
      </c>
      <c r="F2642" t="s">
        <v>26</v>
      </c>
      <c r="G2642" t="str">
        <f>_xlfn.XLOOKUP(transakcje[[#This Row],[podkategoria]],parametr[podkategoria],parametr[kategoria])</f>
        <v>życie</v>
      </c>
      <c r="H2642" t="str">
        <f>_xlfn.XLOOKUP(transakcje[[#This Row],[kategoria]],parametr[kategoria],parametr[typ])</f>
        <v>wydatki</v>
      </c>
      <c r="I2642" s="1">
        <f>ABS(transakcje[[#This Row],[kwota]])</f>
        <v>10.208</v>
      </c>
    </row>
    <row r="2643" spans="1:9" x14ac:dyDescent="0.3">
      <c r="A2643">
        <v>2642</v>
      </c>
      <c r="B2643">
        <v>2018</v>
      </c>
      <c r="C2643">
        <v>12</v>
      </c>
      <c r="D2643">
        <v>21</v>
      </c>
      <c r="E2643" s="1">
        <v>-42.251999999999995</v>
      </c>
      <c r="F2643" t="s">
        <v>26</v>
      </c>
      <c r="G2643" t="str">
        <f>_xlfn.XLOOKUP(transakcje[[#This Row],[podkategoria]],parametr[podkategoria],parametr[kategoria])</f>
        <v>życie</v>
      </c>
      <c r="H2643" t="str">
        <f>_xlfn.XLOOKUP(transakcje[[#This Row],[kategoria]],parametr[kategoria],parametr[typ])</f>
        <v>wydatki</v>
      </c>
      <c r="I2643" s="1">
        <f>ABS(transakcje[[#This Row],[kwota]])</f>
        <v>42.251999999999995</v>
      </c>
    </row>
    <row r="2644" spans="1:9" x14ac:dyDescent="0.3">
      <c r="A2644">
        <v>2643</v>
      </c>
      <c r="B2644">
        <v>2018</v>
      </c>
      <c r="C2644">
        <v>12</v>
      </c>
      <c r="D2644">
        <v>22</v>
      </c>
      <c r="E2644" s="1">
        <v>-8.6720000000000006</v>
      </c>
      <c r="F2644" t="s">
        <v>26</v>
      </c>
      <c r="G2644" t="str">
        <f>_xlfn.XLOOKUP(transakcje[[#This Row],[podkategoria]],parametr[podkategoria],parametr[kategoria])</f>
        <v>życie</v>
      </c>
      <c r="H2644" t="str">
        <f>_xlfn.XLOOKUP(transakcje[[#This Row],[kategoria]],parametr[kategoria],parametr[typ])</f>
        <v>wydatki</v>
      </c>
      <c r="I2644" s="1">
        <f>ABS(transakcje[[#This Row],[kwota]])</f>
        <v>8.6720000000000006</v>
      </c>
    </row>
    <row r="2645" spans="1:9" x14ac:dyDescent="0.3">
      <c r="A2645">
        <v>2644</v>
      </c>
      <c r="B2645">
        <v>2018</v>
      </c>
      <c r="C2645">
        <v>12</v>
      </c>
      <c r="D2645">
        <v>24</v>
      </c>
      <c r="E2645" s="1">
        <v>-1.1960000000000002</v>
      </c>
      <c r="F2645" t="s">
        <v>26</v>
      </c>
      <c r="G2645" t="str">
        <f>_xlfn.XLOOKUP(transakcje[[#This Row],[podkategoria]],parametr[podkategoria],parametr[kategoria])</f>
        <v>życie</v>
      </c>
      <c r="H2645" t="str">
        <f>_xlfn.XLOOKUP(transakcje[[#This Row],[kategoria]],parametr[kategoria],parametr[typ])</f>
        <v>wydatki</v>
      </c>
      <c r="I2645" s="1">
        <f>ABS(transakcje[[#This Row],[kwota]])</f>
        <v>1.1960000000000002</v>
      </c>
    </row>
    <row r="2646" spans="1:9" x14ac:dyDescent="0.3">
      <c r="A2646">
        <v>2645</v>
      </c>
      <c r="B2646">
        <v>2018</v>
      </c>
      <c r="C2646">
        <v>12</v>
      </c>
      <c r="D2646">
        <v>24</v>
      </c>
      <c r="E2646" s="1">
        <v>404.238</v>
      </c>
      <c r="F2646" t="s">
        <v>19</v>
      </c>
      <c r="G2646" t="str">
        <f>_xlfn.XLOOKUP(transakcje[[#This Row],[podkategoria]],parametr[podkategoria],parametr[kategoria])</f>
        <v>dochody z pracy</v>
      </c>
      <c r="H2646" t="str">
        <f>_xlfn.XLOOKUP(transakcje[[#This Row],[kategoria]],parametr[kategoria],parametr[typ])</f>
        <v>dochody</v>
      </c>
      <c r="I2646" s="1">
        <f>ABS(transakcje[[#This Row],[kwota]])</f>
        <v>404.238</v>
      </c>
    </row>
    <row r="2647" spans="1:9" x14ac:dyDescent="0.3">
      <c r="A2647">
        <v>2646</v>
      </c>
      <c r="B2647">
        <v>2018</v>
      </c>
      <c r="C2647">
        <v>12</v>
      </c>
      <c r="D2647">
        <v>28</v>
      </c>
      <c r="E2647" s="1">
        <v>-21.484000000000002</v>
      </c>
      <c r="F2647" t="s">
        <v>26</v>
      </c>
      <c r="G2647" t="str">
        <f>_xlfn.XLOOKUP(transakcje[[#This Row],[podkategoria]],parametr[podkategoria],parametr[kategoria])</f>
        <v>życie</v>
      </c>
      <c r="H2647" t="str">
        <f>_xlfn.XLOOKUP(transakcje[[#This Row],[kategoria]],parametr[kategoria],parametr[typ])</f>
        <v>wydatki</v>
      </c>
      <c r="I2647" s="1">
        <f>ABS(transakcje[[#This Row],[kwota]])</f>
        <v>21.484000000000002</v>
      </c>
    </row>
    <row r="2648" spans="1:9" x14ac:dyDescent="0.3">
      <c r="A2648">
        <v>2647</v>
      </c>
      <c r="B2648">
        <v>2018</v>
      </c>
      <c r="C2648">
        <v>12</v>
      </c>
      <c r="D2648">
        <v>31</v>
      </c>
      <c r="E2648" s="1">
        <v>-2E-3</v>
      </c>
      <c r="F2648" t="s">
        <v>14</v>
      </c>
      <c r="G2648" t="str">
        <f>_xlfn.XLOOKUP(transakcje[[#This Row],[podkategoria]],parametr[podkategoria],parametr[kategoria])</f>
        <v>opłaty stałe</v>
      </c>
      <c r="H2648" t="str">
        <f>_xlfn.XLOOKUP(transakcje[[#This Row],[kategoria]],parametr[kategoria],parametr[typ])</f>
        <v>wydatki</v>
      </c>
      <c r="I2648" s="1">
        <f>ABS(transakcje[[#This Row],[kwota]])</f>
        <v>2E-3</v>
      </c>
    </row>
    <row r="2649" spans="1:9" x14ac:dyDescent="0.3">
      <c r="A2649">
        <v>2648</v>
      </c>
      <c r="B2649">
        <v>2018</v>
      </c>
      <c r="C2649">
        <v>12</v>
      </c>
      <c r="D2649">
        <v>31</v>
      </c>
      <c r="E2649" s="1">
        <v>6.0000000000000001E-3</v>
      </c>
      <c r="F2649" t="s">
        <v>17</v>
      </c>
      <c r="G2649" t="str">
        <f>_xlfn.XLOOKUP(transakcje[[#This Row],[podkategoria]],parametr[podkategoria],parametr[kategoria])</f>
        <v>dochody pozostałe</v>
      </c>
      <c r="H2649" t="str">
        <f>_xlfn.XLOOKUP(transakcje[[#This Row],[kategoria]],parametr[kategoria],parametr[typ])</f>
        <v>dochody</v>
      </c>
      <c r="I2649" s="1">
        <f>ABS(transakcje[[#This Row],[kwota]])</f>
        <v>6.0000000000000001E-3</v>
      </c>
    </row>
    <row r="2650" spans="1:9" x14ac:dyDescent="0.3">
      <c r="A2650">
        <v>2649</v>
      </c>
      <c r="B2650">
        <v>2018</v>
      </c>
      <c r="C2650">
        <v>12</v>
      </c>
      <c r="D2650">
        <v>31</v>
      </c>
      <c r="E2650" s="1">
        <v>-2.214</v>
      </c>
      <c r="F2650" t="s">
        <v>11</v>
      </c>
      <c r="G2650" t="str">
        <f>_xlfn.XLOOKUP(transakcje[[#This Row],[podkategoria]],parametr[podkategoria],parametr[kategoria])</f>
        <v>wydatki inne</v>
      </c>
      <c r="H2650" t="str">
        <f>_xlfn.XLOOKUP(transakcje[[#This Row],[kategoria]],parametr[kategoria],parametr[typ])</f>
        <v>wydatki</v>
      </c>
      <c r="I2650" s="1">
        <f>ABS(transakcje[[#This Row],[kwota]])</f>
        <v>2.214</v>
      </c>
    </row>
    <row r="2651" spans="1:9" x14ac:dyDescent="0.3">
      <c r="A2651">
        <v>2650</v>
      </c>
      <c r="B2651">
        <v>2018</v>
      </c>
      <c r="C2651">
        <v>12</v>
      </c>
      <c r="D2651">
        <v>31</v>
      </c>
      <c r="E2651" s="1">
        <v>-3.8180000000000001</v>
      </c>
      <c r="F2651" t="s">
        <v>26</v>
      </c>
      <c r="G2651" t="str">
        <f>_xlfn.XLOOKUP(transakcje[[#This Row],[podkategoria]],parametr[podkategoria],parametr[kategoria])</f>
        <v>życie</v>
      </c>
      <c r="H2651" t="str">
        <f>_xlfn.XLOOKUP(transakcje[[#This Row],[kategoria]],parametr[kategoria],parametr[typ])</f>
        <v>wydatki</v>
      </c>
      <c r="I2651" s="1">
        <f>ABS(transakcje[[#This Row],[kwota]])</f>
        <v>3.8180000000000001</v>
      </c>
    </row>
    <row r="2652" spans="1:9" x14ac:dyDescent="0.3">
      <c r="A2652">
        <v>2651</v>
      </c>
      <c r="B2652">
        <v>2019</v>
      </c>
      <c r="C2652">
        <v>1</v>
      </c>
      <c r="D2652">
        <v>1</v>
      </c>
      <c r="E2652" s="1">
        <v>-13.362</v>
      </c>
      <c r="F2652" t="s">
        <v>34</v>
      </c>
      <c r="G2652" t="str">
        <f>_xlfn.XLOOKUP(transakcje[[#This Row],[podkategoria]],parametr[podkategoria],parametr[kategoria])</f>
        <v>opłaty stałe</v>
      </c>
      <c r="H2652" t="str">
        <f>_xlfn.XLOOKUP(transakcje[[#This Row],[kategoria]],parametr[kategoria],parametr[typ])</f>
        <v>wydatki</v>
      </c>
      <c r="I2652" s="1">
        <f>ABS(transakcje[[#This Row],[kwota]])</f>
        <v>13.362</v>
      </c>
    </row>
    <row r="2653" spans="1:9" x14ac:dyDescent="0.3">
      <c r="A2653">
        <v>2652</v>
      </c>
      <c r="B2653">
        <v>2019</v>
      </c>
      <c r="C2653">
        <v>1</v>
      </c>
      <c r="D2653">
        <v>1</v>
      </c>
      <c r="E2653" s="1">
        <v>-1.198</v>
      </c>
      <c r="F2653" t="s">
        <v>14</v>
      </c>
      <c r="G2653" t="str">
        <f>_xlfn.XLOOKUP(transakcje[[#This Row],[podkategoria]],parametr[podkategoria],parametr[kategoria])</f>
        <v>opłaty stałe</v>
      </c>
      <c r="H2653" t="str">
        <f>_xlfn.XLOOKUP(transakcje[[#This Row],[kategoria]],parametr[kategoria],parametr[typ])</f>
        <v>wydatki</v>
      </c>
      <c r="I2653" s="1">
        <f>ABS(transakcje[[#This Row],[kwota]])</f>
        <v>1.198</v>
      </c>
    </row>
    <row r="2654" spans="1:9" x14ac:dyDescent="0.3">
      <c r="A2654">
        <v>2653</v>
      </c>
      <c r="B2654">
        <v>2019</v>
      </c>
      <c r="C2654">
        <v>1</v>
      </c>
      <c r="D2654">
        <v>1</v>
      </c>
      <c r="E2654" s="1">
        <v>-5.8</v>
      </c>
      <c r="F2654" t="s">
        <v>25</v>
      </c>
      <c r="G2654" t="str">
        <f>_xlfn.XLOOKUP(transakcje[[#This Row],[podkategoria]],parametr[podkategoria],parametr[kategoria])</f>
        <v>opłaty stałe</v>
      </c>
      <c r="H2654" t="str">
        <f>_xlfn.XLOOKUP(transakcje[[#This Row],[kategoria]],parametr[kategoria],parametr[typ])</f>
        <v>wydatki</v>
      </c>
      <c r="I2654" s="1">
        <f>ABS(transakcje[[#This Row],[kwota]])</f>
        <v>5.8</v>
      </c>
    </row>
    <row r="2655" spans="1:9" x14ac:dyDescent="0.3">
      <c r="A2655">
        <v>2654</v>
      </c>
      <c r="B2655">
        <v>2019</v>
      </c>
      <c r="C2655">
        <v>1</v>
      </c>
      <c r="D2655">
        <v>1</v>
      </c>
      <c r="E2655" s="1">
        <v>-7.38</v>
      </c>
      <c r="F2655" t="s">
        <v>23</v>
      </c>
      <c r="G2655" t="str">
        <f>_xlfn.XLOOKUP(transakcje[[#This Row],[podkategoria]],parametr[podkategoria],parametr[kategoria])</f>
        <v>opłaty stałe</v>
      </c>
      <c r="H2655" t="str">
        <f>_xlfn.XLOOKUP(transakcje[[#This Row],[kategoria]],parametr[kategoria],parametr[typ])</f>
        <v>wydatki</v>
      </c>
      <c r="I2655" s="1">
        <f>ABS(transakcje[[#This Row],[kwota]])</f>
        <v>7.38</v>
      </c>
    </row>
    <row r="2656" spans="1:9" x14ac:dyDescent="0.3">
      <c r="A2656">
        <v>2655</v>
      </c>
      <c r="B2656">
        <v>2019</v>
      </c>
      <c r="C2656">
        <v>1</v>
      </c>
      <c r="D2656">
        <v>1</v>
      </c>
      <c r="E2656" s="1">
        <v>-6.1420000000000003</v>
      </c>
      <c r="F2656" t="s">
        <v>35</v>
      </c>
      <c r="G2656" t="str">
        <f>_xlfn.XLOOKUP(transakcje[[#This Row],[podkategoria]],parametr[podkategoria],parametr[kategoria])</f>
        <v>opłaty stałe</v>
      </c>
      <c r="H2656" t="str">
        <f>_xlfn.XLOOKUP(transakcje[[#This Row],[kategoria]],parametr[kategoria],parametr[typ])</f>
        <v>wydatki</v>
      </c>
      <c r="I2656" s="1">
        <f>ABS(transakcje[[#This Row],[kwota]])</f>
        <v>6.1420000000000003</v>
      </c>
    </row>
    <row r="2657" spans="1:9" x14ac:dyDescent="0.3">
      <c r="A2657">
        <v>2656</v>
      </c>
      <c r="B2657">
        <v>2019</v>
      </c>
      <c r="C2657">
        <v>1</v>
      </c>
      <c r="D2657">
        <v>1</v>
      </c>
      <c r="E2657" s="1">
        <v>-49.03</v>
      </c>
      <c r="F2657" t="s">
        <v>37</v>
      </c>
      <c r="G2657" t="str">
        <f>_xlfn.XLOOKUP(transakcje[[#This Row],[podkategoria]],parametr[podkategoria],parametr[kategoria])</f>
        <v>opłaty stałe</v>
      </c>
      <c r="H2657" t="str">
        <f>_xlfn.XLOOKUP(transakcje[[#This Row],[kategoria]],parametr[kategoria],parametr[typ])</f>
        <v>wydatki</v>
      </c>
      <c r="I2657" s="1">
        <f>ABS(transakcje[[#This Row],[kwota]])</f>
        <v>49.03</v>
      </c>
    </row>
    <row r="2658" spans="1:9" x14ac:dyDescent="0.3">
      <c r="A2658">
        <v>2657</v>
      </c>
      <c r="B2658">
        <v>2019</v>
      </c>
      <c r="C2658">
        <v>1</v>
      </c>
      <c r="D2658">
        <v>3</v>
      </c>
      <c r="E2658" s="1">
        <v>-2.6139999999999999</v>
      </c>
      <c r="F2658" t="s">
        <v>26</v>
      </c>
      <c r="G2658" t="str">
        <f>_xlfn.XLOOKUP(transakcje[[#This Row],[podkategoria]],parametr[podkategoria],parametr[kategoria])</f>
        <v>życie</v>
      </c>
      <c r="H2658" t="str">
        <f>_xlfn.XLOOKUP(transakcje[[#This Row],[kategoria]],parametr[kategoria],parametr[typ])</f>
        <v>wydatki</v>
      </c>
      <c r="I2658" s="1">
        <f>ABS(transakcje[[#This Row],[kwota]])</f>
        <v>2.6139999999999999</v>
      </c>
    </row>
    <row r="2659" spans="1:9" x14ac:dyDescent="0.3">
      <c r="A2659">
        <v>2658</v>
      </c>
      <c r="B2659">
        <v>2019</v>
      </c>
      <c r="C2659">
        <v>1</v>
      </c>
      <c r="D2659">
        <v>5</v>
      </c>
      <c r="E2659" s="1">
        <v>-43.007999999999996</v>
      </c>
      <c r="F2659" t="s">
        <v>31</v>
      </c>
      <c r="G2659" t="str">
        <f>_xlfn.XLOOKUP(transakcje[[#This Row],[podkategoria]],parametr[podkategoria],parametr[kategoria])</f>
        <v>opłaty stałe</v>
      </c>
      <c r="H2659" t="str">
        <f>_xlfn.XLOOKUP(transakcje[[#This Row],[kategoria]],parametr[kategoria],parametr[typ])</f>
        <v>wydatki</v>
      </c>
      <c r="I2659" s="1">
        <f>ABS(transakcje[[#This Row],[kwota]])</f>
        <v>43.007999999999996</v>
      </c>
    </row>
    <row r="2660" spans="1:9" x14ac:dyDescent="0.3">
      <c r="A2660">
        <v>2659</v>
      </c>
      <c r="B2660">
        <v>2019</v>
      </c>
      <c r="C2660">
        <v>1</v>
      </c>
      <c r="D2660">
        <v>9</v>
      </c>
      <c r="E2660" s="1">
        <v>-0.87799999999999989</v>
      </c>
      <c r="F2660" t="s">
        <v>26</v>
      </c>
      <c r="G2660" t="str">
        <f>_xlfn.XLOOKUP(transakcje[[#This Row],[podkategoria]],parametr[podkategoria],parametr[kategoria])</f>
        <v>życie</v>
      </c>
      <c r="H2660" t="str">
        <f>_xlfn.XLOOKUP(transakcje[[#This Row],[kategoria]],parametr[kategoria],parametr[typ])</f>
        <v>wydatki</v>
      </c>
      <c r="I2660" s="1">
        <f>ABS(transakcje[[#This Row],[kwota]])</f>
        <v>0.87799999999999989</v>
      </c>
    </row>
    <row r="2661" spans="1:9" x14ac:dyDescent="0.3">
      <c r="A2661">
        <v>2660</v>
      </c>
      <c r="B2661">
        <v>2019</v>
      </c>
      <c r="C2661">
        <v>1</v>
      </c>
      <c r="D2661">
        <v>11</v>
      </c>
      <c r="E2661" s="1">
        <v>-0.59800000000000009</v>
      </c>
      <c r="F2661" t="s">
        <v>26</v>
      </c>
      <c r="G2661" t="str">
        <f>_xlfn.XLOOKUP(transakcje[[#This Row],[podkategoria]],parametr[podkategoria],parametr[kategoria])</f>
        <v>życie</v>
      </c>
      <c r="H2661" t="str">
        <f>_xlfn.XLOOKUP(transakcje[[#This Row],[kategoria]],parametr[kategoria],parametr[typ])</f>
        <v>wydatki</v>
      </c>
      <c r="I2661" s="1">
        <f>ABS(transakcje[[#This Row],[kwota]])</f>
        <v>0.59800000000000009</v>
      </c>
    </row>
    <row r="2662" spans="1:9" x14ac:dyDescent="0.3">
      <c r="A2662">
        <v>2661</v>
      </c>
      <c r="B2662">
        <v>2019</v>
      </c>
      <c r="C2662">
        <v>1</v>
      </c>
      <c r="D2662">
        <v>11</v>
      </c>
      <c r="E2662" s="1">
        <v>-0.39800000000000002</v>
      </c>
      <c r="F2662" t="s">
        <v>14</v>
      </c>
      <c r="G2662" t="str">
        <f>_xlfn.XLOOKUP(transakcje[[#This Row],[podkategoria]],parametr[podkategoria],parametr[kategoria])</f>
        <v>opłaty stałe</v>
      </c>
      <c r="H2662" t="str">
        <f>_xlfn.XLOOKUP(transakcje[[#This Row],[kategoria]],parametr[kategoria],parametr[typ])</f>
        <v>wydatki</v>
      </c>
      <c r="I2662" s="1">
        <f>ABS(transakcje[[#This Row],[kwota]])</f>
        <v>0.39800000000000002</v>
      </c>
    </row>
    <row r="2663" spans="1:9" x14ac:dyDescent="0.3">
      <c r="A2663">
        <v>2662</v>
      </c>
      <c r="B2663">
        <v>2019</v>
      </c>
      <c r="C2663">
        <v>1</v>
      </c>
      <c r="D2663">
        <v>12</v>
      </c>
      <c r="E2663" s="1">
        <v>-19.8</v>
      </c>
      <c r="F2663" t="s">
        <v>32</v>
      </c>
      <c r="G2663" t="str">
        <f>_xlfn.XLOOKUP(transakcje[[#This Row],[podkategoria]],parametr[podkategoria],parametr[kategoria])</f>
        <v>opłaty stałe</v>
      </c>
      <c r="H2663" t="str">
        <f>_xlfn.XLOOKUP(transakcje[[#This Row],[kategoria]],parametr[kategoria],parametr[typ])</f>
        <v>wydatki</v>
      </c>
      <c r="I2663" s="1">
        <f>ABS(transakcje[[#This Row],[kwota]])</f>
        <v>19.8</v>
      </c>
    </row>
    <row r="2664" spans="1:9" x14ac:dyDescent="0.3">
      <c r="A2664">
        <v>2663</v>
      </c>
      <c r="B2664">
        <v>2019</v>
      </c>
      <c r="C2664">
        <v>1</v>
      </c>
      <c r="D2664">
        <v>12</v>
      </c>
      <c r="E2664" s="1">
        <v>-54.938000000000002</v>
      </c>
      <c r="F2664" t="s">
        <v>11</v>
      </c>
      <c r="G2664" t="str">
        <f>_xlfn.XLOOKUP(transakcje[[#This Row],[podkategoria]],parametr[podkategoria],parametr[kategoria])</f>
        <v>wydatki inne</v>
      </c>
      <c r="H2664" t="str">
        <f>_xlfn.XLOOKUP(transakcje[[#This Row],[kategoria]],parametr[kategoria],parametr[typ])</f>
        <v>wydatki</v>
      </c>
      <c r="I2664" s="1">
        <f>ABS(transakcje[[#This Row],[kwota]])</f>
        <v>54.938000000000002</v>
      </c>
    </row>
    <row r="2665" spans="1:9" x14ac:dyDescent="0.3">
      <c r="A2665">
        <v>2664</v>
      </c>
      <c r="B2665">
        <v>2019</v>
      </c>
      <c r="C2665">
        <v>1</v>
      </c>
      <c r="D2665">
        <v>15</v>
      </c>
      <c r="E2665" s="1">
        <v>-4.226</v>
      </c>
      <c r="F2665" t="s">
        <v>26</v>
      </c>
      <c r="G2665" t="str">
        <f>_xlfn.XLOOKUP(transakcje[[#This Row],[podkategoria]],parametr[podkategoria],parametr[kategoria])</f>
        <v>życie</v>
      </c>
      <c r="H2665" t="str">
        <f>_xlfn.XLOOKUP(transakcje[[#This Row],[kategoria]],parametr[kategoria],parametr[typ])</f>
        <v>wydatki</v>
      </c>
      <c r="I2665" s="1">
        <f>ABS(transakcje[[#This Row],[kwota]])</f>
        <v>4.226</v>
      </c>
    </row>
    <row r="2666" spans="1:9" x14ac:dyDescent="0.3">
      <c r="A2666">
        <v>2665</v>
      </c>
      <c r="B2666">
        <v>2019</v>
      </c>
      <c r="C2666">
        <v>1</v>
      </c>
      <c r="D2666">
        <v>16</v>
      </c>
      <c r="E2666" s="1">
        <v>-0.3</v>
      </c>
      <c r="F2666" t="s">
        <v>26</v>
      </c>
      <c r="G2666" t="str">
        <f>_xlfn.XLOOKUP(transakcje[[#This Row],[podkategoria]],parametr[podkategoria],parametr[kategoria])</f>
        <v>życie</v>
      </c>
      <c r="H2666" t="str">
        <f>_xlfn.XLOOKUP(transakcje[[#This Row],[kategoria]],parametr[kategoria],parametr[typ])</f>
        <v>wydatki</v>
      </c>
      <c r="I2666" s="1">
        <f>ABS(transakcje[[#This Row],[kwota]])</f>
        <v>0.3</v>
      </c>
    </row>
    <row r="2667" spans="1:9" x14ac:dyDescent="0.3">
      <c r="A2667">
        <v>2666</v>
      </c>
      <c r="B2667">
        <v>2019</v>
      </c>
      <c r="C2667">
        <v>1</v>
      </c>
      <c r="D2667">
        <v>19</v>
      </c>
      <c r="E2667" s="1">
        <v>-10.98</v>
      </c>
      <c r="F2667" t="s">
        <v>26</v>
      </c>
      <c r="G2667" t="str">
        <f>_xlfn.XLOOKUP(transakcje[[#This Row],[podkategoria]],parametr[podkategoria],parametr[kategoria])</f>
        <v>życie</v>
      </c>
      <c r="H2667" t="str">
        <f>_xlfn.XLOOKUP(transakcje[[#This Row],[kategoria]],parametr[kategoria],parametr[typ])</f>
        <v>wydatki</v>
      </c>
      <c r="I2667" s="1">
        <f>ABS(transakcje[[#This Row],[kwota]])</f>
        <v>10.98</v>
      </c>
    </row>
    <row r="2668" spans="1:9" x14ac:dyDescent="0.3">
      <c r="A2668">
        <v>2667</v>
      </c>
      <c r="B2668">
        <v>2019</v>
      </c>
      <c r="C2668">
        <v>1</v>
      </c>
      <c r="D2668">
        <v>23</v>
      </c>
      <c r="E2668" s="1">
        <v>-0.3</v>
      </c>
      <c r="F2668" t="s">
        <v>26</v>
      </c>
      <c r="G2668" t="str">
        <f>_xlfn.XLOOKUP(transakcje[[#This Row],[podkategoria]],parametr[podkategoria],parametr[kategoria])</f>
        <v>życie</v>
      </c>
      <c r="H2668" t="str">
        <f>_xlfn.XLOOKUP(transakcje[[#This Row],[kategoria]],parametr[kategoria],parametr[typ])</f>
        <v>wydatki</v>
      </c>
      <c r="I2668" s="1">
        <f>ABS(transakcje[[#This Row],[kwota]])</f>
        <v>0.3</v>
      </c>
    </row>
    <row r="2669" spans="1:9" x14ac:dyDescent="0.3">
      <c r="A2669">
        <v>2668</v>
      </c>
      <c r="B2669">
        <v>2019</v>
      </c>
      <c r="C2669">
        <v>1</v>
      </c>
      <c r="D2669">
        <v>23</v>
      </c>
      <c r="E2669" s="1">
        <v>-1.9620000000000002</v>
      </c>
      <c r="F2669" t="s">
        <v>26</v>
      </c>
      <c r="G2669" t="str">
        <f>_xlfn.XLOOKUP(transakcje[[#This Row],[podkategoria]],parametr[podkategoria],parametr[kategoria])</f>
        <v>życie</v>
      </c>
      <c r="H2669" t="str">
        <f>_xlfn.XLOOKUP(transakcje[[#This Row],[kategoria]],parametr[kategoria],parametr[typ])</f>
        <v>wydatki</v>
      </c>
      <c r="I2669" s="1">
        <f>ABS(transakcje[[#This Row],[kwota]])</f>
        <v>1.9620000000000002</v>
      </c>
    </row>
    <row r="2670" spans="1:9" x14ac:dyDescent="0.3">
      <c r="A2670">
        <v>2669</v>
      </c>
      <c r="B2670">
        <v>2019</v>
      </c>
      <c r="C2670">
        <v>1</v>
      </c>
      <c r="D2670">
        <v>25</v>
      </c>
      <c r="E2670" s="1">
        <v>641.08199999999999</v>
      </c>
      <c r="F2670" t="s">
        <v>8</v>
      </c>
      <c r="G2670" t="str">
        <f>_xlfn.XLOOKUP(transakcje[[#This Row],[podkategoria]],parametr[podkategoria],parametr[kategoria])</f>
        <v>dochody z pracy</v>
      </c>
      <c r="H2670" t="str">
        <f>_xlfn.XLOOKUP(transakcje[[#This Row],[kategoria]],parametr[kategoria],parametr[typ])</f>
        <v>dochody</v>
      </c>
      <c r="I2670" s="1">
        <f>ABS(transakcje[[#This Row],[kwota]])</f>
        <v>641.08199999999999</v>
      </c>
    </row>
    <row r="2671" spans="1:9" x14ac:dyDescent="0.3">
      <c r="A2671">
        <v>2670</v>
      </c>
      <c r="B2671">
        <v>2019</v>
      </c>
      <c r="C2671">
        <v>1</v>
      </c>
      <c r="D2671">
        <v>25</v>
      </c>
      <c r="E2671" s="1">
        <v>-11.827999999999999</v>
      </c>
      <c r="F2671" t="s">
        <v>26</v>
      </c>
      <c r="G2671" t="str">
        <f>_xlfn.XLOOKUP(transakcje[[#This Row],[podkategoria]],parametr[podkategoria],parametr[kategoria])</f>
        <v>życie</v>
      </c>
      <c r="H2671" t="str">
        <f>_xlfn.XLOOKUP(transakcje[[#This Row],[kategoria]],parametr[kategoria],parametr[typ])</f>
        <v>wydatki</v>
      </c>
      <c r="I2671" s="1">
        <f>ABS(transakcje[[#This Row],[kwota]])</f>
        <v>11.827999999999999</v>
      </c>
    </row>
    <row r="2672" spans="1:9" x14ac:dyDescent="0.3">
      <c r="A2672">
        <v>2671</v>
      </c>
      <c r="B2672">
        <v>2019</v>
      </c>
      <c r="C2672">
        <v>1</v>
      </c>
      <c r="D2672">
        <v>25</v>
      </c>
      <c r="E2672" s="1">
        <v>-1.1179999999999999</v>
      </c>
      <c r="F2672" t="s">
        <v>26</v>
      </c>
      <c r="G2672" t="str">
        <f>_xlfn.XLOOKUP(transakcje[[#This Row],[podkategoria]],parametr[podkategoria],parametr[kategoria])</f>
        <v>życie</v>
      </c>
      <c r="H2672" t="str">
        <f>_xlfn.XLOOKUP(transakcje[[#This Row],[kategoria]],parametr[kategoria],parametr[typ])</f>
        <v>wydatki</v>
      </c>
      <c r="I2672" s="1">
        <f>ABS(transakcje[[#This Row],[kwota]])</f>
        <v>1.1179999999999999</v>
      </c>
    </row>
    <row r="2673" spans="1:9" x14ac:dyDescent="0.3">
      <c r="A2673">
        <v>2672</v>
      </c>
      <c r="B2673">
        <v>2019</v>
      </c>
      <c r="C2673">
        <v>1</v>
      </c>
      <c r="D2673">
        <v>26</v>
      </c>
      <c r="E2673" s="1">
        <v>-8.6</v>
      </c>
      <c r="F2673" t="s">
        <v>36</v>
      </c>
      <c r="G2673" t="str">
        <f>_xlfn.XLOOKUP(transakcje[[#This Row],[podkategoria]],parametr[podkategoria],parametr[kategoria])</f>
        <v>opłaty stałe</v>
      </c>
      <c r="H2673" t="str">
        <f>_xlfn.XLOOKUP(transakcje[[#This Row],[kategoria]],parametr[kategoria],parametr[typ])</f>
        <v>wydatki</v>
      </c>
      <c r="I2673" s="1">
        <f>ABS(transakcje[[#This Row],[kwota]])</f>
        <v>8.6</v>
      </c>
    </row>
    <row r="2674" spans="1:9" x14ac:dyDescent="0.3">
      <c r="A2674">
        <v>2673</v>
      </c>
      <c r="B2674">
        <v>2019</v>
      </c>
      <c r="C2674">
        <v>1</v>
      </c>
      <c r="D2674">
        <v>26</v>
      </c>
      <c r="E2674" s="1">
        <v>-19.14</v>
      </c>
      <c r="F2674" t="s">
        <v>26</v>
      </c>
      <c r="G2674" t="str">
        <f>_xlfn.XLOOKUP(transakcje[[#This Row],[podkategoria]],parametr[podkategoria],parametr[kategoria])</f>
        <v>życie</v>
      </c>
      <c r="H2674" t="str">
        <f>_xlfn.XLOOKUP(transakcje[[#This Row],[kategoria]],parametr[kategoria],parametr[typ])</f>
        <v>wydatki</v>
      </c>
      <c r="I2674" s="1">
        <f>ABS(transakcje[[#This Row],[kwota]])</f>
        <v>19.14</v>
      </c>
    </row>
    <row r="2675" spans="1:9" x14ac:dyDescent="0.3">
      <c r="A2675">
        <v>2674</v>
      </c>
      <c r="B2675">
        <v>2019</v>
      </c>
      <c r="C2675">
        <v>1</v>
      </c>
      <c r="D2675">
        <v>30</v>
      </c>
      <c r="E2675" s="1">
        <v>-11.294</v>
      </c>
      <c r="F2675" t="s">
        <v>26</v>
      </c>
      <c r="G2675" t="str">
        <f>_xlfn.XLOOKUP(transakcje[[#This Row],[podkategoria]],parametr[podkategoria],parametr[kategoria])</f>
        <v>życie</v>
      </c>
      <c r="H2675" t="str">
        <f>_xlfn.XLOOKUP(transakcje[[#This Row],[kategoria]],parametr[kategoria],parametr[typ])</f>
        <v>wydatki</v>
      </c>
      <c r="I2675" s="1">
        <f>ABS(transakcje[[#This Row],[kwota]])</f>
        <v>11.294</v>
      </c>
    </row>
    <row r="2676" spans="1:9" x14ac:dyDescent="0.3">
      <c r="A2676">
        <v>2675</v>
      </c>
      <c r="B2676">
        <v>2019</v>
      </c>
      <c r="C2676">
        <v>1</v>
      </c>
      <c r="D2676">
        <v>31</v>
      </c>
      <c r="E2676" s="1">
        <v>2E-3</v>
      </c>
      <c r="F2676" t="s">
        <v>17</v>
      </c>
      <c r="G2676" t="str">
        <f>_xlfn.XLOOKUP(transakcje[[#This Row],[podkategoria]],parametr[podkategoria],parametr[kategoria])</f>
        <v>dochody pozostałe</v>
      </c>
      <c r="H2676" t="str">
        <f>_xlfn.XLOOKUP(transakcje[[#This Row],[kategoria]],parametr[kategoria],parametr[typ])</f>
        <v>dochody</v>
      </c>
      <c r="I2676" s="1">
        <f>ABS(transakcje[[#This Row],[kwota]])</f>
        <v>2E-3</v>
      </c>
    </row>
    <row r="2677" spans="1:9" x14ac:dyDescent="0.3">
      <c r="A2677">
        <v>2676</v>
      </c>
      <c r="B2677">
        <v>2019</v>
      </c>
      <c r="C2677">
        <v>1</v>
      </c>
      <c r="D2677">
        <v>31</v>
      </c>
      <c r="E2677" s="1">
        <v>-2E-3</v>
      </c>
      <c r="F2677" t="s">
        <v>14</v>
      </c>
      <c r="G2677" t="str">
        <f>_xlfn.XLOOKUP(transakcje[[#This Row],[podkategoria]],parametr[podkategoria],parametr[kategoria])</f>
        <v>opłaty stałe</v>
      </c>
      <c r="H2677" t="str">
        <f>_xlfn.XLOOKUP(transakcje[[#This Row],[kategoria]],parametr[kategoria],parametr[typ])</f>
        <v>wydatki</v>
      </c>
      <c r="I2677" s="1">
        <f>ABS(transakcje[[#This Row],[kwota]])</f>
        <v>2E-3</v>
      </c>
    </row>
    <row r="2678" spans="1:9" x14ac:dyDescent="0.3">
      <c r="A2678">
        <v>2677</v>
      </c>
      <c r="B2678">
        <v>2019</v>
      </c>
      <c r="C2678">
        <v>1</v>
      </c>
      <c r="D2678">
        <v>31</v>
      </c>
      <c r="E2678" s="1">
        <v>-1.198</v>
      </c>
      <c r="F2678" t="s">
        <v>14</v>
      </c>
      <c r="G2678" t="str">
        <f>_xlfn.XLOOKUP(transakcje[[#This Row],[podkategoria]],parametr[podkategoria],parametr[kategoria])</f>
        <v>opłaty stałe</v>
      </c>
      <c r="H2678" t="str">
        <f>_xlfn.XLOOKUP(transakcje[[#This Row],[kategoria]],parametr[kategoria],parametr[typ])</f>
        <v>wydatki</v>
      </c>
      <c r="I2678" s="1">
        <f>ABS(transakcje[[#This Row],[kwota]])</f>
        <v>1.198</v>
      </c>
    </row>
    <row r="2679" spans="1:9" x14ac:dyDescent="0.3">
      <c r="A2679">
        <v>2678</v>
      </c>
      <c r="B2679">
        <v>2019</v>
      </c>
      <c r="C2679">
        <v>1</v>
      </c>
      <c r="D2679">
        <v>31</v>
      </c>
      <c r="E2679" s="1">
        <v>-0.2</v>
      </c>
      <c r="F2679" t="s">
        <v>14</v>
      </c>
      <c r="G2679" t="str">
        <f>_xlfn.XLOOKUP(transakcje[[#This Row],[podkategoria]],parametr[podkategoria],parametr[kategoria])</f>
        <v>opłaty stałe</v>
      </c>
      <c r="H2679" t="str">
        <f>_xlfn.XLOOKUP(transakcje[[#This Row],[kategoria]],parametr[kategoria],parametr[typ])</f>
        <v>wydatki</v>
      </c>
      <c r="I2679" s="1">
        <f>ABS(transakcje[[#This Row],[kwota]])</f>
        <v>0.2</v>
      </c>
    </row>
    <row r="2680" spans="1:9" x14ac:dyDescent="0.3">
      <c r="A2680">
        <v>2679</v>
      </c>
      <c r="B2680">
        <v>2019</v>
      </c>
      <c r="C2680">
        <v>1</v>
      </c>
      <c r="D2680">
        <v>31</v>
      </c>
      <c r="E2680" s="1">
        <v>-1.8320000000000001</v>
      </c>
      <c r="F2680" t="s">
        <v>26</v>
      </c>
      <c r="G2680" t="str">
        <f>_xlfn.XLOOKUP(transakcje[[#This Row],[podkategoria]],parametr[podkategoria],parametr[kategoria])</f>
        <v>życie</v>
      </c>
      <c r="H2680" t="str">
        <f>_xlfn.XLOOKUP(transakcje[[#This Row],[kategoria]],parametr[kategoria],parametr[typ])</f>
        <v>wydatki</v>
      </c>
      <c r="I2680" s="1">
        <f>ABS(transakcje[[#This Row],[kwota]])</f>
        <v>1.8320000000000001</v>
      </c>
    </row>
    <row r="2681" spans="1:9" x14ac:dyDescent="0.3">
      <c r="A2681">
        <v>2680</v>
      </c>
      <c r="B2681">
        <v>2019</v>
      </c>
      <c r="C2681">
        <v>2</v>
      </c>
      <c r="D2681">
        <v>1</v>
      </c>
      <c r="E2681" s="1">
        <v>553.08600000000001</v>
      </c>
      <c r="F2681" t="s">
        <v>22</v>
      </c>
      <c r="G2681" t="str">
        <f>_xlfn.XLOOKUP(transakcje[[#This Row],[podkategoria]],parametr[podkategoria],parametr[kategoria])</f>
        <v>dochody z pracy</v>
      </c>
      <c r="H2681" t="str">
        <f>_xlfn.XLOOKUP(transakcje[[#This Row],[kategoria]],parametr[kategoria],parametr[typ])</f>
        <v>dochody</v>
      </c>
      <c r="I2681" s="1">
        <f>ABS(transakcje[[#This Row],[kwota]])</f>
        <v>553.08600000000001</v>
      </c>
    </row>
    <row r="2682" spans="1:9" x14ac:dyDescent="0.3">
      <c r="A2682">
        <v>2681</v>
      </c>
      <c r="B2682">
        <v>2019</v>
      </c>
      <c r="C2682">
        <v>2</v>
      </c>
      <c r="D2682">
        <v>1</v>
      </c>
      <c r="E2682" s="1">
        <v>-1.1179999999999999</v>
      </c>
      <c r="F2682" t="s">
        <v>26</v>
      </c>
      <c r="G2682" t="str">
        <f>_xlfn.XLOOKUP(transakcje[[#This Row],[podkategoria]],parametr[podkategoria],parametr[kategoria])</f>
        <v>życie</v>
      </c>
      <c r="H2682" t="str">
        <f>_xlfn.XLOOKUP(transakcje[[#This Row],[kategoria]],parametr[kategoria],parametr[typ])</f>
        <v>wydatki</v>
      </c>
      <c r="I2682" s="1">
        <f>ABS(transakcje[[#This Row],[kwota]])</f>
        <v>1.1179999999999999</v>
      </c>
    </row>
    <row r="2683" spans="1:9" x14ac:dyDescent="0.3">
      <c r="A2683">
        <v>2682</v>
      </c>
      <c r="B2683">
        <v>2019</v>
      </c>
      <c r="C2683">
        <v>2</v>
      </c>
      <c r="D2683">
        <v>2</v>
      </c>
      <c r="E2683" s="1">
        <v>-5.8</v>
      </c>
      <c r="F2683" t="s">
        <v>25</v>
      </c>
      <c r="G2683" t="str">
        <f>_xlfn.XLOOKUP(transakcje[[#This Row],[podkategoria]],parametr[podkategoria],parametr[kategoria])</f>
        <v>opłaty stałe</v>
      </c>
      <c r="H2683" t="str">
        <f>_xlfn.XLOOKUP(transakcje[[#This Row],[kategoria]],parametr[kategoria],parametr[typ])</f>
        <v>wydatki</v>
      </c>
      <c r="I2683" s="1">
        <f>ABS(transakcje[[#This Row],[kwota]])</f>
        <v>5.8</v>
      </c>
    </row>
    <row r="2684" spans="1:9" x14ac:dyDescent="0.3">
      <c r="A2684">
        <v>2683</v>
      </c>
      <c r="B2684">
        <v>2019</v>
      </c>
      <c r="C2684">
        <v>2</v>
      </c>
      <c r="D2684">
        <v>2</v>
      </c>
      <c r="E2684" s="1">
        <v>-71.738</v>
      </c>
      <c r="F2684" t="s">
        <v>31</v>
      </c>
      <c r="G2684" t="str">
        <f>_xlfn.XLOOKUP(transakcje[[#This Row],[podkategoria]],parametr[podkategoria],parametr[kategoria])</f>
        <v>opłaty stałe</v>
      </c>
      <c r="H2684" t="str">
        <f>_xlfn.XLOOKUP(transakcje[[#This Row],[kategoria]],parametr[kategoria],parametr[typ])</f>
        <v>wydatki</v>
      </c>
      <c r="I2684" s="1">
        <f>ABS(transakcje[[#This Row],[kwota]])</f>
        <v>71.738</v>
      </c>
    </row>
    <row r="2685" spans="1:9" x14ac:dyDescent="0.3">
      <c r="A2685">
        <v>2684</v>
      </c>
      <c r="B2685">
        <v>2019</v>
      </c>
      <c r="C2685">
        <v>2</v>
      </c>
      <c r="D2685">
        <v>2</v>
      </c>
      <c r="E2685" s="1">
        <v>-7.38</v>
      </c>
      <c r="F2685" t="s">
        <v>23</v>
      </c>
      <c r="G2685" t="str">
        <f>_xlfn.XLOOKUP(transakcje[[#This Row],[podkategoria]],parametr[podkategoria],parametr[kategoria])</f>
        <v>opłaty stałe</v>
      </c>
      <c r="H2685" t="str">
        <f>_xlfn.XLOOKUP(transakcje[[#This Row],[kategoria]],parametr[kategoria],parametr[typ])</f>
        <v>wydatki</v>
      </c>
      <c r="I2685" s="1">
        <f>ABS(transakcje[[#This Row],[kwota]])</f>
        <v>7.38</v>
      </c>
    </row>
    <row r="2686" spans="1:9" x14ac:dyDescent="0.3">
      <c r="A2686">
        <v>2685</v>
      </c>
      <c r="B2686">
        <v>2019</v>
      </c>
      <c r="C2686">
        <v>2</v>
      </c>
      <c r="D2686">
        <v>4</v>
      </c>
      <c r="E2686" s="1">
        <v>-5.0299999999999994</v>
      </c>
      <c r="F2686" t="s">
        <v>26</v>
      </c>
      <c r="G2686" t="str">
        <f>_xlfn.XLOOKUP(transakcje[[#This Row],[podkategoria]],parametr[podkategoria],parametr[kategoria])</f>
        <v>życie</v>
      </c>
      <c r="H2686" t="str">
        <f>_xlfn.XLOOKUP(transakcje[[#This Row],[kategoria]],parametr[kategoria],parametr[typ])</f>
        <v>wydatki</v>
      </c>
      <c r="I2686" s="1">
        <f>ABS(transakcje[[#This Row],[kwota]])</f>
        <v>5.0299999999999994</v>
      </c>
    </row>
    <row r="2687" spans="1:9" x14ac:dyDescent="0.3">
      <c r="A2687">
        <v>2686</v>
      </c>
      <c r="B2687">
        <v>2019</v>
      </c>
      <c r="C2687">
        <v>2</v>
      </c>
      <c r="D2687">
        <v>4</v>
      </c>
      <c r="E2687" s="1">
        <v>-0.3</v>
      </c>
      <c r="F2687" t="s">
        <v>26</v>
      </c>
      <c r="G2687" t="str">
        <f>_xlfn.XLOOKUP(transakcje[[#This Row],[podkategoria]],parametr[podkategoria],parametr[kategoria])</f>
        <v>życie</v>
      </c>
      <c r="H2687" t="str">
        <f>_xlfn.XLOOKUP(transakcje[[#This Row],[kategoria]],parametr[kategoria],parametr[typ])</f>
        <v>wydatki</v>
      </c>
      <c r="I2687" s="1">
        <f>ABS(transakcje[[#This Row],[kwota]])</f>
        <v>0.3</v>
      </c>
    </row>
    <row r="2688" spans="1:9" x14ac:dyDescent="0.3">
      <c r="A2688">
        <v>2687</v>
      </c>
      <c r="B2688">
        <v>2019</v>
      </c>
      <c r="C2688">
        <v>2</v>
      </c>
      <c r="D2688">
        <v>5</v>
      </c>
      <c r="E2688" s="1">
        <v>-2.6</v>
      </c>
      <c r="F2688" t="s">
        <v>26</v>
      </c>
      <c r="G2688" t="str">
        <f>_xlfn.XLOOKUP(transakcje[[#This Row],[podkategoria]],parametr[podkategoria],parametr[kategoria])</f>
        <v>życie</v>
      </c>
      <c r="H2688" t="str">
        <f>_xlfn.XLOOKUP(transakcje[[#This Row],[kategoria]],parametr[kategoria],parametr[typ])</f>
        <v>wydatki</v>
      </c>
      <c r="I2688" s="1">
        <f>ABS(transakcje[[#This Row],[kwota]])</f>
        <v>2.6</v>
      </c>
    </row>
    <row r="2689" spans="1:9" x14ac:dyDescent="0.3">
      <c r="A2689">
        <v>2688</v>
      </c>
      <c r="B2689">
        <v>2019</v>
      </c>
      <c r="C2689">
        <v>2</v>
      </c>
      <c r="D2689">
        <v>5</v>
      </c>
      <c r="E2689" s="1">
        <v>-4.55</v>
      </c>
      <c r="F2689" t="s">
        <v>26</v>
      </c>
      <c r="G2689" t="str">
        <f>_xlfn.XLOOKUP(transakcje[[#This Row],[podkategoria]],parametr[podkategoria],parametr[kategoria])</f>
        <v>życie</v>
      </c>
      <c r="H2689" t="str">
        <f>_xlfn.XLOOKUP(transakcje[[#This Row],[kategoria]],parametr[kategoria],parametr[typ])</f>
        <v>wydatki</v>
      </c>
      <c r="I2689" s="1">
        <f>ABS(transakcje[[#This Row],[kwota]])</f>
        <v>4.55</v>
      </c>
    </row>
    <row r="2690" spans="1:9" x14ac:dyDescent="0.3">
      <c r="A2690">
        <v>2689</v>
      </c>
      <c r="B2690">
        <v>2019</v>
      </c>
      <c r="C2690">
        <v>2</v>
      </c>
      <c r="D2690">
        <v>6</v>
      </c>
      <c r="E2690" s="1">
        <v>-5.9979999999999993</v>
      </c>
      <c r="F2690" t="s">
        <v>26</v>
      </c>
      <c r="G2690" t="str">
        <f>_xlfn.XLOOKUP(transakcje[[#This Row],[podkategoria]],parametr[podkategoria],parametr[kategoria])</f>
        <v>życie</v>
      </c>
      <c r="H2690" t="str">
        <f>_xlfn.XLOOKUP(transakcje[[#This Row],[kategoria]],parametr[kategoria],parametr[typ])</f>
        <v>wydatki</v>
      </c>
      <c r="I2690" s="1">
        <f>ABS(transakcje[[#This Row],[kwota]])</f>
        <v>5.9979999999999993</v>
      </c>
    </row>
    <row r="2691" spans="1:9" x14ac:dyDescent="0.3">
      <c r="A2691">
        <v>2690</v>
      </c>
      <c r="B2691">
        <v>2019</v>
      </c>
      <c r="C2691">
        <v>2</v>
      </c>
      <c r="D2691">
        <v>7</v>
      </c>
      <c r="E2691" s="1">
        <v>-0.67</v>
      </c>
      <c r="F2691" t="s">
        <v>26</v>
      </c>
      <c r="G2691" t="str">
        <f>_xlfn.XLOOKUP(transakcje[[#This Row],[podkategoria]],parametr[podkategoria],parametr[kategoria])</f>
        <v>życie</v>
      </c>
      <c r="H2691" t="str">
        <f>_xlfn.XLOOKUP(transakcje[[#This Row],[kategoria]],parametr[kategoria],parametr[typ])</f>
        <v>wydatki</v>
      </c>
      <c r="I2691" s="1">
        <f>ABS(transakcje[[#This Row],[kwota]])</f>
        <v>0.67</v>
      </c>
    </row>
    <row r="2692" spans="1:9" x14ac:dyDescent="0.3">
      <c r="A2692">
        <v>2691</v>
      </c>
      <c r="B2692">
        <v>2019</v>
      </c>
      <c r="C2692">
        <v>2</v>
      </c>
      <c r="D2692">
        <v>7</v>
      </c>
      <c r="E2692" s="1">
        <v>-0.85</v>
      </c>
      <c r="F2692" t="s">
        <v>26</v>
      </c>
      <c r="G2692" t="str">
        <f>_xlfn.XLOOKUP(transakcje[[#This Row],[podkategoria]],parametr[podkategoria],parametr[kategoria])</f>
        <v>życie</v>
      </c>
      <c r="H2692" t="str">
        <f>_xlfn.XLOOKUP(transakcje[[#This Row],[kategoria]],parametr[kategoria],parametr[typ])</f>
        <v>wydatki</v>
      </c>
      <c r="I2692" s="1">
        <f>ABS(transakcje[[#This Row],[kwota]])</f>
        <v>0.85</v>
      </c>
    </row>
    <row r="2693" spans="1:9" x14ac:dyDescent="0.3">
      <c r="A2693">
        <v>2692</v>
      </c>
      <c r="B2693">
        <v>2019</v>
      </c>
      <c r="C2693">
        <v>2</v>
      </c>
      <c r="D2693">
        <v>8</v>
      </c>
      <c r="E2693" s="1">
        <v>-1.1179999999999999</v>
      </c>
      <c r="F2693" t="s">
        <v>26</v>
      </c>
      <c r="G2693" t="str">
        <f>_xlfn.XLOOKUP(transakcje[[#This Row],[podkategoria]],parametr[podkategoria],parametr[kategoria])</f>
        <v>życie</v>
      </c>
      <c r="H2693" t="str">
        <f>_xlfn.XLOOKUP(transakcje[[#This Row],[kategoria]],parametr[kategoria],parametr[typ])</f>
        <v>wydatki</v>
      </c>
      <c r="I2693" s="1">
        <f>ABS(transakcje[[#This Row],[kwota]])</f>
        <v>1.1179999999999999</v>
      </c>
    </row>
    <row r="2694" spans="1:9" x14ac:dyDescent="0.3">
      <c r="A2694">
        <v>2693</v>
      </c>
      <c r="B2694">
        <v>2019</v>
      </c>
      <c r="C2694">
        <v>2</v>
      </c>
      <c r="D2694">
        <v>11</v>
      </c>
      <c r="E2694" s="1">
        <v>-0.3</v>
      </c>
      <c r="F2694" t="s">
        <v>26</v>
      </c>
      <c r="G2694" t="str">
        <f>_xlfn.XLOOKUP(transakcje[[#This Row],[podkategoria]],parametr[podkategoria],parametr[kategoria])</f>
        <v>życie</v>
      </c>
      <c r="H2694" t="str">
        <f>_xlfn.XLOOKUP(transakcje[[#This Row],[kategoria]],parametr[kategoria],parametr[typ])</f>
        <v>wydatki</v>
      </c>
      <c r="I2694" s="1">
        <f>ABS(transakcje[[#This Row],[kwota]])</f>
        <v>0.3</v>
      </c>
    </row>
    <row r="2695" spans="1:9" x14ac:dyDescent="0.3">
      <c r="A2695">
        <v>2694</v>
      </c>
      <c r="B2695">
        <v>2019</v>
      </c>
      <c r="C2695">
        <v>2</v>
      </c>
      <c r="D2695">
        <v>13</v>
      </c>
      <c r="E2695" s="1">
        <v>-12.587999999999999</v>
      </c>
      <c r="F2695" t="s">
        <v>26</v>
      </c>
      <c r="G2695" t="str">
        <f>_xlfn.XLOOKUP(transakcje[[#This Row],[podkategoria]],parametr[podkategoria],parametr[kategoria])</f>
        <v>życie</v>
      </c>
      <c r="H2695" t="str">
        <f>_xlfn.XLOOKUP(transakcje[[#This Row],[kategoria]],parametr[kategoria],parametr[typ])</f>
        <v>wydatki</v>
      </c>
      <c r="I2695" s="1">
        <f>ABS(transakcje[[#This Row],[kwota]])</f>
        <v>12.587999999999999</v>
      </c>
    </row>
    <row r="2696" spans="1:9" x14ac:dyDescent="0.3">
      <c r="A2696">
        <v>2695</v>
      </c>
      <c r="B2696">
        <v>2019</v>
      </c>
      <c r="C2696">
        <v>2</v>
      </c>
      <c r="D2696">
        <v>14</v>
      </c>
      <c r="E2696" s="1">
        <v>-0.3</v>
      </c>
      <c r="F2696" t="s">
        <v>26</v>
      </c>
      <c r="G2696" t="str">
        <f>_xlfn.XLOOKUP(transakcje[[#This Row],[podkategoria]],parametr[podkategoria],parametr[kategoria])</f>
        <v>życie</v>
      </c>
      <c r="H2696" t="str">
        <f>_xlfn.XLOOKUP(transakcje[[#This Row],[kategoria]],parametr[kategoria],parametr[typ])</f>
        <v>wydatki</v>
      </c>
      <c r="I2696" s="1">
        <f>ABS(transakcje[[#This Row],[kwota]])</f>
        <v>0.3</v>
      </c>
    </row>
    <row r="2697" spans="1:9" x14ac:dyDescent="0.3">
      <c r="A2697">
        <v>2696</v>
      </c>
      <c r="B2697">
        <v>2019</v>
      </c>
      <c r="C2697">
        <v>2</v>
      </c>
      <c r="D2697">
        <v>15</v>
      </c>
      <c r="E2697" s="1">
        <v>-0.39800000000000002</v>
      </c>
      <c r="F2697" t="s">
        <v>14</v>
      </c>
      <c r="G2697" t="str">
        <f>_xlfn.XLOOKUP(transakcje[[#This Row],[podkategoria]],parametr[podkategoria],parametr[kategoria])</f>
        <v>opłaty stałe</v>
      </c>
      <c r="H2697" t="str">
        <f>_xlfn.XLOOKUP(transakcje[[#This Row],[kategoria]],parametr[kategoria],parametr[typ])</f>
        <v>wydatki</v>
      </c>
      <c r="I2697" s="1">
        <f>ABS(transakcje[[#This Row],[kwota]])</f>
        <v>0.39800000000000002</v>
      </c>
    </row>
    <row r="2698" spans="1:9" x14ac:dyDescent="0.3">
      <c r="A2698">
        <v>2697</v>
      </c>
      <c r="B2698">
        <v>2019</v>
      </c>
      <c r="C2698">
        <v>2</v>
      </c>
      <c r="D2698">
        <v>15</v>
      </c>
      <c r="E2698" s="1">
        <v>-1.5660000000000001</v>
      </c>
      <c r="F2698" t="s">
        <v>26</v>
      </c>
      <c r="G2698" t="str">
        <f>_xlfn.XLOOKUP(transakcje[[#This Row],[podkategoria]],parametr[podkategoria],parametr[kategoria])</f>
        <v>życie</v>
      </c>
      <c r="H2698" t="str">
        <f>_xlfn.XLOOKUP(transakcje[[#This Row],[kategoria]],parametr[kategoria],parametr[typ])</f>
        <v>wydatki</v>
      </c>
      <c r="I2698" s="1">
        <f>ABS(transakcje[[#This Row],[kwota]])</f>
        <v>1.5660000000000001</v>
      </c>
    </row>
    <row r="2699" spans="1:9" x14ac:dyDescent="0.3">
      <c r="A2699">
        <v>2698</v>
      </c>
      <c r="B2699">
        <v>2019</v>
      </c>
      <c r="C2699">
        <v>2</v>
      </c>
      <c r="D2699">
        <v>15</v>
      </c>
      <c r="E2699" s="1">
        <v>-0.59800000000000009</v>
      </c>
      <c r="F2699" t="s">
        <v>26</v>
      </c>
      <c r="G2699" t="str">
        <f>_xlfn.XLOOKUP(transakcje[[#This Row],[podkategoria]],parametr[podkategoria],parametr[kategoria])</f>
        <v>życie</v>
      </c>
      <c r="H2699" t="str">
        <f>_xlfn.XLOOKUP(transakcje[[#This Row],[kategoria]],parametr[kategoria],parametr[typ])</f>
        <v>wydatki</v>
      </c>
      <c r="I2699" s="1">
        <f>ABS(transakcje[[#This Row],[kwota]])</f>
        <v>0.59800000000000009</v>
      </c>
    </row>
    <row r="2700" spans="1:9" x14ac:dyDescent="0.3">
      <c r="A2700">
        <v>2699</v>
      </c>
      <c r="B2700">
        <v>2019</v>
      </c>
      <c r="C2700">
        <v>2</v>
      </c>
      <c r="D2700">
        <v>22</v>
      </c>
      <c r="E2700" s="1">
        <v>641.08199999999999</v>
      </c>
      <c r="F2700" t="s">
        <v>8</v>
      </c>
      <c r="G2700" t="str">
        <f>_xlfn.XLOOKUP(transakcje[[#This Row],[podkategoria]],parametr[podkategoria],parametr[kategoria])</f>
        <v>dochody z pracy</v>
      </c>
      <c r="H2700" t="str">
        <f>_xlfn.XLOOKUP(transakcje[[#This Row],[kategoria]],parametr[kategoria],parametr[typ])</f>
        <v>dochody</v>
      </c>
      <c r="I2700" s="1">
        <f>ABS(transakcje[[#This Row],[kwota]])</f>
        <v>641.08199999999999</v>
      </c>
    </row>
    <row r="2701" spans="1:9" x14ac:dyDescent="0.3">
      <c r="A2701">
        <v>2700</v>
      </c>
      <c r="B2701">
        <v>2019</v>
      </c>
      <c r="C2701">
        <v>2</v>
      </c>
      <c r="D2701">
        <v>22</v>
      </c>
      <c r="E2701" s="1">
        <v>-17.746000000000002</v>
      </c>
      <c r="F2701" t="s">
        <v>26</v>
      </c>
      <c r="G2701" t="str">
        <f>_xlfn.XLOOKUP(transakcje[[#This Row],[podkategoria]],parametr[podkategoria],parametr[kategoria])</f>
        <v>życie</v>
      </c>
      <c r="H2701" t="str">
        <f>_xlfn.XLOOKUP(transakcje[[#This Row],[kategoria]],parametr[kategoria],parametr[typ])</f>
        <v>wydatki</v>
      </c>
      <c r="I2701" s="1">
        <f>ABS(transakcje[[#This Row],[kwota]])</f>
        <v>17.746000000000002</v>
      </c>
    </row>
    <row r="2702" spans="1:9" x14ac:dyDescent="0.3">
      <c r="A2702">
        <v>2701</v>
      </c>
      <c r="B2702">
        <v>2019</v>
      </c>
      <c r="C2702">
        <v>2</v>
      </c>
      <c r="D2702">
        <v>23</v>
      </c>
      <c r="E2702" s="1">
        <v>-19.8</v>
      </c>
      <c r="F2702" t="s">
        <v>32</v>
      </c>
      <c r="G2702" t="str">
        <f>_xlfn.XLOOKUP(transakcje[[#This Row],[podkategoria]],parametr[podkategoria],parametr[kategoria])</f>
        <v>opłaty stałe</v>
      </c>
      <c r="H2702" t="str">
        <f>_xlfn.XLOOKUP(transakcje[[#This Row],[kategoria]],parametr[kategoria],parametr[typ])</f>
        <v>wydatki</v>
      </c>
      <c r="I2702" s="1">
        <f>ABS(transakcje[[#This Row],[kwota]])</f>
        <v>19.8</v>
      </c>
    </row>
    <row r="2703" spans="1:9" x14ac:dyDescent="0.3">
      <c r="A2703">
        <v>2702</v>
      </c>
      <c r="B2703">
        <v>2019</v>
      </c>
      <c r="C2703">
        <v>2</v>
      </c>
      <c r="D2703">
        <v>23</v>
      </c>
      <c r="E2703" s="1">
        <v>-25.962</v>
      </c>
      <c r="F2703" t="s">
        <v>11</v>
      </c>
      <c r="G2703" t="str">
        <f>_xlfn.XLOOKUP(transakcje[[#This Row],[podkategoria]],parametr[podkategoria],parametr[kategoria])</f>
        <v>wydatki inne</v>
      </c>
      <c r="H2703" t="str">
        <f>_xlfn.XLOOKUP(transakcje[[#This Row],[kategoria]],parametr[kategoria],parametr[typ])</f>
        <v>wydatki</v>
      </c>
      <c r="I2703" s="1">
        <f>ABS(transakcje[[#This Row],[kwota]])</f>
        <v>25.962</v>
      </c>
    </row>
    <row r="2704" spans="1:9" x14ac:dyDescent="0.3">
      <c r="A2704">
        <v>2703</v>
      </c>
      <c r="B2704">
        <v>2019</v>
      </c>
      <c r="C2704">
        <v>2</v>
      </c>
      <c r="D2704">
        <v>25</v>
      </c>
      <c r="E2704" s="1">
        <v>-7.67</v>
      </c>
      <c r="F2704" t="s">
        <v>26</v>
      </c>
      <c r="G2704" t="str">
        <f>_xlfn.XLOOKUP(transakcje[[#This Row],[podkategoria]],parametr[podkategoria],parametr[kategoria])</f>
        <v>życie</v>
      </c>
      <c r="H2704" t="str">
        <f>_xlfn.XLOOKUP(transakcje[[#This Row],[kategoria]],parametr[kategoria],parametr[typ])</f>
        <v>wydatki</v>
      </c>
      <c r="I2704" s="1">
        <f>ABS(transakcje[[#This Row],[kwota]])</f>
        <v>7.67</v>
      </c>
    </row>
    <row r="2705" spans="1:9" x14ac:dyDescent="0.3">
      <c r="A2705">
        <v>2704</v>
      </c>
      <c r="B2705">
        <v>2019</v>
      </c>
      <c r="C2705">
        <v>2</v>
      </c>
      <c r="D2705">
        <v>27</v>
      </c>
      <c r="E2705" s="1">
        <v>-4.1680000000000001</v>
      </c>
      <c r="F2705" t="s">
        <v>26</v>
      </c>
      <c r="G2705" t="str">
        <f>_xlfn.XLOOKUP(transakcje[[#This Row],[podkategoria]],parametr[podkategoria],parametr[kategoria])</f>
        <v>życie</v>
      </c>
      <c r="H2705" t="str">
        <f>_xlfn.XLOOKUP(transakcje[[#This Row],[kategoria]],parametr[kategoria],parametr[typ])</f>
        <v>wydatki</v>
      </c>
      <c r="I2705" s="1">
        <f>ABS(transakcje[[#This Row],[kwota]])</f>
        <v>4.1680000000000001</v>
      </c>
    </row>
    <row r="2706" spans="1:9" x14ac:dyDescent="0.3">
      <c r="A2706">
        <v>2705</v>
      </c>
      <c r="B2706">
        <v>2019</v>
      </c>
      <c r="C2706">
        <v>2</v>
      </c>
      <c r="D2706">
        <v>28</v>
      </c>
      <c r="E2706" s="1">
        <v>-2E-3</v>
      </c>
      <c r="F2706" t="s">
        <v>14</v>
      </c>
      <c r="G2706" t="str">
        <f>_xlfn.XLOOKUP(transakcje[[#This Row],[podkategoria]],parametr[podkategoria],parametr[kategoria])</f>
        <v>opłaty stałe</v>
      </c>
      <c r="H2706" t="str">
        <f>_xlfn.XLOOKUP(transakcje[[#This Row],[kategoria]],parametr[kategoria],parametr[typ])</f>
        <v>wydatki</v>
      </c>
      <c r="I2706" s="1">
        <f>ABS(transakcje[[#This Row],[kwota]])</f>
        <v>2E-3</v>
      </c>
    </row>
    <row r="2707" spans="1:9" x14ac:dyDescent="0.3">
      <c r="A2707">
        <v>2706</v>
      </c>
      <c r="B2707">
        <v>2019</v>
      </c>
      <c r="C2707">
        <v>2</v>
      </c>
      <c r="D2707">
        <v>28</v>
      </c>
      <c r="E2707" s="1">
        <v>-1.198</v>
      </c>
      <c r="F2707" t="s">
        <v>14</v>
      </c>
      <c r="G2707" t="str">
        <f>_xlfn.XLOOKUP(transakcje[[#This Row],[podkategoria]],parametr[podkategoria],parametr[kategoria])</f>
        <v>opłaty stałe</v>
      </c>
      <c r="H2707" t="str">
        <f>_xlfn.XLOOKUP(transakcje[[#This Row],[kategoria]],parametr[kategoria],parametr[typ])</f>
        <v>wydatki</v>
      </c>
      <c r="I2707" s="1">
        <f>ABS(transakcje[[#This Row],[kwota]])</f>
        <v>1.198</v>
      </c>
    </row>
    <row r="2708" spans="1:9" x14ac:dyDescent="0.3">
      <c r="A2708">
        <v>2707</v>
      </c>
      <c r="B2708">
        <v>2019</v>
      </c>
      <c r="C2708">
        <v>2</v>
      </c>
      <c r="D2708">
        <v>28</v>
      </c>
      <c r="E2708" s="1">
        <v>2E-3</v>
      </c>
      <c r="F2708" t="s">
        <v>17</v>
      </c>
      <c r="G2708" t="str">
        <f>_xlfn.XLOOKUP(transakcje[[#This Row],[podkategoria]],parametr[podkategoria],parametr[kategoria])</f>
        <v>dochody pozostałe</v>
      </c>
      <c r="H2708" t="str">
        <f>_xlfn.XLOOKUP(transakcje[[#This Row],[kategoria]],parametr[kategoria],parametr[typ])</f>
        <v>dochody</v>
      </c>
      <c r="I2708" s="1">
        <f>ABS(transakcje[[#This Row],[kwota]])</f>
        <v>2E-3</v>
      </c>
    </row>
    <row r="2709" spans="1:9" x14ac:dyDescent="0.3">
      <c r="A2709">
        <v>2708</v>
      </c>
      <c r="B2709">
        <v>2019</v>
      </c>
      <c r="C2709">
        <v>2</v>
      </c>
      <c r="D2709">
        <v>28</v>
      </c>
      <c r="E2709" s="1">
        <v>-0.3</v>
      </c>
      <c r="F2709" t="s">
        <v>14</v>
      </c>
      <c r="G2709" t="str">
        <f>_xlfn.XLOOKUP(transakcje[[#This Row],[podkategoria]],parametr[podkategoria],parametr[kategoria])</f>
        <v>opłaty stałe</v>
      </c>
      <c r="H2709" t="str">
        <f>_xlfn.XLOOKUP(transakcje[[#This Row],[kategoria]],parametr[kategoria],parametr[typ])</f>
        <v>wydatki</v>
      </c>
      <c r="I2709" s="1">
        <f>ABS(transakcje[[#This Row],[kwota]])</f>
        <v>0.3</v>
      </c>
    </row>
    <row r="2710" spans="1:9" x14ac:dyDescent="0.3">
      <c r="A2710">
        <v>2709</v>
      </c>
      <c r="B2710">
        <v>2019</v>
      </c>
      <c r="C2710">
        <v>3</v>
      </c>
      <c r="D2710">
        <v>1</v>
      </c>
      <c r="E2710" s="1">
        <v>-0.40400000000000003</v>
      </c>
      <c r="F2710" t="s">
        <v>26</v>
      </c>
      <c r="G2710" t="str">
        <f>_xlfn.XLOOKUP(transakcje[[#This Row],[podkategoria]],parametr[podkategoria],parametr[kategoria])</f>
        <v>życie</v>
      </c>
      <c r="H2710" t="str">
        <f>_xlfn.XLOOKUP(transakcje[[#This Row],[kategoria]],parametr[kategoria],parametr[typ])</f>
        <v>wydatki</v>
      </c>
      <c r="I2710" s="1">
        <f>ABS(transakcje[[#This Row],[kwota]])</f>
        <v>0.40400000000000003</v>
      </c>
    </row>
    <row r="2711" spans="1:9" x14ac:dyDescent="0.3">
      <c r="A2711">
        <v>2710</v>
      </c>
      <c r="B2711">
        <v>2019</v>
      </c>
      <c r="C2711">
        <v>3</v>
      </c>
      <c r="D2711">
        <v>1</v>
      </c>
      <c r="E2711" s="1">
        <v>-1.1759999999999999</v>
      </c>
      <c r="F2711" t="s">
        <v>26</v>
      </c>
      <c r="G2711" t="str">
        <f>_xlfn.XLOOKUP(transakcje[[#This Row],[podkategoria]],parametr[podkategoria],parametr[kategoria])</f>
        <v>życie</v>
      </c>
      <c r="H2711" t="str">
        <f>_xlfn.XLOOKUP(transakcje[[#This Row],[kategoria]],parametr[kategoria],parametr[typ])</f>
        <v>wydatki</v>
      </c>
      <c r="I2711" s="1">
        <f>ABS(transakcje[[#This Row],[kwota]])</f>
        <v>1.1759999999999999</v>
      </c>
    </row>
    <row r="2712" spans="1:9" x14ac:dyDescent="0.3">
      <c r="A2712">
        <v>2711</v>
      </c>
      <c r="B2712">
        <v>2019</v>
      </c>
      <c r="C2712">
        <v>3</v>
      </c>
      <c r="D2712">
        <v>2</v>
      </c>
      <c r="E2712" s="1">
        <v>-7.38</v>
      </c>
      <c r="F2712" t="s">
        <v>23</v>
      </c>
      <c r="G2712" t="str">
        <f>_xlfn.XLOOKUP(transakcje[[#This Row],[podkategoria]],parametr[podkategoria],parametr[kategoria])</f>
        <v>opłaty stałe</v>
      </c>
      <c r="H2712" t="str">
        <f>_xlfn.XLOOKUP(transakcje[[#This Row],[kategoria]],parametr[kategoria],parametr[typ])</f>
        <v>wydatki</v>
      </c>
      <c r="I2712" s="1">
        <f>ABS(transakcje[[#This Row],[kwota]])</f>
        <v>7.38</v>
      </c>
    </row>
    <row r="2713" spans="1:9" x14ac:dyDescent="0.3">
      <c r="A2713">
        <v>2712</v>
      </c>
      <c r="B2713">
        <v>2019</v>
      </c>
      <c r="C2713">
        <v>3</v>
      </c>
      <c r="D2713">
        <v>2</v>
      </c>
      <c r="E2713" s="1">
        <v>-6.1420000000000003</v>
      </c>
      <c r="F2713" t="s">
        <v>35</v>
      </c>
      <c r="G2713" t="str">
        <f>_xlfn.XLOOKUP(transakcje[[#This Row],[podkategoria]],parametr[podkategoria],parametr[kategoria])</f>
        <v>opłaty stałe</v>
      </c>
      <c r="H2713" t="str">
        <f>_xlfn.XLOOKUP(transakcje[[#This Row],[kategoria]],parametr[kategoria],parametr[typ])</f>
        <v>wydatki</v>
      </c>
      <c r="I2713" s="1">
        <f>ABS(transakcje[[#This Row],[kwota]])</f>
        <v>6.1420000000000003</v>
      </c>
    </row>
    <row r="2714" spans="1:9" x14ac:dyDescent="0.3">
      <c r="A2714">
        <v>2713</v>
      </c>
      <c r="B2714">
        <v>2019</v>
      </c>
      <c r="C2714">
        <v>3</v>
      </c>
      <c r="D2714">
        <v>2</v>
      </c>
      <c r="E2714" s="1">
        <v>-16.314</v>
      </c>
      <c r="F2714" t="s">
        <v>34</v>
      </c>
      <c r="G2714" t="str">
        <f>_xlfn.XLOOKUP(transakcje[[#This Row],[podkategoria]],parametr[podkategoria],parametr[kategoria])</f>
        <v>opłaty stałe</v>
      </c>
      <c r="H2714" t="str">
        <f>_xlfn.XLOOKUP(transakcje[[#This Row],[kategoria]],parametr[kategoria],parametr[typ])</f>
        <v>wydatki</v>
      </c>
      <c r="I2714" s="1">
        <f>ABS(transakcje[[#This Row],[kwota]])</f>
        <v>16.314</v>
      </c>
    </row>
    <row r="2715" spans="1:9" x14ac:dyDescent="0.3">
      <c r="A2715">
        <v>2714</v>
      </c>
      <c r="B2715">
        <v>2019</v>
      </c>
      <c r="C2715">
        <v>3</v>
      </c>
      <c r="D2715">
        <v>2</v>
      </c>
      <c r="E2715" s="1">
        <v>-71.738</v>
      </c>
      <c r="F2715" t="s">
        <v>31</v>
      </c>
      <c r="G2715" t="str">
        <f>_xlfn.XLOOKUP(transakcje[[#This Row],[podkategoria]],parametr[podkategoria],parametr[kategoria])</f>
        <v>opłaty stałe</v>
      </c>
      <c r="H2715" t="str">
        <f>_xlfn.XLOOKUP(transakcje[[#This Row],[kategoria]],parametr[kategoria],parametr[typ])</f>
        <v>wydatki</v>
      </c>
      <c r="I2715" s="1">
        <f>ABS(transakcje[[#This Row],[kwota]])</f>
        <v>71.738</v>
      </c>
    </row>
    <row r="2716" spans="1:9" x14ac:dyDescent="0.3">
      <c r="A2716">
        <v>2715</v>
      </c>
      <c r="B2716">
        <v>2019</v>
      </c>
      <c r="C2716">
        <v>3</v>
      </c>
      <c r="D2716">
        <v>2</v>
      </c>
      <c r="E2716" s="1">
        <v>-5.8</v>
      </c>
      <c r="F2716" t="s">
        <v>25</v>
      </c>
      <c r="G2716" t="str">
        <f>_xlfn.XLOOKUP(transakcje[[#This Row],[podkategoria]],parametr[podkategoria],parametr[kategoria])</f>
        <v>opłaty stałe</v>
      </c>
      <c r="H2716" t="str">
        <f>_xlfn.XLOOKUP(transakcje[[#This Row],[kategoria]],parametr[kategoria],parametr[typ])</f>
        <v>wydatki</v>
      </c>
      <c r="I2716" s="1">
        <f>ABS(transakcje[[#This Row],[kwota]])</f>
        <v>5.8</v>
      </c>
    </row>
    <row r="2717" spans="1:9" x14ac:dyDescent="0.3">
      <c r="A2717">
        <v>2716</v>
      </c>
      <c r="B2717">
        <v>2019</v>
      </c>
      <c r="C2717">
        <v>3</v>
      </c>
      <c r="D2717">
        <v>4</v>
      </c>
      <c r="E2717" s="1">
        <v>-1.6859999999999999</v>
      </c>
      <c r="F2717" t="s">
        <v>26</v>
      </c>
      <c r="G2717" t="str">
        <f>_xlfn.XLOOKUP(transakcje[[#This Row],[podkategoria]],parametr[podkategoria],parametr[kategoria])</f>
        <v>życie</v>
      </c>
      <c r="H2717" t="str">
        <f>_xlfn.XLOOKUP(transakcje[[#This Row],[kategoria]],parametr[kategoria],parametr[typ])</f>
        <v>wydatki</v>
      </c>
      <c r="I2717" s="1">
        <f>ABS(transakcje[[#This Row],[kwota]])</f>
        <v>1.6859999999999999</v>
      </c>
    </row>
    <row r="2718" spans="1:9" x14ac:dyDescent="0.3">
      <c r="A2718">
        <v>2717</v>
      </c>
      <c r="B2718">
        <v>2019</v>
      </c>
      <c r="C2718">
        <v>3</v>
      </c>
      <c r="D2718">
        <v>5</v>
      </c>
      <c r="E2718" s="1">
        <v>-11.187999999999999</v>
      </c>
      <c r="F2718" t="s">
        <v>26</v>
      </c>
      <c r="G2718" t="str">
        <f>_xlfn.XLOOKUP(transakcje[[#This Row],[podkategoria]],parametr[podkategoria],parametr[kategoria])</f>
        <v>życie</v>
      </c>
      <c r="H2718" t="str">
        <f>_xlfn.XLOOKUP(transakcje[[#This Row],[kategoria]],parametr[kategoria],parametr[typ])</f>
        <v>wydatki</v>
      </c>
      <c r="I2718" s="1">
        <f>ABS(transakcje[[#This Row],[kwota]])</f>
        <v>11.187999999999999</v>
      </c>
    </row>
    <row r="2719" spans="1:9" x14ac:dyDescent="0.3">
      <c r="A2719">
        <v>2718</v>
      </c>
      <c r="B2719">
        <v>2019</v>
      </c>
      <c r="C2719">
        <v>3</v>
      </c>
      <c r="D2719">
        <v>6</v>
      </c>
      <c r="E2719" s="1">
        <v>-13.187999999999999</v>
      </c>
      <c r="F2719" t="s">
        <v>26</v>
      </c>
      <c r="G2719" t="str">
        <f>_xlfn.XLOOKUP(transakcje[[#This Row],[podkategoria]],parametr[podkategoria],parametr[kategoria])</f>
        <v>życie</v>
      </c>
      <c r="H2719" t="str">
        <f>_xlfn.XLOOKUP(transakcje[[#This Row],[kategoria]],parametr[kategoria],parametr[typ])</f>
        <v>wydatki</v>
      </c>
      <c r="I2719" s="1">
        <f>ABS(transakcje[[#This Row],[kwota]])</f>
        <v>13.187999999999999</v>
      </c>
    </row>
    <row r="2720" spans="1:9" x14ac:dyDescent="0.3">
      <c r="A2720">
        <v>2719</v>
      </c>
      <c r="B2720">
        <v>2019</v>
      </c>
      <c r="C2720">
        <v>3</v>
      </c>
      <c r="D2720">
        <v>7</v>
      </c>
      <c r="E2720" s="1">
        <v>-2.7280000000000002</v>
      </c>
      <c r="F2720" t="s">
        <v>26</v>
      </c>
      <c r="G2720" t="str">
        <f>_xlfn.XLOOKUP(transakcje[[#This Row],[podkategoria]],parametr[podkategoria],parametr[kategoria])</f>
        <v>życie</v>
      </c>
      <c r="H2720" t="str">
        <f>_xlfn.XLOOKUP(transakcje[[#This Row],[kategoria]],parametr[kategoria],parametr[typ])</f>
        <v>wydatki</v>
      </c>
      <c r="I2720" s="1">
        <f>ABS(transakcje[[#This Row],[kwota]])</f>
        <v>2.7280000000000002</v>
      </c>
    </row>
    <row r="2721" spans="1:9" x14ac:dyDescent="0.3">
      <c r="A2721">
        <v>2720</v>
      </c>
      <c r="B2721">
        <v>2019</v>
      </c>
      <c r="C2721">
        <v>3</v>
      </c>
      <c r="D2721">
        <v>8</v>
      </c>
      <c r="E2721" s="1">
        <v>-1.3380000000000001</v>
      </c>
      <c r="F2721" t="s">
        <v>26</v>
      </c>
      <c r="G2721" t="str">
        <f>_xlfn.XLOOKUP(transakcje[[#This Row],[podkategoria]],parametr[podkategoria],parametr[kategoria])</f>
        <v>życie</v>
      </c>
      <c r="H2721" t="str">
        <f>_xlfn.XLOOKUP(transakcje[[#This Row],[kategoria]],parametr[kategoria],parametr[typ])</f>
        <v>wydatki</v>
      </c>
      <c r="I2721" s="1">
        <f>ABS(transakcje[[#This Row],[kwota]])</f>
        <v>1.3380000000000001</v>
      </c>
    </row>
    <row r="2722" spans="1:9" x14ac:dyDescent="0.3">
      <c r="A2722">
        <v>2721</v>
      </c>
      <c r="B2722">
        <v>2019</v>
      </c>
      <c r="C2722">
        <v>3</v>
      </c>
      <c r="D2722">
        <v>8</v>
      </c>
      <c r="E2722" s="1">
        <v>-1.9339999999999999</v>
      </c>
      <c r="F2722" t="s">
        <v>26</v>
      </c>
      <c r="G2722" t="str">
        <f>_xlfn.XLOOKUP(transakcje[[#This Row],[podkategoria]],parametr[podkategoria],parametr[kategoria])</f>
        <v>życie</v>
      </c>
      <c r="H2722" t="str">
        <f>_xlfn.XLOOKUP(transakcje[[#This Row],[kategoria]],parametr[kategoria],parametr[typ])</f>
        <v>wydatki</v>
      </c>
      <c r="I2722" s="1">
        <f>ABS(transakcje[[#This Row],[kwota]])</f>
        <v>1.9339999999999999</v>
      </c>
    </row>
    <row r="2723" spans="1:9" x14ac:dyDescent="0.3">
      <c r="A2723">
        <v>2722</v>
      </c>
      <c r="B2723">
        <v>2019</v>
      </c>
      <c r="C2723">
        <v>3</v>
      </c>
      <c r="D2723">
        <v>12</v>
      </c>
      <c r="E2723" s="1">
        <v>-0.39800000000000002</v>
      </c>
      <c r="F2723" t="s">
        <v>14</v>
      </c>
      <c r="G2723" t="str">
        <f>_xlfn.XLOOKUP(transakcje[[#This Row],[podkategoria]],parametr[podkategoria],parametr[kategoria])</f>
        <v>opłaty stałe</v>
      </c>
      <c r="H2723" t="str">
        <f>_xlfn.XLOOKUP(transakcje[[#This Row],[kategoria]],parametr[kategoria],parametr[typ])</f>
        <v>wydatki</v>
      </c>
      <c r="I2723" s="1">
        <f>ABS(transakcje[[#This Row],[kwota]])</f>
        <v>0.39800000000000002</v>
      </c>
    </row>
    <row r="2724" spans="1:9" x14ac:dyDescent="0.3">
      <c r="A2724">
        <v>2723</v>
      </c>
      <c r="B2724">
        <v>2019</v>
      </c>
      <c r="C2724">
        <v>3</v>
      </c>
      <c r="D2724">
        <v>13</v>
      </c>
      <c r="E2724" s="1">
        <v>-3.5960000000000001</v>
      </c>
      <c r="F2724" t="s">
        <v>20</v>
      </c>
      <c r="G2724" t="str">
        <f>_xlfn.XLOOKUP(transakcje[[#This Row],[podkategoria]],parametr[podkategoria],parametr[kategoria])</f>
        <v>trwałe</v>
      </c>
      <c r="H2724" t="str">
        <f>_xlfn.XLOOKUP(transakcje[[#This Row],[kategoria]],parametr[kategoria],parametr[typ])</f>
        <v>wydatki</v>
      </c>
      <c r="I2724" s="1">
        <f>ABS(transakcje[[#This Row],[kwota]])</f>
        <v>3.5960000000000001</v>
      </c>
    </row>
    <row r="2725" spans="1:9" x14ac:dyDescent="0.3">
      <c r="A2725">
        <v>2724</v>
      </c>
      <c r="B2725">
        <v>2019</v>
      </c>
      <c r="C2725">
        <v>3</v>
      </c>
      <c r="D2725">
        <v>14</v>
      </c>
      <c r="E2725" s="1">
        <v>-0.57800000000000007</v>
      </c>
      <c r="F2725" t="s">
        <v>26</v>
      </c>
      <c r="G2725" t="str">
        <f>_xlfn.XLOOKUP(transakcje[[#This Row],[podkategoria]],parametr[podkategoria],parametr[kategoria])</f>
        <v>życie</v>
      </c>
      <c r="H2725" t="str">
        <f>_xlfn.XLOOKUP(transakcje[[#This Row],[kategoria]],parametr[kategoria],parametr[typ])</f>
        <v>wydatki</v>
      </c>
      <c r="I2725" s="1">
        <f>ABS(transakcje[[#This Row],[kwota]])</f>
        <v>0.57800000000000007</v>
      </c>
    </row>
    <row r="2726" spans="1:9" x14ac:dyDescent="0.3">
      <c r="A2726">
        <v>2725</v>
      </c>
      <c r="B2726">
        <v>2019</v>
      </c>
      <c r="C2726">
        <v>3</v>
      </c>
      <c r="D2726">
        <v>14</v>
      </c>
      <c r="E2726" s="1">
        <v>-14.202000000000002</v>
      </c>
      <c r="F2726" t="s">
        <v>26</v>
      </c>
      <c r="G2726" t="str">
        <f>_xlfn.XLOOKUP(transakcje[[#This Row],[podkategoria]],parametr[podkategoria],parametr[kategoria])</f>
        <v>życie</v>
      </c>
      <c r="H2726" t="str">
        <f>_xlfn.XLOOKUP(transakcje[[#This Row],[kategoria]],parametr[kategoria],parametr[typ])</f>
        <v>wydatki</v>
      </c>
      <c r="I2726" s="1">
        <f>ABS(transakcje[[#This Row],[kwota]])</f>
        <v>14.202000000000002</v>
      </c>
    </row>
    <row r="2727" spans="1:9" x14ac:dyDescent="0.3">
      <c r="A2727">
        <v>2726</v>
      </c>
      <c r="B2727">
        <v>2019</v>
      </c>
      <c r="C2727">
        <v>3</v>
      </c>
      <c r="D2727">
        <v>15</v>
      </c>
      <c r="E2727" s="1">
        <v>-9.4779999999999998</v>
      </c>
      <c r="F2727" t="s">
        <v>26</v>
      </c>
      <c r="G2727" t="str">
        <f>_xlfn.XLOOKUP(transakcje[[#This Row],[podkategoria]],parametr[podkategoria],parametr[kategoria])</f>
        <v>życie</v>
      </c>
      <c r="H2727" t="str">
        <f>_xlfn.XLOOKUP(transakcje[[#This Row],[kategoria]],parametr[kategoria],parametr[typ])</f>
        <v>wydatki</v>
      </c>
      <c r="I2727" s="1">
        <f>ABS(transakcje[[#This Row],[kwota]])</f>
        <v>9.4779999999999998</v>
      </c>
    </row>
    <row r="2728" spans="1:9" x14ac:dyDescent="0.3">
      <c r="A2728">
        <v>2727</v>
      </c>
      <c r="B2728">
        <v>2019</v>
      </c>
      <c r="C2728">
        <v>3</v>
      </c>
      <c r="D2728">
        <v>16</v>
      </c>
      <c r="E2728" s="1">
        <v>-0.6</v>
      </c>
      <c r="F2728" t="s">
        <v>14</v>
      </c>
      <c r="G2728" t="str">
        <f>_xlfn.XLOOKUP(transakcje[[#This Row],[podkategoria]],parametr[podkategoria],parametr[kategoria])</f>
        <v>opłaty stałe</v>
      </c>
      <c r="H2728" t="str">
        <f>_xlfn.XLOOKUP(transakcje[[#This Row],[kategoria]],parametr[kategoria],parametr[typ])</f>
        <v>wydatki</v>
      </c>
      <c r="I2728" s="1">
        <f>ABS(transakcje[[#This Row],[kwota]])</f>
        <v>0.6</v>
      </c>
    </row>
    <row r="2729" spans="1:9" x14ac:dyDescent="0.3">
      <c r="A2729">
        <v>2728</v>
      </c>
      <c r="B2729">
        <v>2019</v>
      </c>
      <c r="C2729">
        <v>3</v>
      </c>
      <c r="D2729">
        <v>17</v>
      </c>
      <c r="E2729" s="1">
        <v>-8.6</v>
      </c>
      <c r="F2729" t="s">
        <v>11</v>
      </c>
      <c r="G2729" t="str">
        <f>_xlfn.XLOOKUP(transakcje[[#This Row],[podkategoria]],parametr[podkategoria],parametr[kategoria])</f>
        <v>wydatki inne</v>
      </c>
      <c r="H2729" t="str">
        <f>_xlfn.XLOOKUP(transakcje[[#This Row],[kategoria]],parametr[kategoria],parametr[typ])</f>
        <v>wydatki</v>
      </c>
      <c r="I2729" s="1">
        <f>ABS(transakcje[[#This Row],[kwota]])</f>
        <v>8.6</v>
      </c>
    </row>
    <row r="2730" spans="1:9" x14ac:dyDescent="0.3">
      <c r="A2730">
        <v>2729</v>
      </c>
      <c r="B2730">
        <v>2019</v>
      </c>
      <c r="C2730">
        <v>3</v>
      </c>
      <c r="D2730">
        <v>18</v>
      </c>
      <c r="E2730" s="1">
        <v>-13.040000000000001</v>
      </c>
      <c r="F2730" t="s">
        <v>26</v>
      </c>
      <c r="G2730" t="str">
        <f>_xlfn.XLOOKUP(transakcje[[#This Row],[podkategoria]],parametr[podkategoria],parametr[kategoria])</f>
        <v>życie</v>
      </c>
      <c r="H2730" t="str">
        <f>_xlfn.XLOOKUP(transakcje[[#This Row],[kategoria]],parametr[kategoria],parametr[typ])</f>
        <v>wydatki</v>
      </c>
      <c r="I2730" s="1">
        <f>ABS(transakcje[[#This Row],[kwota]])</f>
        <v>13.040000000000001</v>
      </c>
    </row>
    <row r="2731" spans="1:9" x14ac:dyDescent="0.3">
      <c r="A2731">
        <v>2730</v>
      </c>
      <c r="B2731">
        <v>2019</v>
      </c>
      <c r="C2731">
        <v>3</v>
      </c>
      <c r="D2731">
        <v>19</v>
      </c>
      <c r="E2731" s="1">
        <v>-2.6339999999999999</v>
      </c>
      <c r="F2731" t="s">
        <v>26</v>
      </c>
      <c r="G2731" t="str">
        <f>_xlfn.XLOOKUP(transakcje[[#This Row],[podkategoria]],parametr[podkategoria],parametr[kategoria])</f>
        <v>życie</v>
      </c>
      <c r="H2731" t="str">
        <f>_xlfn.XLOOKUP(transakcje[[#This Row],[kategoria]],parametr[kategoria],parametr[typ])</f>
        <v>wydatki</v>
      </c>
      <c r="I2731" s="1">
        <f>ABS(transakcje[[#This Row],[kwota]])</f>
        <v>2.6339999999999999</v>
      </c>
    </row>
    <row r="2732" spans="1:9" x14ac:dyDescent="0.3">
      <c r="A2732">
        <v>2731</v>
      </c>
      <c r="B2732">
        <v>2019</v>
      </c>
      <c r="C2732">
        <v>3</v>
      </c>
      <c r="D2732">
        <v>21</v>
      </c>
      <c r="E2732" s="1">
        <v>-4.2460000000000004</v>
      </c>
      <c r="F2732" t="s">
        <v>26</v>
      </c>
      <c r="G2732" t="str">
        <f>_xlfn.XLOOKUP(transakcje[[#This Row],[podkategoria]],parametr[podkategoria],parametr[kategoria])</f>
        <v>życie</v>
      </c>
      <c r="H2732" t="str">
        <f>_xlfn.XLOOKUP(transakcje[[#This Row],[kategoria]],parametr[kategoria],parametr[typ])</f>
        <v>wydatki</v>
      </c>
      <c r="I2732" s="1">
        <f>ABS(transakcje[[#This Row],[kwota]])</f>
        <v>4.2460000000000004</v>
      </c>
    </row>
    <row r="2733" spans="1:9" x14ac:dyDescent="0.3">
      <c r="A2733">
        <v>2732</v>
      </c>
      <c r="B2733">
        <v>2019</v>
      </c>
      <c r="C2733">
        <v>3</v>
      </c>
      <c r="D2733">
        <v>26</v>
      </c>
      <c r="E2733" s="1">
        <v>-19.8</v>
      </c>
      <c r="F2733" t="s">
        <v>32</v>
      </c>
      <c r="G2733" t="str">
        <f>_xlfn.XLOOKUP(transakcje[[#This Row],[podkategoria]],parametr[podkategoria],parametr[kategoria])</f>
        <v>opłaty stałe</v>
      </c>
      <c r="H2733" t="str">
        <f>_xlfn.XLOOKUP(transakcje[[#This Row],[kategoria]],parametr[kategoria],parametr[typ])</f>
        <v>wydatki</v>
      </c>
      <c r="I2733" s="1">
        <f>ABS(transakcje[[#This Row],[kwota]])</f>
        <v>19.8</v>
      </c>
    </row>
    <row r="2734" spans="1:9" x14ac:dyDescent="0.3">
      <c r="A2734">
        <v>2733</v>
      </c>
      <c r="B2734">
        <v>2019</v>
      </c>
      <c r="C2734">
        <v>3</v>
      </c>
      <c r="D2734">
        <v>27</v>
      </c>
      <c r="E2734" s="1">
        <v>-1.518</v>
      </c>
      <c r="F2734" t="s">
        <v>26</v>
      </c>
      <c r="G2734" t="str">
        <f>_xlfn.XLOOKUP(transakcje[[#This Row],[podkategoria]],parametr[podkategoria],parametr[kategoria])</f>
        <v>życie</v>
      </c>
      <c r="H2734" t="str">
        <f>_xlfn.XLOOKUP(transakcje[[#This Row],[kategoria]],parametr[kategoria],parametr[typ])</f>
        <v>wydatki</v>
      </c>
      <c r="I2734" s="1">
        <f>ABS(transakcje[[#This Row],[kwota]])</f>
        <v>1.518</v>
      </c>
    </row>
    <row r="2735" spans="1:9" x14ac:dyDescent="0.3">
      <c r="A2735">
        <v>2734</v>
      </c>
      <c r="B2735">
        <v>2019</v>
      </c>
      <c r="C2735">
        <v>3</v>
      </c>
      <c r="D2735">
        <v>28</v>
      </c>
      <c r="E2735" s="1">
        <v>641.08199999999999</v>
      </c>
      <c r="F2735" t="s">
        <v>8</v>
      </c>
      <c r="G2735" t="str">
        <f>_xlfn.XLOOKUP(transakcje[[#This Row],[podkategoria]],parametr[podkategoria],parametr[kategoria])</f>
        <v>dochody z pracy</v>
      </c>
      <c r="H2735" t="str">
        <f>_xlfn.XLOOKUP(transakcje[[#This Row],[kategoria]],parametr[kategoria],parametr[typ])</f>
        <v>dochody</v>
      </c>
      <c r="I2735" s="1">
        <f>ABS(transakcje[[#This Row],[kwota]])</f>
        <v>641.08199999999999</v>
      </c>
    </row>
    <row r="2736" spans="1:9" x14ac:dyDescent="0.3">
      <c r="A2736">
        <v>2735</v>
      </c>
      <c r="B2736">
        <v>2019</v>
      </c>
      <c r="C2736">
        <v>3</v>
      </c>
      <c r="D2736">
        <v>28</v>
      </c>
      <c r="E2736" s="1">
        <v>-13.536000000000001</v>
      </c>
      <c r="F2736" t="s">
        <v>26</v>
      </c>
      <c r="G2736" t="str">
        <f>_xlfn.XLOOKUP(transakcje[[#This Row],[podkategoria]],parametr[podkategoria],parametr[kategoria])</f>
        <v>życie</v>
      </c>
      <c r="H2736" t="str">
        <f>_xlfn.XLOOKUP(transakcje[[#This Row],[kategoria]],parametr[kategoria],parametr[typ])</f>
        <v>wydatki</v>
      </c>
      <c r="I2736" s="1">
        <f>ABS(transakcje[[#This Row],[kwota]])</f>
        <v>13.536000000000001</v>
      </c>
    </row>
    <row r="2737" spans="1:9" x14ac:dyDescent="0.3">
      <c r="A2737">
        <v>2736</v>
      </c>
      <c r="B2737">
        <v>2019</v>
      </c>
      <c r="C2737">
        <v>3</v>
      </c>
      <c r="D2737">
        <v>29</v>
      </c>
      <c r="E2737" s="1">
        <v>-1.454</v>
      </c>
      <c r="F2737" t="s">
        <v>26</v>
      </c>
      <c r="G2737" t="str">
        <f>_xlfn.XLOOKUP(transakcje[[#This Row],[podkategoria]],parametr[podkategoria],parametr[kategoria])</f>
        <v>życie</v>
      </c>
      <c r="H2737" t="str">
        <f>_xlfn.XLOOKUP(transakcje[[#This Row],[kategoria]],parametr[kategoria],parametr[typ])</f>
        <v>wydatki</v>
      </c>
      <c r="I2737" s="1">
        <f>ABS(transakcje[[#This Row],[kwota]])</f>
        <v>1.454</v>
      </c>
    </row>
    <row r="2738" spans="1:9" x14ac:dyDescent="0.3">
      <c r="A2738">
        <v>2737</v>
      </c>
      <c r="B2738">
        <v>2019</v>
      </c>
      <c r="C2738">
        <v>3</v>
      </c>
      <c r="D2738">
        <v>29</v>
      </c>
      <c r="E2738" s="1">
        <v>-0.59800000000000009</v>
      </c>
      <c r="F2738" t="s">
        <v>26</v>
      </c>
      <c r="G2738" t="str">
        <f>_xlfn.XLOOKUP(transakcje[[#This Row],[podkategoria]],parametr[podkategoria],parametr[kategoria])</f>
        <v>życie</v>
      </c>
      <c r="H2738" t="str">
        <f>_xlfn.XLOOKUP(transakcje[[#This Row],[kategoria]],parametr[kategoria],parametr[typ])</f>
        <v>wydatki</v>
      </c>
      <c r="I2738" s="1">
        <f>ABS(transakcje[[#This Row],[kwota]])</f>
        <v>0.59800000000000009</v>
      </c>
    </row>
    <row r="2739" spans="1:9" x14ac:dyDescent="0.3">
      <c r="A2739">
        <v>2738</v>
      </c>
      <c r="B2739">
        <v>2019</v>
      </c>
      <c r="C2739">
        <v>3</v>
      </c>
      <c r="D2739">
        <v>30</v>
      </c>
      <c r="E2739" s="1">
        <v>-0.8</v>
      </c>
      <c r="F2739" t="s">
        <v>14</v>
      </c>
      <c r="G2739" t="str">
        <f>_xlfn.XLOOKUP(transakcje[[#This Row],[podkategoria]],parametr[podkategoria],parametr[kategoria])</f>
        <v>opłaty stałe</v>
      </c>
      <c r="H2739" t="str">
        <f>_xlfn.XLOOKUP(transakcje[[#This Row],[kategoria]],parametr[kategoria],parametr[typ])</f>
        <v>wydatki</v>
      </c>
      <c r="I2739" s="1">
        <f>ABS(transakcje[[#This Row],[kwota]])</f>
        <v>0.8</v>
      </c>
    </row>
    <row r="2740" spans="1:9" x14ac:dyDescent="0.3">
      <c r="A2740">
        <v>2739</v>
      </c>
      <c r="B2740">
        <v>2019</v>
      </c>
      <c r="C2740">
        <v>3</v>
      </c>
      <c r="D2740">
        <v>30</v>
      </c>
      <c r="E2740" s="1">
        <v>-22.5</v>
      </c>
      <c r="F2740" t="s">
        <v>11</v>
      </c>
      <c r="G2740" t="str">
        <f>_xlfn.XLOOKUP(transakcje[[#This Row],[podkategoria]],parametr[podkategoria],parametr[kategoria])</f>
        <v>wydatki inne</v>
      </c>
      <c r="H2740" t="str">
        <f>_xlfn.XLOOKUP(transakcje[[#This Row],[kategoria]],parametr[kategoria],parametr[typ])</f>
        <v>wydatki</v>
      </c>
      <c r="I2740" s="1">
        <f>ABS(transakcje[[#This Row],[kwota]])</f>
        <v>22.5</v>
      </c>
    </row>
    <row r="2741" spans="1:9" x14ac:dyDescent="0.3">
      <c r="A2741">
        <v>2740</v>
      </c>
      <c r="B2741">
        <v>2019</v>
      </c>
      <c r="C2741">
        <v>3</v>
      </c>
      <c r="D2741">
        <v>30</v>
      </c>
      <c r="E2741" s="1">
        <v>4.0000000000000001E-3</v>
      </c>
      <c r="F2741" t="s">
        <v>17</v>
      </c>
      <c r="G2741" t="str">
        <f>_xlfn.XLOOKUP(transakcje[[#This Row],[podkategoria]],parametr[podkategoria],parametr[kategoria])</f>
        <v>dochody pozostałe</v>
      </c>
      <c r="H2741" t="str">
        <f>_xlfn.XLOOKUP(transakcje[[#This Row],[kategoria]],parametr[kategoria],parametr[typ])</f>
        <v>dochody</v>
      </c>
      <c r="I2741" s="1">
        <f>ABS(transakcje[[#This Row],[kwota]])</f>
        <v>4.0000000000000001E-3</v>
      </c>
    </row>
    <row r="2742" spans="1:9" x14ac:dyDescent="0.3">
      <c r="A2742">
        <v>2741</v>
      </c>
      <c r="B2742">
        <v>2019</v>
      </c>
      <c r="C2742">
        <v>3</v>
      </c>
      <c r="D2742">
        <v>30</v>
      </c>
      <c r="E2742" s="1">
        <v>-2E-3</v>
      </c>
      <c r="F2742" t="s">
        <v>14</v>
      </c>
      <c r="G2742" t="str">
        <f>_xlfn.XLOOKUP(transakcje[[#This Row],[podkategoria]],parametr[podkategoria],parametr[kategoria])</f>
        <v>opłaty stałe</v>
      </c>
      <c r="H2742" t="str">
        <f>_xlfn.XLOOKUP(transakcje[[#This Row],[kategoria]],parametr[kategoria],parametr[typ])</f>
        <v>wydatki</v>
      </c>
      <c r="I2742" s="1">
        <f>ABS(transakcje[[#This Row],[kwota]])</f>
        <v>2E-3</v>
      </c>
    </row>
    <row r="2743" spans="1:9" x14ac:dyDescent="0.3">
      <c r="A2743">
        <v>2742</v>
      </c>
      <c r="B2743">
        <v>2019</v>
      </c>
      <c r="C2743">
        <v>4</v>
      </c>
      <c r="D2743">
        <v>1</v>
      </c>
      <c r="E2743" s="1">
        <v>-7.38</v>
      </c>
      <c r="F2743" t="s">
        <v>23</v>
      </c>
      <c r="G2743" t="str">
        <f>_xlfn.XLOOKUP(transakcje[[#This Row],[podkategoria]],parametr[podkategoria],parametr[kategoria])</f>
        <v>opłaty stałe</v>
      </c>
      <c r="H2743" t="str">
        <f>_xlfn.XLOOKUP(transakcje[[#This Row],[kategoria]],parametr[kategoria],parametr[typ])</f>
        <v>wydatki</v>
      </c>
      <c r="I2743" s="1">
        <f>ABS(transakcje[[#This Row],[kwota]])</f>
        <v>7.38</v>
      </c>
    </row>
    <row r="2744" spans="1:9" x14ac:dyDescent="0.3">
      <c r="A2744">
        <v>2743</v>
      </c>
      <c r="B2744">
        <v>2019</v>
      </c>
      <c r="C2744">
        <v>4</v>
      </c>
      <c r="D2744">
        <v>1</v>
      </c>
      <c r="E2744" s="1">
        <v>-1.198</v>
      </c>
      <c r="F2744" t="s">
        <v>14</v>
      </c>
      <c r="G2744" t="str">
        <f>_xlfn.XLOOKUP(transakcje[[#This Row],[podkategoria]],parametr[podkategoria],parametr[kategoria])</f>
        <v>opłaty stałe</v>
      </c>
      <c r="H2744" t="str">
        <f>_xlfn.XLOOKUP(transakcje[[#This Row],[kategoria]],parametr[kategoria],parametr[typ])</f>
        <v>wydatki</v>
      </c>
      <c r="I2744" s="1">
        <f>ABS(transakcje[[#This Row],[kwota]])</f>
        <v>1.198</v>
      </c>
    </row>
    <row r="2745" spans="1:9" x14ac:dyDescent="0.3">
      <c r="A2745">
        <v>2744</v>
      </c>
      <c r="B2745">
        <v>2019</v>
      </c>
      <c r="C2745">
        <v>4</v>
      </c>
      <c r="D2745">
        <v>1</v>
      </c>
      <c r="E2745" s="1">
        <v>-71.738</v>
      </c>
      <c r="F2745" t="s">
        <v>31</v>
      </c>
      <c r="G2745" t="str">
        <f>_xlfn.XLOOKUP(transakcje[[#This Row],[podkategoria]],parametr[podkategoria],parametr[kategoria])</f>
        <v>opłaty stałe</v>
      </c>
      <c r="H2745" t="str">
        <f>_xlfn.XLOOKUP(transakcje[[#This Row],[kategoria]],parametr[kategoria],parametr[typ])</f>
        <v>wydatki</v>
      </c>
      <c r="I2745" s="1">
        <f>ABS(transakcje[[#This Row],[kwota]])</f>
        <v>71.738</v>
      </c>
    </row>
    <row r="2746" spans="1:9" x14ac:dyDescent="0.3">
      <c r="A2746">
        <v>2745</v>
      </c>
      <c r="B2746">
        <v>2019</v>
      </c>
      <c r="C2746">
        <v>4</v>
      </c>
      <c r="D2746">
        <v>1</v>
      </c>
      <c r="E2746" s="1">
        <v>-5.96</v>
      </c>
      <c r="F2746" t="s">
        <v>25</v>
      </c>
      <c r="G2746" t="str">
        <f>_xlfn.XLOOKUP(transakcje[[#This Row],[podkategoria]],parametr[podkategoria],parametr[kategoria])</f>
        <v>opłaty stałe</v>
      </c>
      <c r="H2746" t="str">
        <f>_xlfn.XLOOKUP(transakcje[[#This Row],[kategoria]],parametr[kategoria],parametr[typ])</f>
        <v>wydatki</v>
      </c>
      <c r="I2746" s="1">
        <f>ABS(transakcje[[#This Row],[kwota]])</f>
        <v>5.96</v>
      </c>
    </row>
    <row r="2747" spans="1:9" x14ac:dyDescent="0.3">
      <c r="A2747">
        <v>2746</v>
      </c>
      <c r="B2747">
        <v>2019</v>
      </c>
      <c r="C2747">
        <v>4</v>
      </c>
      <c r="D2747">
        <v>1</v>
      </c>
      <c r="E2747" s="1">
        <v>-17.125999999999998</v>
      </c>
      <c r="F2747" t="s">
        <v>26</v>
      </c>
      <c r="G2747" t="str">
        <f>_xlfn.XLOOKUP(transakcje[[#This Row],[podkategoria]],parametr[podkategoria],parametr[kategoria])</f>
        <v>życie</v>
      </c>
      <c r="H2747" t="str">
        <f>_xlfn.XLOOKUP(transakcje[[#This Row],[kategoria]],parametr[kategoria],parametr[typ])</f>
        <v>wydatki</v>
      </c>
      <c r="I2747" s="1">
        <f>ABS(transakcje[[#This Row],[kwota]])</f>
        <v>17.125999999999998</v>
      </c>
    </row>
    <row r="2748" spans="1:9" x14ac:dyDescent="0.3">
      <c r="A2748">
        <v>2747</v>
      </c>
      <c r="B2748">
        <v>2019</v>
      </c>
      <c r="C2748">
        <v>4</v>
      </c>
      <c r="D2748">
        <v>2</v>
      </c>
      <c r="E2748" s="1">
        <v>-0.87799999999999989</v>
      </c>
      <c r="F2748" t="s">
        <v>26</v>
      </c>
      <c r="G2748" t="str">
        <f>_xlfn.XLOOKUP(transakcje[[#This Row],[podkategoria]],parametr[podkategoria],parametr[kategoria])</f>
        <v>życie</v>
      </c>
      <c r="H2748" t="str">
        <f>_xlfn.XLOOKUP(transakcje[[#This Row],[kategoria]],parametr[kategoria],parametr[typ])</f>
        <v>wydatki</v>
      </c>
      <c r="I2748" s="1">
        <f>ABS(transakcje[[#This Row],[kwota]])</f>
        <v>0.87799999999999989</v>
      </c>
    </row>
    <row r="2749" spans="1:9" x14ac:dyDescent="0.3">
      <c r="A2749">
        <v>2748</v>
      </c>
      <c r="B2749">
        <v>2019</v>
      </c>
      <c r="C2749">
        <v>4</v>
      </c>
      <c r="D2749">
        <v>4</v>
      </c>
      <c r="E2749" s="1">
        <v>-0.318</v>
      </c>
      <c r="F2749" t="s">
        <v>26</v>
      </c>
      <c r="G2749" t="str">
        <f>_xlfn.XLOOKUP(transakcje[[#This Row],[podkategoria]],parametr[podkategoria],parametr[kategoria])</f>
        <v>życie</v>
      </c>
      <c r="H2749" t="str">
        <f>_xlfn.XLOOKUP(transakcje[[#This Row],[kategoria]],parametr[kategoria],parametr[typ])</f>
        <v>wydatki</v>
      </c>
      <c r="I2749" s="1">
        <f>ABS(transakcje[[#This Row],[kwota]])</f>
        <v>0.318</v>
      </c>
    </row>
    <row r="2750" spans="1:9" x14ac:dyDescent="0.3">
      <c r="A2750">
        <v>2749</v>
      </c>
      <c r="B2750">
        <v>2019</v>
      </c>
      <c r="C2750">
        <v>4</v>
      </c>
      <c r="D2750">
        <v>4</v>
      </c>
      <c r="E2750" s="1">
        <v>-0.48</v>
      </c>
      <c r="F2750" t="s">
        <v>26</v>
      </c>
      <c r="G2750" t="str">
        <f>_xlfn.XLOOKUP(transakcje[[#This Row],[podkategoria]],parametr[podkategoria],parametr[kategoria])</f>
        <v>życie</v>
      </c>
      <c r="H2750" t="str">
        <f>_xlfn.XLOOKUP(transakcje[[#This Row],[kategoria]],parametr[kategoria],parametr[typ])</f>
        <v>wydatki</v>
      </c>
      <c r="I2750" s="1">
        <f>ABS(transakcje[[#This Row],[kwota]])</f>
        <v>0.48</v>
      </c>
    </row>
    <row r="2751" spans="1:9" x14ac:dyDescent="0.3">
      <c r="A2751">
        <v>2750</v>
      </c>
      <c r="B2751">
        <v>2019</v>
      </c>
      <c r="C2751">
        <v>4</v>
      </c>
      <c r="D2751">
        <v>6</v>
      </c>
      <c r="E2751" s="1">
        <v>-15.841999999999999</v>
      </c>
      <c r="F2751" t="s">
        <v>26</v>
      </c>
      <c r="G2751" t="str">
        <f>_xlfn.XLOOKUP(transakcje[[#This Row],[podkategoria]],parametr[podkategoria],parametr[kategoria])</f>
        <v>życie</v>
      </c>
      <c r="H2751" t="str">
        <f>_xlfn.XLOOKUP(transakcje[[#This Row],[kategoria]],parametr[kategoria],parametr[typ])</f>
        <v>wydatki</v>
      </c>
      <c r="I2751" s="1">
        <f>ABS(transakcje[[#This Row],[kwota]])</f>
        <v>15.841999999999999</v>
      </c>
    </row>
    <row r="2752" spans="1:9" x14ac:dyDescent="0.3">
      <c r="A2752">
        <v>2751</v>
      </c>
      <c r="B2752">
        <v>2019</v>
      </c>
      <c r="C2752">
        <v>4</v>
      </c>
      <c r="D2752">
        <v>9</v>
      </c>
      <c r="E2752" s="1">
        <v>-20</v>
      </c>
      <c r="F2752" t="s">
        <v>26</v>
      </c>
      <c r="G2752" t="str">
        <f>_xlfn.XLOOKUP(transakcje[[#This Row],[podkategoria]],parametr[podkategoria],parametr[kategoria])</f>
        <v>życie</v>
      </c>
      <c r="H2752" t="str">
        <f>_xlfn.XLOOKUP(transakcje[[#This Row],[kategoria]],parametr[kategoria],parametr[typ])</f>
        <v>wydatki</v>
      </c>
      <c r="I2752" s="1">
        <f>ABS(transakcje[[#This Row],[kwota]])</f>
        <v>20</v>
      </c>
    </row>
    <row r="2753" spans="1:9" x14ac:dyDescent="0.3">
      <c r="A2753">
        <v>2752</v>
      </c>
      <c r="B2753">
        <v>2019</v>
      </c>
      <c r="C2753">
        <v>4</v>
      </c>
      <c r="D2753">
        <v>11</v>
      </c>
      <c r="E2753" s="1">
        <v>-3.0979999999999999</v>
      </c>
      <c r="F2753" t="s">
        <v>26</v>
      </c>
      <c r="G2753" t="str">
        <f>_xlfn.XLOOKUP(transakcje[[#This Row],[podkategoria]],parametr[podkategoria],parametr[kategoria])</f>
        <v>życie</v>
      </c>
      <c r="H2753" t="str">
        <f>_xlfn.XLOOKUP(transakcje[[#This Row],[kategoria]],parametr[kategoria],parametr[typ])</f>
        <v>wydatki</v>
      </c>
      <c r="I2753" s="1">
        <f>ABS(transakcje[[#This Row],[kwota]])</f>
        <v>3.0979999999999999</v>
      </c>
    </row>
    <row r="2754" spans="1:9" x14ac:dyDescent="0.3">
      <c r="A2754">
        <v>2753</v>
      </c>
      <c r="B2754">
        <v>2019</v>
      </c>
      <c r="C2754">
        <v>4</v>
      </c>
      <c r="D2754">
        <v>16</v>
      </c>
      <c r="E2754" s="1">
        <v>-0.39800000000000002</v>
      </c>
      <c r="F2754" t="s">
        <v>14</v>
      </c>
      <c r="G2754" t="str">
        <f>_xlfn.XLOOKUP(transakcje[[#This Row],[podkategoria]],parametr[podkategoria],parametr[kategoria])</f>
        <v>opłaty stałe</v>
      </c>
      <c r="H2754" t="str">
        <f>_xlfn.XLOOKUP(transakcje[[#This Row],[kategoria]],parametr[kategoria],parametr[typ])</f>
        <v>wydatki</v>
      </c>
      <c r="I2754" s="1">
        <f>ABS(transakcje[[#This Row],[kwota]])</f>
        <v>0.39800000000000002</v>
      </c>
    </row>
    <row r="2755" spans="1:9" x14ac:dyDescent="0.3">
      <c r="A2755">
        <v>2754</v>
      </c>
      <c r="B2755">
        <v>2019</v>
      </c>
      <c r="C2755">
        <v>4</v>
      </c>
      <c r="D2755">
        <v>16</v>
      </c>
      <c r="E2755" s="1">
        <v>-13.634</v>
      </c>
      <c r="F2755" t="s">
        <v>26</v>
      </c>
      <c r="G2755" t="str">
        <f>_xlfn.XLOOKUP(transakcje[[#This Row],[podkategoria]],parametr[podkategoria],parametr[kategoria])</f>
        <v>życie</v>
      </c>
      <c r="H2755" t="str">
        <f>_xlfn.XLOOKUP(transakcje[[#This Row],[kategoria]],parametr[kategoria],parametr[typ])</f>
        <v>wydatki</v>
      </c>
      <c r="I2755" s="1">
        <f>ABS(transakcje[[#This Row],[kwota]])</f>
        <v>13.634</v>
      </c>
    </row>
    <row r="2756" spans="1:9" x14ac:dyDescent="0.3">
      <c r="A2756">
        <v>2755</v>
      </c>
      <c r="B2756">
        <v>2019</v>
      </c>
      <c r="C2756">
        <v>4</v>
      </c>
      <c r="D2756">
        <v>17</v>
      </c>
      <c r="E2756" s="1">
        <v>-0.66799999999999993</v>
      </c>
      <c r="F2756" t="s">
        <v>26</v>
      </c>
      <c r="G2756" t="str">
        <f>_xlfn.XLOOKUP(transakcje[[#This Row],[podkategoria]],parametr[podkategoria],parametr[kategoria])</f>
        <v>życie</v>
      </c>
      <c r="H2756" t="str">
        <f>_xlfn.XLOOKUP(transakcje[[#This Row],[kategoria]],parametr[kategoria],parametr[typ])</f>
        <v>wydatki</v>
      </c>
      <c r="I2756" s="1">
        <f>ABS(transakcje[[#This Row],[kwota]])</f>
        <v>0.66799999999999993</v>
      </c>
    </row>
    <row r="2757" spans="1:9" x14ac:dyDescent="0.3">
      <c r="A2757">
        <v>2756</v>
      </c>
      <c r="B2757">
        <v>2019</v>
      </c>
      <c r="C2757">
        <v>4</v>
      </c>
      <c r="D2757">
        <v>17</v>
      </c>
      <c r="E2757" s="1">
        <v>-0.3</v>
      </c>
      <c r="F2757" t="s">
        <v>26</v>
      </c>
      <c r="G2757" t="str">
        <f>_xlfn.XLOOKUP(transakcje[[#This Row],[podkategoria]],parametr[podkategoria],parametr[kategoria])</f>
        <v>życie</v>
      </c>
      <c r="H2757" t="str">
        <f>_xlfn.XLOOKUP(transakcje[[#This Row],[kategoria]],parametr[kategoria],parametr[typ])</f>
        <v>wydatki</v>
      </c>
      <c r="I2757" s="1">
        <f>ABS(transakcje[[#This Row],[kwota]])</f>
        <v>0.3</v>
      </c>
    </row>
    <row r="2758" spans="1:9" x14ac:dyDescent="0.3">
      <c r="A2758">
        <v>2757</v>
      </c>
      <c r="B2758">
        <v>2019</v>
      </c>
      <c r="C2758">
        <v>4</v>
      </c>
      <c r="D2758">
        <v>18</v>
      </c>
      <c r="E2758" s="1">
        <v>-4</v>
      </c>
      <c r="F2758" t="s">
        <v>11</v>
      </c>
      <c r="G2758" t="str">
        <f>_xlfn.XLOOKUP(transakcje[[#This Row],[podkategoria]],parametr[podkategoria],parametr[kategoria])</f>
        <v>wydatki inne</v>
      </c>
      <c r="H2758" t="str">
        <f>_xlfn.XLOOKUP(transakcje[[#This Row],[kategoria]],parametr[kategoria],parametr[typ])</f>
        <v>wydatki</v>
      </c>
      <c r="I2758" s="1">
        <f>ABS(transakcje[[#This Row],[kwota]])</f>
        <v>4</v>
      </c>
    </row>
    <row r="2759" spans="1:9" x14ac:dyDescent="0.3">
      <c r="A2759">
        <v>2758</v>
      </c>
      <c r="B2759">
        <v>2019</v>
      </c>
      <c r="C2759">
        <v>4</v>
      </c>
      <c r="D2759">
        <v>26</v>
      </c>
      <c r="E2759" s="1">
        <v>641.08199999999999</v>
      </c>
      <c r="F2759" t="s">
        <v>8</v>
      </c>
      <c r="G2759" t="str">
        <f>_xlfn.XLOOKUP(transakcje[[#This Row],[podkategoria]],parametr[podkategoria],parametr[kategoria])</f>
        <v>dochody z pracy</v>
      </c>
      <c r="H2759" t="str">
        <f>_xlfn.XLOOKUP(transakcje[[#This Row],[kategoria]],parametr[kategoria],parametr[typ])</f>
        <v>dochody</v>
      </c>
      <c r="I2759" s="1">
        <f>ABS(transakcje[[#This Row],[kwota]])</f>
        <v>641.08199999999999</v>
      </c>
    </row>
    <row r="2760" spans="1:9" x14ac:dyDescent="0.3">
      <c r="A2760">
        <v>2759</v>
      </c>
      <c r="B2760">
        <v>2019</v>
      </c>
      <c r="C2760">
        <v>4</v>
      </c>
      <c r="D2760">
        <v>27</v>
      </c>
      <c r="E2760" s="1">
        <v>-8.6</v>
      </c>
      <c r="F2760" t="s">
        <v>11</v>
      </c>
      <c r="G2760" t="str">
        <f>_xlfn.XLOOKUP(transakcje[[#This Row],[podkategoria]],parametr[podkategoria],parametr[kategoria])</f>
        <v>wydatki inne</v>
      </c>
      <c r="H2760" t="str">
        <f>_xlfn.XLOOKUP(transakcje[[#This Row],[kategoria]],parametr[kategoria],parametr[typ])</f>
        <v>wydatki</v>
      </c>
      <c r="I2760" s="1">
        <f>ABS(transakcje[[#This Row],[kwota]])</f>
        <v>8.6</v>
      </c>
    </row>
    <row r="2761" spans="1:9" x14ac:dyDescent="0.3">
      <c r="A2761">
        <v>2760</v>
      </c>
      <c r="B2761">
        <v>2019</v>
      </c>
      <c r="C2761">
        <v>4</v>
      </c>
      <c r="D2761">
        <v>27</v>
      </c>
      <c r="E2761" s="1">
        <v>-20.399999999999999</v>
      </c>
      <c r="F2761" t="s">
        <v>32</v>
      </c>
      <c r="G2761" t="str">
        <f>_xlfn.XLOOKUP(transakcje[[#This Row],[podkategoria]],parametr[podkategoria],parametr[kategoria])</f>
        <v>opłaty stałe</v>
      </c>
      <c r="H2761" t="str">
        <f>_xlfn.XLOOKUP(transakcje[[#This Row],[kategoria]],parametr[kategoria],parametr[typ])</f>
        <v>wydatki</v>
      </c>
      <c r="I2761" s="1">
        <f>ABS(transakcje[[#This Row],[kwota]])</f>
        <v>20.399999999999999</v>
      </c>
    </row>
    <row r="2762" spans="1:9" x14ac:dyDescent="0.3">
      <c r="A2762">
        <v>2761</v>
      </c>
      <c r="B2762">
        <v>2019</v>
      </c>
      <c r="C2762">
        <v>4</v>
      </c>
      <c r="D2762">
        <v>29</v>
      </c>
      <c r="E2762" s="1">
        <v>-12.68</v>
      </c>
      <c r="F2762" t="s">
        <v>26</v>
      </c>
      <c r="G2762" t="str">
        <f>_xlfn.XLOOKUP(transakcje[[#This Row],[podkategoria]],parametr[podkategoria],parametr[kategoria])</f>
        <v>życie</v>
      </c>
      <c r="H2762" t="str">
        <f>_xlfn.XLOOKUP(transakcje[[#This Row],[kategoria]],parametr[kategoria],parametr[typ])</f>
        <v>wydatki</v>
      </c>
      <c r="I2762" s="1">
        <f>ABS(transakcje[[#This Row],[kwota]])</f>
        <v>12.68</v>
      </c>
    </row>
    <row r="2763" spans="1:9" x14ac:dyDescent="0.3">
      <c r="A2763">
        <v>2762</v>
      </c>
      <c r="B2763">
        <v>2019</v>
      </c>
      <c r="C2763">
        <v>4</v>
      </c>
      <c r="D2763">
        <v>29</v>
      </c>
      <c r="E2763" s="1">
        <v>-3.7399999999999998</v>
      </c>
      <c r="F2763" t="s">
        <v>26</v>
      </c>
      <c r="G2763" t="str">
        <f>_xlfn.XLOOKUP(transakcje[[#This Row],[podkategoria]],parametr[podkategoria],parametr[kategoria])</f>
        <v>życie</v>
      </c>
      <c r="H2763" t="str">
        <f>_xlfn.XLOOKUP(transakcje[[#This Row],[kategoria]],parametr[kategoria],parametr[typ])</f>
        <v>wydatki</v>
      </c>
      <c r="I2763" s="1">
        <f>ABS(transakcje[[#This Row],[kwota]])</f>
        <v>3.7399999999999998</v>
      </c>
    </row>
    <row r="2764" spans="1:9" x14ac:dyDescent="0.3">
      <c r="A2764">
        <v>2763</v>
      </c>
      <c r="B2764">
        <v>2019</v>
      </c>
      <c r="C2764">
        <v>4</v>
      </c>
      <c r="D2764">
        <v>30</v>
      </c>
      <c r="E2764" s="1">
        <v>-1.198</v>
      </c>
      <c r="F2764" t="s">
        <v>14</v>
      </c>
      <c r="G2764" t="str">
        <f>_xlfn.XLOOKUP(transakcje[[#This Row],[podkategoria]],parametr[podkategoria],parametr[kategoria])</f>
        <v>opłaty stałe</v>
      </c>
      <c r="H2764" t="str">
        <f>_xlfn.XLOOKUP(transakcje[[#This Row],[kategoria]],parametr[kategoria],parametr[typ])</f>
        <v>wydatki</v>
      </c>
      <c r="I2764" s="1">
        <f>ABS(transakcje[[#This Row],[kwota]])</f>
        <v>1.198</v>
      </c>
    </row>
    <row r="2765" spans="1:9" x14ac:dyDescent="0.3">
      <c r="A2765">
        <v>2764</v>
      </c>
      <c r="B2765">
        <v>2019</v>
      </c>
      <c r="C2765">
        <v>4</v>
      </c>
      <c r="D2765">
        <v>30</v>
      </c>
      <c r="E2765" s="1">
        <v>4.0000000000000001E-3</v>
      </c>
      <c r="F2765" t="s">
        <v>17</v>
      </c>
      <c r="G2765" t="str">
        <f>_xlfn.XLOOKUP(transakcje[[#This Row],[podkategoria]],parametr[podkategoria],parametr[kategoria])</f>
        <v>dochody pozostałe</v>
      </c>
      <c r="H2765" t="str">
        <f>_xlfn.XLOOKUP(transakcje[[#This Row],[kategoria]],parametr[kategoria],parametr[typ])</f>
        <v>dochody</v>
      </c>
      <c r="I2765" s="1">
        <f>ABS(transakcje[[#This Row],[kwota]])</f>
        <v>4.0000000000000001E-3</v>
      </c>
    </row>
    <row r="2766" spans="1:9" x14ac:dyDescent="0.3">
      <c r="A2766">
        <v>2765</v>
      </c>
      <c r="B2766">
        <v>2019</v>
      </c>
      <c r="C2766">
        <v>4</v>
      </c>
      <c r="D2766">
        <v>30</v>
      </c>
      <c r="E2766" s="1">
        <v>-2E-3</v>
      </c>
      <c r="F2766" t="s">
        <v>14</v>
      </c>
      <c r="G2766" t="str">
        <f>_xlfn.XLOOKUP(transakcje[[#This Row],[podkategoria]],parametr[podkategoria],parametr[kategoria])</f>
        <v>opłaty stałe</v>
      </c>
      <c r="H2766" t="str">
        <f>_xlfn.XLOOKUP(transakcje[[#This Row],[kategoria]],parametr[kategoria],parametr[typ])</f>
        <v>wydatki</v>
      </c>
      <c r="I2766" s="1">
        <f>ABS(transakcje[[#This Row],[kwota]])</f>
        <v>2E-3</v>
      </c>
    </row>
    <row r="2767" spans="1:9" x14ac:dyDescent="0.3">
      <c r="A2767">
        <v>2766</v>
      </c>
      <c r="B2767">
        <v>2019</v>
      </c>
      <c r="C2767">
        <v>5</v>
      </c>
      <c r="D2767">
        <v>2</v>
      </c>
      <c r="E2767" s="1">
        <v>-5.8</v>
      </c>
      <c r="F2767" t="s">
        <v>25</v>
      </c>
      <c r="G2767" t="str">
        <f>_xlfn.XLOOKUP(transakcje[[#This Row],[podkategoria]],parametr[podkategoria],parametr[kategoria])</f>
        <v>opłaty stałe</v>
      </c>
      <c r="H2767" t="str">
        <f>_xlfn.XLOOKUP(transakcje[[#This Row],[kategoria]],parametr[kategoria],parametr[typ])</f>
        <v>wydatki</v>
      </c>
      <c r="I2767" s="1">
        <f>ABS(transakcje[[#This Row],[kwota]])</f>
        <v>5.8</v>
      </c>
    </row>
    <row r="2768" spans="1:9" x14ac:dyDescent="0.3">
      <c r="A2768">
        <v>2767</v>
      </c>
      <c r="B2768">
        <v>2019</v>
      </c>
      <c r="C2768">
        <v>5</v>
      </c>
      <c r="D2768">
        <v>2</v>
      </c>
      <c r="E2768" s="1">
        <v>-69.998000000000005</v>
      </c>
      <c r="F2768" t="s">
        <v>11</v>
      </c>
      <c r="G2768" t="str">
        <f>_xlfn.XLOOKUP(transakcje[[#This Row],[podkategoria]],parametr[podkategoria],parametr[kategoria])</f>
        <v>wydatki inne</v>
      </c>
      <c r="H2768" t="str">
        <f>_xlfn.XLOOKUP(transakcje[[#This Row],[kategoria]],parametr[kategoria],parametr[typ])</f>
        <v>wydatki</v>
      </c>
      <c r="I2768" s="1">
        <f>ABS(transakcje[[#This Row],[kwota]])</f>
        <v>69.998000000000005</v>
      </c>
    </row>
    <row r="2769" spans="1:9" x14ac:dyDescent="0.3">
      <c r="A2769">
        <v>2768</v>
      </c>
      <c r="B2769">
        <v>2019</v>
      </c>
      <c r="C2769">
        <v>5</v>
      </c>
      <c r="D2769">
        <v>2</v>
      </c>
      <c r="E2769" s="1">
        <v>-6.1420000000000003</v>
      </c>
      <c r="F2769" t="s">
        <v>35</v>
      </c>
      <c r="G2769" t="str">
        <f>_xlfn.XLOOKUP(transakcje[[#This Row],[podkategoria]],parametr[podkategoria],parametr[kategoria])</f>
        <v>opłaty stałe</v>
      </c>
      <c r="H2769" t="str">
        <f>_xlfn.XLOOKUP(transakcje[[#This Row],[kategoria]],parametr[kategoria],parametr[typ])</f>
        <v>wydatki</v>
      </c>
      <c r="I2769" s="1">
        <f>ABS(transakcje[[#This Row],[kwota]])</f>
        <v>6.1420000000000003</v>
      </c>
    </row>
    <row r="2770" spans="1:9" x14ac:dyDescent="0.3">
      <c r="A2770">
        <v>2769</v>
      </c>
      <c r="B2770">
        <v>2019</v>
      </c>
      <c r="C2770">
        <v>5</v>
      </c>
      <c r="D2770">
        <v>2</v>
      </c>
      <c r="E2770" s="1">
        <v>-27.586000000000002</v>
      </c>
      <c r="F2770" t="s">
        <v>26</v>
      </c>
      <c r="G2770" t="str">
        <f>_xlfn.XLOOKUP(transakcje[[#This Row],[podkategoria]],parametr[podkategoria],parametr[kategoria])</f>
        <v>życie</v>
      </c>
      <c r="H2770" t="str">
        <f>_xlfn.XLOOKUP(transakcje[[#This Row],[kategoria]],parametr[kategoria],parametr[typ])</f>
        <v>wydatki</v>
      </c>
      <c r="I2770" s="1">
        <f>ABS(transakcje[[#This Row],[kwota]])</f>
        <v>27.586000000000002</v>
      </c>
    </row>
    <row r="2771" spans="1:9" x14ac:dyDescent="0.3">
      <c r="A2771">
        <v>2770</v>
      </c>
      <c r="B2771">
        <v>2019</v>
      </c>
      <c r="C2771">
        <v>5</v>
      </c>
      <c r="D2771">
        <v>2</v>
      </c>
      <c r="E2771" s="1">
        <v>-11.59</v>
      </c>
      <c r="F2771" t="s">
        <v>34</v>
      </c>
      <c r="G2771" t="str">
        <f>_xlfn.XLOOKUP(transakcje[[#This Row],[podkategoria]],parametr[podkategoria],parametr[kategoria])</f>
        <v>opłaty stałe</v>
      </c>
      <c r="H2771" t="str">
        <f>_xlfn.XLOOKUP(transakcje[[#This Row],[kategoria]],parametr[kategoria],parametr[typ])</f>
        <v>wydatki</v>
      </c>
      <c r="I2771" s="1">
        <f>ABS(transakcje[[#This Row],[kwota]])</f>
        <v>11.59</v>
      </c>
    </row>
    <row r="2772" spans="1:9" x14ac:dyDescent="0.3">
      <c r="A2772">
        <v>2771</v>
      </c>
      <c r="B2772">
        <v>2019</v>
      </c>
      <c r="C2772">
        <v>5</v>
      </c>
      <c r="D2772">
        <v>2</v>
      </c>
      <c r="E2772" s="1">
        <v>-25.98</v>
      </c>
      <c r="F2772" t="s">
        <v>11</v>
      </c>
      <c r="G2772" t="str">
        <f>_xlfn.XLOOKUP(transakcje[[#This Row],[podkategoria]],parametr[podkategoria],parametr[kategoria])</f>
        <v>wydatki inne</v>
      </c>
      <c r="H2772" t="str">
        <f>_xlfn.XLOOKUP(transakcje[[#This Row],[kategoria]],parametr[kategoria],parametr[typ])</f>
        <v>wydatki</v>
      </c>
      <c r="I2772" s="1">
        <f>ABS(transakcje[[#This Row],[kwota]])</f>
        <v>25.98</v>
      </c>
    </row>
    <row r="2773" spans="1:9" x14ac:dyDescent="0.3">
      <c r="A2773">
        <v>2772</v>
      </c>
      <c r="B2773">
        <v>2019</v>
      </c>
      <c r="C2773">
        <v>5</v>
      </c>
      <c r="D2773">
        <v>2</v>
      </c>
      <c r="E2773" s="1">
        <v>-7.38</v>
      </c>
      <c r="F2773" t="s">
        <v>23</v>
      </c>
      <c r="G2773" t="str">
        <f>_xlfn.XLOOKUP(transakcje[[#This Row],[podkategoria]],parametr[podkategoria],parametr[kategoria])</f>
        <v>opłaty stałe</v>
      </c>
      <c r="H2773" t="str">
        <f>_xlfn.XLOOKUP(transakcje[[#This Row],[kategoria]],parametr[kategoria],parametr[typ])</f>
        <v>wydatki</v>
      </c>
      <c r="I2773" s="1">
        <f>ABS(transakcje[[#This Row],[kwota]])</f>
        <v>7.38</v>
      </c>
    </row>
    <row r="2774" spans="1:9" x14ac:dyDescent="0.3">
      <c r="A2774">
        <v>2773</v>
      </c>
      <c r="B2774">
        <v>2019</v>
      </c>
      <c r="C2774">
        <v>5</v>
      </c>
      <c r="D2774">
        <v>2</v>
      </c>
      <c r="E2774" s="1">
        <v>-46.4</v>
      </c>
      <c r="F2774" t="s">
        <v>30</v>
      </c>
      <c r="G2774" t="str">
        <f>_xlfn.XLOOKUP(transakcje[[#This Row],[podkategoria]],parametr[podkategoria],parametr[kategoria])</f>
        <v>opłaty stałe</v>
      </c>
      <c r="H2774" t="str">
        <f>_xlfn.XLOOKUP(transakcje[[#This Row],[kategoria]],parametr[kategoria],parametr[typ])</f>
        <v>wydatki</v>
      </c>
      <c r="I2774" s="1">
        <f>ABS(transakcje[[#This Row],[kwota]])</f>
        <v>46.4</v>
      </c>
    </row>
    <row r="2775" spans="1:9" x14ac:dyDescent="0.3">
      <c r="A2775">
        <v>2774</v>
      </c>
      <c r="B2775">
        <v>2019</v>
      </c>
      <c r="C2775">
        <v>5</v>
      </c>
      <c r="D2775">
        <v>2</v>
      </c>
      <c r="E2775" s="1">
        <v>-71.738</v>
      </c>
      <c r="F2775" t="s">
        <v>31</v>
      </c>
      <c r="G2775" t="str">
        <f>_xlfn.XLOOKUP(transakcje[[#This Row],[podkategoria]],parametr[podkategoria],parametr[kategoria])</f>
        <v>opłaty stałe</v>
      </c>
      <c r="H2775" t="str">
        <f>_xlfn.XLOOKUP(transakcje[[#This Row],[kategoria]],parametr[kategoria],parametr[typ])</f>
        <v>wydatki</v>
      </c>
      <c r="I2775" s="1">
        <f>ABS(transakcje[[#This Row],[kwota]])</f>
        <v>71.738</v>
      </c>
    </row>
    <row r="2776" spans="1:9" x14ac:dyDescent="0.3">
      <c r="A2776">
        <v>2775</v>
      </c>
      <c r="B2776">
        <v>2019</v>
      </c>
      <c r="C2776">
        <v>5</v>
      </c>
      <c r="D2776">
        <v>2</v>
      </c>
      <c r="E2776" s="1">
        <v>-66.194000000000003</v>
      </c>
      <c r="F2776" t="s">
        <v>11</v>
      </c>
      <c r="G2776" t="str">
        <f>_xlfn.XLOOKUP(transakcje[[#This Row],[podkategoria]],parametr[podkategoria],parametr[kategoria])</f>
        <v>wydatki inne</v>
      </c>
      <c r="H2776" t="str">
        <f>_xlfn.XLOOKUP(transakcje[[#This Row],[kategoria]],parametr[kategoria],parametr[typ])</f>
        <v>wydatki</v>
      </c>
      <c r="I2776" s="1">
        <f>ABS(transakcje[[#This Row],[kwota]])</f>
        <v>66.194000000000003</v>
      </c>
    </row>
    <row r="2777" spans="1:9" x14ac:dyDescent="0.3">
      <c r="A2777">
        <v>2776</v>
      </c>
      <c r="B2777">
        <v>2019</v>
      </c>
      <c r="C2777">
        <v>5</v>
      </c>
      <c r="D2777">
        <v>5</v>
      </c>
      <c r="E2777" s="1">
        <v>-14.280000000000001</v>
      </c>
      <c r="F2777" t="s">
        <v>11</v>
      </c>
      <c r="G2777" t="str">
        <f>_xlfn.XLOOKUP(transakcje[[#This Row],[podkategoria]],parametr[podkategoria],parametr[kategoria])</f>
        <v>wydatki inne</v>
      </c>
      <c r="H2777" t="str">
        <f>_xlfn.XLOOKUP(transakcje[[#This Row],[kategoria]],parametr[kategoria],parametr[typ])</f>
        <v>wydatki</v>
      </c>
      <c r="I2777" s="1">
        <f>ABS(transakcje[[#This Row],[kwota]])</f>
        <v>14.280000000000001</v>
      </c>
    </row>
    <row r="2778" spans="1:9" x14ac:dyDescent="0.3">
      <c r="A2778">
        <v>2777</v>
      </c>
      <c r="B2778">
        <v>2019</v>
      </c>
      <c r="C2778">
        <v>5</v>
      </c>
      <c r="D2778">
        <v>7</v>
      </c>
      <c r="E2778" s="1">
        <v>87.738</v>
      </c>
      <c r="F2778" t="s">
        <v>19</v>
      </c>
      <c r="G2778" t="str">
        <f>_xlfn.XLOOKUP(transakcje[[#This Row],[podkategoria]],parametr[podkategoria],parametr[kategoria])</f>
        <v>dochody z pracy</v>
      </c>
      <c r="H2778" t="str">
        <f>_xlfn.XLOOKUP(transakcje[[#This Row],[kategoria]],parametr[kategoria],parametr[typ])</f>
        <v>dochody</v>
      </c>
      <c r="I2778" s="1">
        <f>ABS(transakcje[[#This Row],[kwota]])</f>
        <v>87.738</v>
      </c>
    </row>
    <row r="2779" spans="1:9" x14ac:dyDescent="0.3">
      <c r="A2779">
        <v>2778</v>
      </c>
      <c r="B2779">
        <v>2019</v>
      </c>
      <c r="C2779">
        <v>5</v>
      </c>
      <c r="D2779">
        <v>12</v>
      </c>
      <c r="E2779" s="1">
        <v>-34.200000000000003</v>
      </c>
      <c r="F2779" t="s">
        <v>29</v>
      </c>
      <c r="G2779" t="str">
        <f>_xlfn.XLOOKUP(transakcje[[#This Row],[podkategoria]],parametr[podkategoria],parametr[kategoria])</f>
        <v>opłaty stałe</v>
      </c>
      <c r="H2779" t="str">
        <f>_xlfn.XLOOKUP(transakcje[[#This Row],[kategoria]],parametr[kategoria],parametr[typ])</f>
        <v>wydatki</v>
      </c>
      <c r="I2779" s="1">
        <f>ABS(transakcje[[#This Row],[kwota]])</f>
        <v>34.200000000000003</v>
      </c>
    </row>
    <row r="2780" spans="1:9" x14ac:dyDescent="0.3">
      <c r="A2780">
        <v>2779</v>
      </c>
      <c r="B2780">
        <v>2019</v>
      </c>
      <c r="C2780">
        <v>5</v>
      </c>
      <c r="D2780">
        <v>14</v>
      </c>
      <c r="E2780" s="1">
        <v>-0.39800000000000002</v>
      </c>
      <c r="F2780" t="s">
        <v>14</v>
      </c>
      <c r="G2780" t="str">
        <f>_xlfn.XLOOKUP(transakcje[[#This Row],[podkategoria]],parametr[podkategoria],parametr[kategoria])</f>
        <v>opłaty stałe</v>
      </c>
      <c r="H2780" t="str">
        <f>_xlfn.XLOOKUP(transakcje[[#This Row],[kategoria]],parametr[kategoria],parametr[typ])</f>
        <v>wydatki</v>
      </c>
      <c r="I2780" s="1">
        <f>ABS(transakcje[[#This Row],[kwota]])</f>
        <v>0.39800000000000002</v>
      </c>
    </row>
    <row r="2781" spans="1:9" x14ac:dyDescent="0.3">
      <c r="A2781">
        <v>2780</v>
      </c>
      <c r="B2781">
        <v>2019</v>
      </c>
      <c r="C2781">
        <v>5</v>
      </c>
      <c r="D2781">
        <v>21</v>
      </c>
      <c r="E2781" s="1">
        <v>-1.462</v>
      </c>
      <c r="F2781" t="s">
        <v>26</v>
      </c>
      <c r="G2781" t="str">
        <f>_xlfn.XLOOKUP(transakcje[[#This Row],[podkategoria]],parametr[podkategoria],parametr[kategoria])</f>
        <v>życie</v>
      </c>
      <c r="H2781" t="str">
        <f>_xlfn.XLOOKUP(transakcje[[#This Row],[kategoria]],parametr[kategoria],parametr[typ])</f>
        <v>wydatki</v>
      </c>
      <c r="I2781" s="1">
        <f>ABS(transakcje[[#This Row],[kwota]])</f>
        <v>1.462</v>
      </c>
    </row>
    <row r="2782" spans="1:9" x14ac:dyDescent="0.3">
      <c r="A2782">
        <v>2781</v>
      </c>
      <c r="B2782">
        <v>2019</v>
      </c>
      <c r="C2782">
        <v>5</v>
      </c>
      <c r="D2782">
        <v>23</v>
      </c>
      <c r="E2782" s="1">
        <v>641.08199999999999</v>
      </c>
      <c r="F2782" t="s">
        <v>8</v>
      </c>
      <c r="G2782" t="str">
        <f>_xlfn.XLOOKUP(transakcje[[#This Row],[podkategoria]],parametr[podkategoria],parametr[kategoria])</f>
        <v>dochody z pracy</v>
      </c>
      <c r="H2782" t="str">
        <f>_xlfn.XLOOKUP(transakcje[[#This Row],[kategoria]],parametr[kategoria],parametr[typ])</f>
        <v>dochody</v>
      </c>
      <c r="I2782" s="1">
        <f>ABS(transakcje[[#This Row],[kwota]])</f>
        <v>641.08199999999999</v>
      </c>
    </row>
    <row r="2783" spans="1:9" x14ac:dyDescent="0.3">
      <c r="A2783">
        <v>2782</v>
      </c>
      <c r="B2783">
        <v>2019</v>
      </c>
      <c r="C2783">
        <v>5</v>
      </c>
      <c r="D2783">
        <v>23</v>
      </c>
      <c r="E2783" s="1">
        <v>-9.3840000000000003</v>
      </c>
      <c r="F2783" t="s">
        <v>26</v>
      </c>
      <c r="G2783" t="str">
        <f>_xlfn.XLOOKUP(transakcje[[#This Row],[podkategoria]],parametr[podkategoria],parametr[kategoria])</f>
        <v>życie</v>
      </c>
      <c r="H2783" t="str">
        <f>_xlfn.XLOOKUP(transakcje[[#This Row],[kategoria]],parametr[kategoria],parametr[typ])</f>
        <v>wydatki</v>
      </c>
      <c r="I2783" s="1">
        <f>ABS(transakcje[[#This Row],[kwota]])</f>
        <v>9.3840000000000003</v>
      </c>
    </row>
    <row r="2784" spans="1:9" x14ac:dyDescent="0.3">
      <c r="A2784">
        <v>2783</v>
      </c>
      <c r="B2784">
        <v>2019</v>
      </c>
      <c r="C2784">
        <v>5</v>
      </c>
      <c r="D2784">
        <v>25</v>
      </c>
      <c r="E2784" s="1">
        <v>-19.8</v>
      </c>
      <c r="F2784" t="s">
        <v>32</v>
      </c>
      <c r="G2784" t="str">
        <f>_xlfn.XLOOKUP(transakcje[[#This Row],[podkategoria]],parametr[podkategoria],parametr[kategoria])</f>
        <v>opłaty stałe</v>
      </c>
      <c r="H2784" t="str">
        <f>_xlfn.XLOOKUP(transakcje[[#This Row],[kategoria]],parametr[kategoria],parametr[typ])</f>
        <v>wydatki</v>
      </c>
      <c r="I2784" s="1">
        <f>ABS(transakcje[[#This Row],[kwota]])</f>
        <v>19.8</v>
      </c>
    </row>
    <row r="2785" spans="1:9" x14ac:dyDescent="0.3">
      <c r="A2785">
        <v>2784</v>
      </c>
      <c r="B2785">
        <v>2019</v>
      </c>
      <c r="C2785">
        <v>5</v>
      </c>
      <c r="D2785">
        <v>26</v>
      </c>
      <c r="E2785" s="1">
        <v>-8.6</v>
      </c>
      <c r="F2785" t="s">
        <v>11</v>
      </c>
      <c r="G2785" t="str">
        <f>_xlfn.XLOOKUP(transakcje[[#This Row],[podkategoria]],parametr[podkategoria],parametr[kategoria])</f>
        <v>wydatki inne</v>
      </c>
      <c r="H2785" t="str">
        <f>_xlfn.XLOOKUP(transakcje[[#This Row],[kategoria]],parametr[kategoria],parametr[typ])</f>
        <v>wydatki</v>
      </c>
      <c r="I2785" s="1">
        <f>ABS(transakcje[[#This Row],[kwota]])</f>
        <v>8.6</v>
      </c>
    </row>
    <row r="2786" spans="1:9" x14ac:dyDescent="0.3">
      <c r="A2786">
        <v>2785</v>
      </c>
      <c r="B2786">
        <v>2019</v>
      </c>
      <c r="C2786">
        <v>5</v>
      </c>
      <c r="D2786">
        <v>28</v>
      </c>
      <c r="E2786" s="1">
        <v>-3.9880000000000004</v>
      </c>
      <c r="F2786" t="s">
        <v>26</v>
      </c>
      <c r="G2786" t="str">
        <f>_xlfn.XLOOKUP(transakcje[[#This Row],[podkategoria]],parametr[podkategoria],parametr[kategoria])</f>
        <v>życie</v>
      </c>
      <c r="H2786" t="str">
        <f>_xlfn.XLOOKUP(transakcje[[#This Row],[kategoria]],parametr[kategoria],parametr[typ])</f>
        <v>wydatki</v>
      </c>
      <c r="I2786" s="1">
        <f>ABS(transakcje[[#This Row],[kwota]])</f>
        <v>3.9880000000000004</v>
      </c>
    </row>
    <row r="2787" spans="1:9" x14ac:dyDescent="0.3">
      <c r="A2787">
        <v>2786</v>
      </c>
      <c r="B2787">
        <v>2019</v>
      </c>
      <c r="C2787">
        <v>5</v>
      </c>
      <c r="D2787">
        <v>31</v>
      </c>
      <c r="E2787" s="1">
        <v>4.0000000000000001E-3</v>
      </c>
      <c r="F2787" t="s">
        <v>17</v>
      </c>
      <c r="G2787" t="str">
        <f>_xlfn.XLOOKUP(transakcje[[#This Row],[podkategoria]],parametr[podkategoria],parametr[kategoria])</f>
        <v>dochody pozostałe</v>
      </c>
      <c r="H2787" t="str">
        <f>_xlfn.XLOOKUP(transakcje[[#This Row],[kategoria]],parametr[kategoria],parametr[typ])</f>
        <v>dochody</v>
      </c>
      <c r="I2787" s="1">
        <f>ABS(transakcje[[#This Row],[kwota]])</f>
        <v>4.0000000000000001E-3</v>
      </c>
    </row>
    <row r="2788" spans="1:9" x14ac:dyDescent="0.3">
      <c r="A2788">
        <v>2787</v>
      </c>
      <c r="B2788">
        <v>2019</v>
      </c>
      <c r="C2788">
        <v>5</v>
      </c>
      <c r="D2788">
        <v>31</v>
      </c>
      <c r="E2788" s="1">
        <v>-1.198</v>
      </c>
      <c r="F2788" t="s">
        <v>14</v>
      </c>
      <c r="G2788" t="str">
        <f>_xlfn.XLOOKUP(transakcje[[#This Row],[podkategoria]],parametr[podkategoria],parametr[kategoria])</f>
        <v>opłaty stałe</v>
      </c>
      <c r="H2788" t="str">
        <f>_xlfn.XLOOKUP(transakcje[[#This Row],[kategoria]],parametr[kategoria],parametr[typ])</f>
        <v>wydatki</v>
      </c>
      <c r="I2788" s="1">
        <f>ABS(transakcje[[#This Row],[kwota]])</f>
        <v>1.198</v>
      </c>
    </row>
    <row r="2789" spans="1:9" x14ac:dyDescent="0.3">
      <c r="A2789">
        <v>2788</v>
      </c>
      <c r="B2789">
        <v>2019</v>
      </c>
      <c r="C2789">
        <v>5</v>
      </c>
      <c r="D2789">
        <v>31</v>
      </c>
      <c r="E2789" s="1">
        <v>-2E-3</v>
      </c>
      <c r="F2789" t="s">
        <v>14</v>
      </c>
      <c r="G2789" t="str">
        <f>_xlfn.XLOOKUP(transakcje[[#This Row],[podkategoria]],parametr[podkategoria],parametr[kategoria])</f>
        <v>opłaty stałe</v>
      </c>
      <c r="H2789" t="str">
        <f>_xlfn.XLOOKUP(transakcje[[#This Row],[kategoria]],parametr[kategoria],parametr[typ])</f>
        <v>wydatki</v>
      </c>
      <c r="I2789" s="1">
        <f>ABS(transakcje[[#This Row],[kwota]])</f>
        <v>2E-3</v>
      </c>
    </row>
    <row r="2790" spans="1:9" x14ac:dyDescent="0.3">
      <c r="A2790">
        <v>2789</v>
      </c>
      <c r="B2790">
        <v>2019</v>
      </c>
      <c r="C2790">
        <v>5</v>
      </c>
      <c r="D2790">
        <v>31</v>
      </c>
      <c r="E2790" s="1">
        <v>-0.6</v>
      </c>
      <c r="F2790" t="s">
        <v>14</v>
      </c>
      <c r="G2790" t="str">
        <f>_xlfn.XLOOKUP(transakcje[[#This Row],[podkategoria]],parametr[podkategoria],parametr[kategoria])</f>
        <v>opłaty stałe</v>
      </c>
      <c r="H2790" t="str">
        <f>_xlfn.XLOOKUP(transakcje[[#This Row],[kategoria]],parametr[kategoria],parametr[typ])</f>
        <v>wydatki</v>
      </c>
      <c r="I2790" s="1">
        <f>ABS(transakcje[[#This Row],[kwota]])</f>
        <v>0.6</v>
      </c>
    </row>
    <row r="2791" spans="1:9" x14ac:dyDescent="0.3">
      <c r="A2791">
        <v>2790</v>
      </c>
      <c r="B2791">
        <v>2019</v>
      </c>
      <c r="C2791">
        <v>6</v>
      </c>
      <c r="D2791">
        <v>1</v>
      </c>
      <c r="E2791" s="1">
        <v>-5.8</v>
      </c>
      <c r="F2791" t="s">
        <v>25</v>
      </c>
      <c r="G2791" t="str">
        <f>_xlfn.XLOOKUP(transakcje[[#This Row],[podkategoria]],parametr[podkategoria],parametr[kategoria])</f>
        <v>opłaty stałe</v>
      </c>
      <c r="H2791" t="str">
        <f>_xlfn.XLOOKUP(transakcje[[#This Row],[kategoria]],parametr[kategoria],parametr[typ])</f>
        <v>wydatki</v>
      </c>
      <c r="I2791" s="1">
        <f>ABS(transakcje[[#This Row],[kwota]])</f>
        <v>5.8</v>
      </c>
    </row>
    <row r="2792" spans="1:9" x14ac:dyDescent="0.3">
      <c r="A2792">
        <v>2791</v>
      </c>
      <c r="B2792">
        <v>2019</v>
      </c>
      <c r="C2792">
        <v>6</v>
      </c>
      <c r="D2792">
        <v>1</v>
      </c>
      <c r="E2792" s="1">
        <v>-71.738</v>
      </c>
      <c r="F2792" t="s">
        <v>31</v>
      </c>
      <c r="G2792" t="str">
        <f>_xlfn.XLOOKUP(transakcje[[#This Row],[podkategoria]],parametr[podkategoria],parametr[kategoria])</f>
        <v>opłaty stałe</v>
      </c>
      <c r="H2792" t="str">
        <f>_xlfn.XLOOKUP(transakcje[[#This Row],[kategoria]],parametr[kategoria],parametr[typ])</f>
        <v>wydatki</v>
      </c>
      <c r="I2792" s="1">
        <f>ABS(transakcje[[#This Row],[kwota]])</f>
        <v>71.738</v>
      </c>
    </row>
    <row r="2793" spans="1:9" x14ac:dyDescent="0.3">
      <c r="A2793">
        <v>2792</v>
      </c>
      <c r="B2793">
        <v>2019</v>
      </c>
      <c r="C2793">
        <v>6</v>
      </c>
      <c r="D2793">
        <v>1</v>
      </c>
      <c r="E2793" s="1">
        <v>-7.38</v>
      </c>
      <c r="F2793" t="s">
        <v>23</v>
      </c>
      <c r="G2793" t="str">
        <f>_xlfn.XLOOKUP(transakcje[[#This Row],[podkategoria]],parametr[podkategoria],parametr[kategoria])</f>
        <v>opłaty stałe</v>
      </c>
      <c r="H2793" t="str">
        <f>_xlfn.XLOOKUP(transakcje[[#This Row],[kategoria]],parametr[kategoria],parametr[typ])</f>
        <v>wydatki</v>
      </c>
      <c r="I2793" s="1">
        <f>ABS(transakcje[[#This Row],[kwota]])</f>
        <v>7.38</v>
      </c>
    </row>
    <row r="2794" spans="1:9" x14ac:dyDescent="0.3">
      <c r="A2794">
        <v>2793</v>
      </c>
      <c r="B2794">
        <v>2019</v>
      </c>
      <c r="C2794">
        <v>6</v>
      </c>
      <c r="D2794">
        <v>4</v>
      </c>
      <c r="E2794" s="1">
        <v>-1.6859999999999999</v>
      </c>
      <c r="F2794" t="s">
        <v>26</v>
      </c>
      <c r="G2794" t="str">
        <f>_xlfn.XLOOKUP(transakcje[[#This Row],[podkategoria]],parametr[podkategoria],parametr[kategoria])</f>
        <v>życie</v>
      </c>
      <c r="H2794" t="str">
        <f>_xlfn.XLOOKUP(transakcje[[#This Row],[kategoria]],parametr[kategoria],parametr[typ])</f>
        <v>wydatki</v>
      </c>
      <c r="I2794" s="1">
        <f>ABS(transakcje[[#This Row],[kwota]])</f>
        <v>1.6859999999999999</v>
      </c>
    </row>
    <row r="2795" spans="1:9" x14ac:dyDescent="0.3">
      <c r="A2795">
        <v>2794</v>
      </c>
      <c r="B2795">
        <v>2019</v>
      </c>
      <c r="C2795">
        <v>6</v>
      </c>
      <c r="D2795">
        <v>5</v>
      </c>
      <c r="E2795" s="1">
        <v>-2.016</v>
      </c>
      <c r="F2795" t="s">
        <v>26</v>
      </c>
      <c r="G2795" t="str">
        <f>_xlfn.XLOOKUP(transakcje[[#This Row],[podkategoria]],parametr[podkategoria],parametr[kategoria])</f>
        <v>życie</v>
      </c>
      <c r="H2795" t="str">
        <f>_xlfn.XLOOKUP(transakcje[[#This Row],[kategoria]],parametr[kategoria],parametr[typ])</f>
        <v>wydatki</v>
      </c>
      <c r="I2795" s="1">
        <f>ABS(transakcje[[#This Row],[kwota]])</f>
        <v>2.016</v>
      </c>
    </row>
    <row r="2796" spans="1:9" x14ac:dyDescent="0.3">
      <c r="A2796">
        <v>2795</v>
      </c>
      <c r="B2796">
        <v>2019</v>
      </c>
      <c r="C2796">
        <v>6</v>
      </c>
      <c r="D2796">
        <v>6</v>
      </c>
      <c r="E2796" s="1">
        <v>-0.04</v>
      </c>
      <c r="F2796" t="s">
        <v>14</v>
      </c>
      <c r="G2796" t="str">
        <f>_xlfn.XLOOKUP(transakcje[[#This Row],[podkategoria]],parametr[podkategoria],parametr[kategoria])</f>
        <v>opłaty stałe</v>
      </c>
      <c r="H2796" t="str">
        <f>_xlfn.XLOOKUP(transakcje[[#This Row],[kategoria]],parametr[kategoria],parametr[typ])</f>
        <v>wydatki</v>
      </c>
      <c r="I2796" s="1">
        <f>ABS(transakcje[[#This Row],[kwota]])</f>
        <v>0.04</v>
      </c>
    </row>
    <row r="2797" spans="1:9" x14ac:dyDescent="0.3">
      <c r="A2797">
        <v>2796</v>
      </c>
      <c r="B2797">
        <v>2019</v>
      </c>
      <c r="C2797">
        <v>6</v>
      </c>
      <c r="D2797">
        <v>7</v>
      </c>
      <c r="E2797" s="1">
        <v>-4.4000000000000004</v>
      </c>
      <c r="F2797" t="s">
        <v>26</v>
      </c>
      <c r="G2797" t="str">
        <f>_xlfn.XLOOKUP(transakcje[[#This Row],[podkategoria]],parametr[podkategoria],parametr[kategoria])</f>
        <v>życie</v>
      </c>
      <c r="H2797" t="str">
        <f>_xlfn.XLOOKUP(transakcje[[#This Row],[kategoria]],parametr[kategoria],parametr[typ])</f>
        <v>wydatki</v>
      </c>
      <c r="I2797" s="1">
        <f>ABS(transakcje[[#This Row],[kwota]])</f>
        <v>4.4000000000000004</v>
      </c>
    </row>
    <row r="2798" spans="1:9" x14ac:dyDescent="0.3">
      <c r="A2798">
        <v>2797</v>
      </c>
      <c r="B2798">
        <v>2019</v>
      </c>
      <c r="C2798">
        <v>6</v>
      </c>
      <c r="D2798">
        <v>7</v>
      </c>
      <c r="E2798" s="1">
        <v>-10.507999999999999</v>
      </c>
      <c r="F2798" t="s">
        <v>26</v>
      </c>
      <c r="G2798" t="str">
        <f>_xlfn.XLOOKUP(transakcje[[#This Row],[podkategoria]],parametr[podkategoria],parametr[kategoria])</f>
        <v>życie</v>
      </c>
      <c r="H2798" t="str">
        <f>_xlfn.XLOOKUP(transakcje[[#This Row],[kategoria]],parametr[kategoria],parametr[typ])</f>
        <v>wydatki</v>
      </c>
      <c r="I2798" s="1">
        <f>ABS(transakcje[[#This Row],[kwota]])</f>
        <v>10.507999999999999</v>
      </c>
    </row>
    <row r="2799" spans="1:9" x14ac:dyDescent="0.3">
      <c r="A2799">
        <v>2798</v>
      </c>
      <c r="B2799">
        <v>2019</v>
      </c>
      <c r="C2799">
        <v>6</v>
      </c>
      <c r="D2799">
        <v>8</v>
      </c>
      <c r="E2799" s="1">
        <v>-46.926000000000002</v>
      </c>
      <c r="F2799" t="s">
        <v>11</v>
      </c>
      <c r="G2799" t="str">
        <f>_xlfn.XLOOKUP(transakcje[[#This Row],[podkategoria]],parametr[podkategoria],parametr[kategoria])</f>
        <v>wydatki inne</v>
      </c>
      <c r="H2799" t="str">
        <f>_xlfn.XLOOKUP(transakcje[[#This Row],[kategoria]],parametr[kategoria],parametr[typ])</f>
        <v>wydatki</v>
      </c>
      <c r="I2799" s="1">
        <f>ABS(transakcje[[#This Row],[kwota]])</f>
        <v>46.926000000000002</v>
      </c>
    </row>
    <row r="2800" spans="1:9" x14ac:dyDescent="0.3">
      <c r="A2800">
        <v>2799</v>
      </c>
      <c r="B2800">
        <v>2019</v>
      </c>
      <c r="C2800">
        <v>6</v>
      </c>
      <c r="D2800">
        <v>12</v>
      </c>
      <c r="E2800" s="1">
        <v>-3.9899999999999998</v>
      </c>
      <c r="F2800" t="s">
        <v>26</v>
      </c>
      <c r="G2800" t="str">
        <f>_xlfn.XLOOKUP(transakcje[[#This Row],[podkategoria]],parametr[podkategoria],parametr[kategoria])</f>
        <v>życie</v>
      </c>
      <c r="H2800" t="str">
        <f>_xlfn.XLOOKUP(transakcje[[#This Row],[kategoria]],parametr[kategoria],parametr[typ])</f>
        <v>wydatki</v>
      </c>
      <c r="I2800" s="1">
        <f>ABS(transakcje[[#This Row],[kwota]])</f>
        <v>3.9899999999999998</v>
      </c>
    </row>
    <row r="2801" spans="1:9" x14ac:dyDescent="0.3">
      <c r="A2801">
        <v>2800</v>
      </c>
      <c r="B2801">
        <v>2019</v>
      </c>
      <c r="C2801">
        <v>6</v>
      </c>
      <c r="D2801">
        <v>12</v>
      </c>
      <c r="E2801" s="1">
        <v>-1.8</v>
      </c>
      <c r="F2801" t="s">
        <v>26</v>
      </c>
      <c r="G2801" t="str">
        <f>_xlfn.XLOOKUP(transakcje[[#This Row],[podkategoria]],parametr[podkategoria],parametr[kategoria])</f>
        <v>życie</v>
      </c>
      <c r="H2801" t="str">
        <f>_xlfn.XLOOKUP(transakcje[[#This Row],[kategoria]],parametr[kategoria],parametr[typ])</f>
        <v>wydatki</v>
      </c>
      <c r="I2801" s="1">
        <f>ABS(transakcje[[#This Row],[kwota]])</f>
        <v>1.8</v>
      </c>
    </row>
    <row r="2802" spans="1:9" x14ac:dyDescent="0.3">
      <c r="A2802">
        <v>2801</v>
      </c>
      <c r="B2802">
        <v>2019</v>
      </c>
      <c r="C2802">
        <v>6</v>
      </c>
      <c r="D2802">
        <v>13</v>
      </c>
      <c r="E2802" s="1">
        <v>-13.141999999999999</v>
      </c>
      <c r="F2802" t="s">
        <v>26</v>
      </c>
      <c r="G2802" t="str">
        <f>_xlfn.XLOOKUP(transakcje[[#This Row],[podkategoria]],parametr[podkategoria],parametr[kategoria])</f>
        <v>życie</v>
      </c>
      <c r="H2802" t="str">
        <f>_xlfn.XLOOKUP(transakcje[[#This Row],[kategoria]],parametr[kategoria],parametr[typ])</f>
        <v>wydatki</v>
      </c>
      <c r="I2802" s="1">
        <f>ABS(transakcje[[#This Row],[kwota]])</f>
        <v>13.141999999999999</v>
      </c>
    </row>
    <row r="2803" spans="1:9" x14ac:dyDescent="0.3">
      <c r="A2803">
        <v>2802</v>
      </c>
      <c r="B2803">
        <v>2019</v>
      </c>
      <c r="C2803">
        <v>6</v>
      </c>
      <c r="D2803">
        <v>14</v>
      </c>
      <c r="E2803" s="1">
        <v>-20</v>
      </c>
      <c r="F2803" t="s">
        <v>26</v>
      </c>
      <c r="G2803" t="str">
        <f>_xlfn.XLOOKUP(transakcje[[#This Row],[podkategoria]],parametr[podkategoria],parametr[kategoria])</f>
        <v>życie</v>
      </c>
      <c r="H2803" t="str">
        <f>_xlfn.XLOOKUP(transakcje[[#This Row],[kategoria]],parametr[kategoria],parametr[typ])</f>
        <v>wydatki</v>
      </c>
      <c r="I2803" s="1">
        <f>ABS(transakcje[[#This Row],[kwota]])</f>
        <v>20</v>
      </c>
    </row>
    <row r="2804" spans="1:9" x14ac:dyDescent="0.3">
      <c r="A2804">
        <v>2803</v>
      </c>
      <c r="B2804">
        <v>2019</v>
      </c>
      <c r="C2804">
        <v>6</v>
      </c>
      <c r="D2804">
        <v>14</v>
      </c>
      <c r="E2804" s="1">
        <v>-0.8</v>
      </c>
      <c r="F2804" t="s">
        <v>26</v>
      </c>
      <c r="G2804" t="str">
        <f>_xlfn.XLOOKUP(transakcje[[#This Row],[podkategoria]],parametr[podkategoria],parametr[kategoria])</f>
        <v>życie</v>
      </c>
      <c r="H2804" t="str">
        <f>_xlfn.XLOOKUP(transakcje[[#This Row],[kategoria]],parametr[kategoria],parametr[typ])</f>
        <v>wydatki</v>
      </c>
      <c r="I2804" s="1">
        <f>ABS(transakcje[[#This Row],[kwota]])</f>
        <v>0.8</v>
      </c>
    </row>
    <row r="2805" spans="1:9" x14ac:dyDescent="0.3">
      <c r="A2805">
        <v>2804</v>
      </c>
      <c r="B2805">
        <v>2019</v>
      </c>
      <c r="C2805">
        <v>6</v>
      </c>
      <c r="D2805">
        <v>15</v>
      </c>
      <c r="E2805" s="1">
        <v>-39.6</v>
      </c>
      <c r="F2805" t="s">
        <v>11</v>
      </c>
      <c r="G2805" t="str">
        <f>_xlfn.XLOOKUP(transakcje[[#This Row],[podkategoria]],parametr[podkategoria],parametr[kategoria])</f>
        <v>wydatki inne</v>
      </c>
      <c r="H2805" t="str">
        <f>_xlfn.XLOOKUP(transakcje[[#This Row],[kategoria]],parametr[kategoria],parametr[typ])</f>
        <v>wydatki</v>
      </c>
      <c r="I2805" s="1">
        <f>ABS(transakcje[[#This Row],[kwota]])</f>
        <v>39.6</v>
      </c>
    </row>
    <row r="2806" spans="1:9" x14ac:dyDescent="0.3">
      <c r="A2806">
        <v>2805</v>
      </c>
      <c r="B2806">
        <v>2019</v>
      </c>
      <c r="C2806">
        <v>6</v>
      </c>
      <c r="D2806">
        <v>18</v>
      </c>
      <c r="E2806" s="1">
        <v>-1.3880000000000001</v>
      </c>
      <c r="F2806" t="s">
        <v>26</v>
      </c>
      <c r="G2806" t="str">
        <f>_xlfn.XLOOKUP(transakcje[[#This Row],[podkategoria]],parametr[podkategoria],parametr[kategoria])</f>
        <v>życie</v>
      </c>
      <c r="H2806" t="str">
        <f>_xlfn.XLOOKUP(transakcje[[#This Row],[kategoria]],parametr[kategoria],parametr[typ])</f>
        <v>wydatki</v>
      </c>
      <c r="I2806" s="1">
        <f>ABS(transakcje[[#This Row],[kwota]])</f>
        <v>1.3880000000000001</v>
      </c>
    </row>
    <row r="2807" spans="1:9" x14ac:dyDescent="0.3">
      <c r="A2807">
        <v>2806</v>
      </c>
      <c r="B2807">
        <v>2019</v>
      </c>
      <c r="C2807">
        <v>6</v>
      </c>
      <c r="D2807">
        <v>18</v>
      </c>
      <c r="E2807" s="1">
        <v>-0.39800000000000002</v>
      </c>
      <c r="F2807" t="s">
        <v>14</v>
      </c>
      <c r="G2807" t="str">
        <f>_xlfn.XLOOKUP(transakcje[[#This Row],[podkategoria]],parametr[podkategoria],parametr[kategoria])</f>
        <v>opłaty stałe</v>
      </c>
      <c r="H2807" t="str">
        <f>_xlfn.XLOOKUP(transakcje[[#This Row],[kategoria]],parametr[kategoria],parametr[typ])</f>
        <v>wydatki</v>
      </c>
      <c r="I2807" s="1">
        <f>ABS(transakcje[[#This Row],[kwota]])</f>
        <v>0.39800000000000002</v>
      </c>
    </row>
    <row r="2808" spans="1:9" x14ac:dyDescent="0.3">
      <c r="A2808">
        <v>2807</v>
      </c>
      <c r="B2808">
        <v>2019</v>
      </c>
      <c r="C2808">
        <v>6</v>
      </c>
      <c r="D2808">
        <v>19</v>
      </c>
      <c r="E2808" s="1">
        <v>-17.878</v>
      </c>
      <c r="F2808" t="s">
        <v>26</v>
      </c>
      <c r="G2808" t="str">
        <f>_xlfn.XLOOKUP(transakcje[[#This Row],[podkategoria]],parametr[podkategoria],parametr[kategoria])</f>
        <v>życie</v>
      </c>
      <c r="H2808" t="str">
        <f>_xlfn.XLOOKUP(transakcje[[#This Row],[kategoria]],parametr[kategoria],parametr[typ])</f>
        <v>wydatki</v>
      </c>
      <c r="I2808" s="1">
        <f>ABS(transakcje[[#This Row],[kwota]])</f>
        <v>17.878</v>
      </c>
    </row>
    <row r="2809" spans="1:9" x14ac:dyDescent="0.3">
      <c r="A2809">
        <v>2808</v>
      </c>
      <c r="B2809">
        <v>2019</v>
      </c>
      <c r="C2809">
        <v>6</v>
      </c>
      <c r="D2809">
        <v>19</v>
      </c>
      <c r="E2809" s="1">
        <v>-11.07</v>
      </c>
      <c r="F2809" t="s">
        <v>26</v>
      </c>
      <c r="G2809" t="str">
        <f>_xlfn.XLOOKUP(transakcje[[#This Row],[podkategoria]],parametr[podkategoria],parametr[kategoria])</f>
        <v>życie</v>
      </c>
      <c r="H2809" t="str">
        <f>_xlfn.XLOOKUP(transakcje[[#This Row],[kategoria]],parametr[kategoria],parametr[typ])</f>
        <v>wydatki</v>
      </c>
      <c r="I2809" s="1">
        <f>ABS(transakcje[[#This Row],[kwota]])</f>
        <v>11.07</v>
      </c>
    </row>
    <row r="2810" spans="1:9" x14ac:dyDescent="0.3">
      <c r="A2810">
        <v>2809</v>
      </c>
      <c r="B2810">
        <v>2019</v>
      </c>
      <c r="C2810">
        <v>6</v>
      </c>
      <c r="D2810">
        <v>21</v>
      </c>
      <c r="E2810" s="1">
        <v>-13.919999999999998</v>
      </c>
      <c r="F2810" t="s">
        <v>26</v>
      </c>
      <c r="G2810" t="str">
        <f>_xlfn.XLOOKUP(transakcje[[#This Row],[podkategoria]],parametr[podkategoria],parametr[kategoria])</f>
        <v>życie</v>
      </c>
      <c r="H2810" t="str">
        <f>_xlfn.XLOOKUP(transakcje[[#This Row],[kategoria]],parametr[kategoria],parametr[typ])</f>
        <v>wydatki</v>
      </c>
      <c r="I2810" s="1">
        <f>ABS(transakcje[[#This Row],[kwota]])</f>
        <v>13.919999999999998</v>
      </c>
    </row>
    <row r="2811" spans="1:9" x14ac:dyDescent="0.3">
      <c r="A2811">
        <v>2810</v>
      </c>
      <c r="B2811">
        <v>2019</v>
      </c>
      <c r="C2811">
        <v>6</v>
      </c>
      <c r="D2811">
        <v>21</v>
      </c>
      <c r="E2811" s="1">
        <v>-1.474</v>
      </c>
      <c r="F2811" t="s">
        <v>26</v>
      </c>
      <c r="G2811" t="str">
        <f>_xlfn.XLOOKUP(transakcje[[#This Row],[podkategoria]],parametr[podkategoria],parametr[kategoria])</f>
        <v>życie</v>
      </c>
      <c r="H2811" t="str">
        <f>_xlfn.XLOOKUP(transakcje[[#This Row],[kategoria]],parametr[kategoria],parametr[typ])</f>
        <v>wydatki</v>
      </c>
      <c r="I2811" s="1">
        <f>ABS(transakcje[[#This Row],[kwota]])</f>
        <v>1.474</v>
      </c>
    </row>
    <row r="2812" spans="1:9" x14ac:dyDescent="0.3">
      <c r="A2812">
        <v>2811</v>
      </c>
      <c r="B2812">
        <v>2019</v>
      </c>
      <c r="C2812">
        <v>6</v>
      </c>
      <c r="D2812">
        <v>24</v>
      </c>
      <c r="E2812" s="1">
        <v>-20.399999999999999</v>
      </c>
      <c r="F2812" t="s">
        <v>32</v>
      </c>
      <c r="G2812" t="str">
        <f>_xlfn.XLOOKUP(transakcje[[#This Row],[podkategoria]],parametr[podkategoria],parametr[kategoria])</f>
        <v>opłaty stałe</v>
      </c>
      <c r="H2812" t="str">
        <f>_xlfn.XLOOKUP(transakcje[[#This Row],[kategoria]],parametr[kategoria],parametr[typ])</f>
        <v>wydatki</v>
      </c>
      <c r="I2812" s="1">
        <f>ABS(transakcje[[#This Row],[kwota]])</f>
        <v>20.399999999999999</v>
      </c>
    </row>
    <row r="2813" spans="1:9" x14ac:dyDescent="0.3">
      <c r="A2813">
        <v>2812</v>
      </c>
      <c r="B2813">
        <v>2019</v>
      </c>
      <c r="C2813">
        <v>6</v>
      </c>
      <c r="D2813">
        <v>25</v>
      </c>
      <c r="E2813" s="1">
        <v>-6.4019999999999992</v>
      </c>
      <c r="F2813" t="s">
        <v>26</v>
      </c>
      <c r="G2813" t="str">
        <f>_xlfn.XLOOKUP(transakcje[[#This Row],[podkategoria]],parametr[podkategoria],parametr[kategoria])</f>
        <v>życie</v>
      </c>
      <c r="H2813" t="str">
        <f>_xlfn.XLOOKUP(transakcje[[#This Row],[kategoria]],parametr[kategoria],parametr[typ])</f>
        <v>wydatki</v>
      </c>
      <c r="I2813" s="1">
        <f>ABS(transakcje[[#This Row],[kwota]])</f>
        <v>6.4019999999999992</v>
      </c>
    </row>
    <row r="2814" spans="1:9" x14ac:dyDescent="0.3">
      <c r="A2814">
        <v>2813</v>
      </c>
      <c r="B2814">
        <v>2019</v>
      </c>
      <c r="C2814">
        <v>6</v>
      </c>
      <c r="D2814">
        <v>25</v>
      </c>
      <c r="E2814" s="1">
        <v>641.08199999999999</v>
      </c>
      <c r="F2814" t="s">
        <v>8</v>
      </c>
      <c r="G2814" t="str">
        <f>_xlfn.XLOOKUP(transakcje[[#This Row],[podkategoria]],parametr[podkategoria],parametr[kategoria])</f>
        <v>dochody z pracy</v>
      </c>
      <c r="H2814" t="str">
        <f>_xlfn.XLOOKUP(transakcje[[#This Row],[kategoria]],parametr[kategoria],parametr[typ])</f>
        <v>dochody</v>
      </c>
      <c r="I2814" s="1">
        <f>ABS(transakcje[[#This Row],[kwota]])</f>
        <v>641.08199999999999</v>
      </c>
    </row>
    <row r="2815" spans="1:9" x14ac:dyDescent="0.3">
      <c r="A2815">
        <v>2814</v>
      </c>
      <c r="B2815">
        <v>2019</v>
      </c>
      <c r="C2815">
        <v>6</v>
      </c>
      <c r="D2815">
        <v>26</v>
      </c>
      <c r="E2815" s="1">
        <v>-9.5960000000000001</v>
      </c>
      <c r="F2815" t="s">
        <v>26</v>
      </c>
      <c r="G2815" t="str">
        <f>_xlfn.XLOOKUP(transakcje[[#This Row],[podkategoria]],parametr[podkategoria],parametr[kategoria])</f>
        <v>życie</v>
      </c>
      <c r="H2815" t="str">
        <f>_xlfn.XLOOKUP(transakcje[[#This Row],[kategoria]],parametr[kategoria],parametr[typ])</f>
        <v>wydatki</v>
      </c>
      <c r="I2815" s="1">
        <f>ABS(transakcje[[#This Row],[kwota]])</f>
        <v>9.5960000000000001</v>
      </c>
    </row>
    <row r="2816" spans="1:9" x14ac:dyDescent="0.3">
      <c r="A2816">
        <v>2815</v>
      </c>
      <c r="B2816">
        <v>2019</v>
      </c>
      <c r="C2816">
        <v>6</v>
      </c>
      <c r="D2816">
        <v>28</v>
      </c>
      <c r="E2816" s="1">
        <v>-0.59800000000000009</v>
      </c>
      <c r="F2816" t="s">
        <v>26</v>
      </c>
      <c r="G2816" t="str">
        <f>_xlfn.XLOOKUP(transakcje[[#This Row],[podkategoria]],parametr[podkategoria],parametr[kategoria])</f>
        <v>życie</v>
      </c>
      <c r="H2816" t="str">
        <f>_xlfn.XLOOKUP(transakcje[[#This Row],[kategoria]],parametr[kategoria],parametr[typ])</f>
        <v>wydatki</v>
      </c>
      <c r="I2816" s="1">
        <f>ABS(transakcje[[#This Row],[kwota]])</f>
        <v>0.59800000000000009</v>
      </c>
    </row>
    <row r="2817" spans="1:9" x14ac:dyDescent="0.3">
      <c r="A2817">
        <v>2816</v>
      </c>
      <c r="B2817">
        <v>2019</v>
      </c>
      <c r="C2817">
        <v>6</v>
      </c>
      <c r="D2817">
        <v>28</v>
      </c>
      <c r="E2817" s="1">
        <v>-4.6979999999999995</v>
      </c>
      <c r="F2817" t="s">
        <v>26</v>
      </c>
      <c r="G2817" t="str">
        <f>_xlfn.XLOOKUP(transakcje[[#This Row],[podkategoria]],parametr[podkategoria],parametr[kategoria])</f>
        <v>życie</v>
      </c>
      <c r="H2817" t="str">
        <f>_xlfn.XLOOKUP(transakcje[[#This Row],[kategoria]],parametr[kategoria],parametr[typ])</f>
        <v>wydatki</v>
      </c>
      <c r="I2817" s="1">
        <f>ABS(transakcje[[#This Row],[kwota]])</f>
        <v>4.6979999999999995</v>
      </c>
    </row>
    <row r="2818" spans="1:9" x14ac:dyDescent="0.3">
      <c r="A2818">
        <v>2817</v>
      </c>
      <c r="B2818">
        <v>2019</v>
      </c>
      <c r="C2818">
        <v>6</v>
      </c>
      <c r="D2818">
        <v>29</v>
      </c>
      <c r="E2818" s="1">
        <v>-0.7</v>
      </c>
      <c r="F2818" t="s">
        <v>14</v>
      </c>
      <c r="G2818" t="str">
        <f>_xlfn.XLOOKUP(transakcje[[#This Row],[podkategoria]],parametr[podkategoria],parametr[kategoria])</f>
        <v>opłaty stałe</v>
      </c>
      <c r="H2818" t="str">
        <f>_xlfn.XLOOKUP(transakcje[[#This Row],[kategoria]],parametr[kategoria],parametr[typ])</f>
        <v>wydatki</v>
      </c>
      <c r="I2818" s="1">
        <f>ABS(transakcje[[#This Row],[kwota]])</f>
        <v>0.7</v>
      </c>
    </row>
    <row r="2819" spans="1:9" x14ac:dyDescent="0.3">
      <c r="A2819">
        <v>2818</v>
      </c>
      <c r="B2819">
        <v>2019</v>
      </c>
      <c r="C2819">
        <v>6</v>
      </c>
      <c r="D2819">
        <v>29</v>
      </c>
      <c r="E2819" s="1">
        <v>-1.198</v>
      </c>
      <c r="F2819" t="s">
        <v>14</v>
      </c>
      <c r="G2819" t="str">
        <f>_xlfn.XLOOKUP(transakcje[[#This Row],[podkategoria]],parametr[podkategoria],parametr[kategoria])</f>
        <v>opłaty stałe</v>
      </c>
      <c r="H2819" t="str">
        <f>_xlfn.XLOOKUP(transakcje[[#This Row],[kategoria]],parametr[kategoria],parametr[typ])</f>
        <v>wydatki</v>
      </c>
      <c r="I2819" s="1">
        <f>ABS(transakcje[[#This Row],[kwota]])</f>
        <v>1.198</v>
      </c>
    </row>
    <row r="2820" spans="1:9" x14ac:dyDescent="0.3">
      <c r="A2820">
        <v>2819</v>
      </c>
      <c r="B2820">
        <v>2019</v>
      </c>
      <c r="C2820">
        <v>6</v>
      </c>
      <c r="D2820">
        <v>29</v>
      </c>
      <c r="E2820" s="1">
        <v>2E-3</v>
      </c>
      <c r="F2820" t="s">
        <v>17</v>
      </c>
      <c r="G2820" t="str">
        <f>_xlfn.XLOOKUP(transakcje[[#This Row],[podkategoria]],parametr[podkategoria],parametr[kategoria])</f>
        <v>dochody pozostałe</v>
      </c>
      <c r="H2820" t="str">
        <f>_xlfn.XLOOKUP(transakcje[[#This Row],[kategoria]],parametr[kategoria],parametr[typ])</f>
        <v>dochody</v>
      </c>
      <c r="I2820" s="1">
        <f>ABS(transakcje[[#This Row],[kwota]])</f>
        <v>2E-3</v>
      </c>
    </row>
    <row r="2821" spans="1:9" x14ac:dyDescent="0.3">
      <c r="A2821">
        <v>2820</v>
      </c>
      <c r="B2821">
        <v>2019</v>
      </c>
      <c r="C2821">
        <v>6</v>
      </c>
      <c r="D2821">
        <v>29</v>
      </c>
      <c r="E2821" s="1">
        <v>-2E-3</v>
      </c>
      <c r="F2821" t="s">
        <v>14</v>
      </c>
      <c r="G2821" t="str">
        <f>_xlfn.XLOOKUP(transakcje[[#This Row],[podkategoria]],parametr[podkategoria],parametr[kategoria])</f>
        <v>opłaty stałe</v>
      </c>
      <c r="H2821" t="str">
        <f>_xlfn.XLOOKUP(transakcje[[#This Row],[kategoria]],parametr[kategoria],parametr[typ])</f>
        <v>wydatki</v>
      </c>
      <c r="I2821" s="1">
        <f>ABS(transakcje[[#This Row],[kwota]])</f>
        <v>2E-3</v>
      </c>
    </row>
    <row r="2822" spans="1:9" x14ac:dyDescent="0.3">
      <c r="A2822">
        <v>2821</v>
      </c>
      <c r="B2822">
        <v>2019</v>
      </c>
      <c r="C2822">
        <v>6</v>
      </c>
      <c r="D2822">
        <v>29</v>
      </c>
      <c r="E2822" s="1">
        <v>-3.9799999999999995</v>
      </c>
      <c r="F2822" t="s">
        <v>11</v>
      </c>
      <c r="G2822" t="str">
        <f>_xlfn.XLOOKUP(transakcje[[#This Row],[podkategoria]],parametr[podkategoria],parametr[kategoria])</f>
        <v>wydatki inne</v>
      </c>
      <c r="H2822" t="str">
        <f>_xlfn.XLOOKUP(transakcje[[#This Row],[kategoria]],parametr[kategoria],parametr[typ])</f>
        <v>wydatki</v>
      </c>
      <c r="I2822" s="1">
        <f>ABS(transakcje[[#This Row],[kwota]])</f>
        <v>3.9799999999999995</v>
      </c>
    </row>
    <row r="2823" spans="1:9" x14ac:dyDescent="0.3">
      <c r="A2823">
        <v>2822</v>
      </c>
      <c r="B2823">
        <v>2019</v>
      </c>
      <c r="C2823">
        <v>7</v>
      </c>
      <c r="D2823">
        <v>1</v>
      </c>
      <c r="E2823" s="1">
        <v>-6.7</v>
      </c>
      <c r="F2823" t="s">
        <v>35</v>
      </c>
      <c r="G2823" t="str">
        <f>_xlfn.XLOOKUP(transakcje[[#This Row],[podkategoria]],parametr[podkategoria],parametr[kategoria])</f>
        <v>opłaty stałe</v>
      </c>
      <c r="H2823" t="str">
        <f>_xlfn.XLOOKUP(transakcje[[#This Row],[kategoria]],parametr[kategoria],parametr[typ])</f>
        <v>wydatki</v>
      </c>
      <c r="I2823" s="1">
        <f>ABS(transakcje[[#This Row],[kwota]])</f>
        <v>6.7</v>
      </c>
    </row>
    <row r="2824" spans="1:9" x14ac:dyDescent="0.3">
      <c r="A2824">
        <v>2823</v>
      </c>
      <c r="B2824">
        <v>2019</v>
      </c>
      <c r="C2824">
        <v>7</v>
      </c>
      <c r="D2824">
        <v>1</v>
      </c>
      <c r="E2824" s="1">
        <v>-14.986000000000001</v>
      </c>
      <c r="F2824" t="s">
        <v>34</v>
      </c>
      <c r="G2824" t="str">
        <f>_xlfn.XLOOKUP(transakcje[[#This Row],[podkategoria]],parametr[podkategoria],parametr[kategoria])</f>
        <v>opłaty stałe</v>
      </c>
      <c r="H2824" t="str">
        <f>_xlfn.XLOOKUP(transakcje[[#This Row],[kategoria]],parametr[kategoria],parametr[typ])</f>
        <v>wydatki</v>
      </c>
      <c r="I2824" s="1">
        <f>ABS(transakcje[[#This Row],[kwota]])</f>
        <v>14.986000000000001</v>
      </c>
    </row>
    <row r="2825" spans="1:9" x14ac:dyDescent="0.3">
      <c r="A2825">
        <v>2824</v>
      </c>
      <c r="B2825">
        <v>2019</v>
      </c>
      <c r="C2825">
        <v>7</v>
      </c>
      <c r="D2825">
        <v>1</v>
      </c>
      <c r="E2825" s="1">
        <v>-5.8</v>
      </c>
      <c r="F2825" t="s">
        <v>25</v>
      </c>
      <c r="G2825" t="str">
        <f>_xlfn.XLOOKUP(transakcje[[#This Row],[podkategoria]],parametr[podkategoria],parametr[kategoria])</f>
        <v>opłaty stałe</v>
      </c>
      <c r="H2825" t="str">
        <f>_xlfn.XLOOKUP(transakcje[[#This Row],[kategoria]],parametr[kategoria],parametr[typ])</f>
        <v>wydatki</v>
      </c>
      <c r="I2825" s="1">
        <f>ABS(transakcje[[#This Row],[kwota]])</f>
        <v>5.8</v>
      </c>
    </row>
    <row r="2826" spans="1:9" x14ac:dyDescent="0.3">
      <c r="A2826">
        <v>2825</v>
      </c>
      <c r="B2826">
        <v>2019</v>
      </c>
      <c r="C2826">
        <v>7</v>
      </c>
      <c r="D2826">
        <v>1</v>
      </c>
      <c r="E2826" s="1">
        <v>-72.138000000000005</v>
      </c>
      <c r="F2826" t="s">
        <v>31</v>
      </c>
      <c r="G2826" t="str">
        <f>_xlfn.XLOOKUP(transakcje[[#This Row],[podkategoria]],parametr[podkategoria],parametr[kategoria])</f>
        <v>opłaty stałe</v>
      </c>
      <c r="H2826" t="str">
        <f>_xlfn.XLOOKUP(transakcje[[#This Row],[kategoria]],parametr[kategoria],parametr[typ])</f>
        <v>wydatki</v>
      </c>
      <c r="I2826" s="1">
        <f>ABS(transakcje[[#This Row],[kwota]])</f>
        <v>72.138000000000005</v>
      </c>
    </row>
    <row r="2827" spans="1:9" x14ac:dyDescent="0.3">
      <c r="A2827">
        <v>2826</v>
      </c>
      <c r="B2827">
        <v>2019</v>
      </c>
      <c r="C2827">
        <v>7</v>
      </c>
      <c r="D2827">
        <v>2</v>
      </c>
      <c r="E2827" s="1">
        <v>-0.44000000000000006</v>
      </c>
      <c r="F2827" t="s">
        <v>14</v>
      </c>
      <c r="G2827" t="str">
        <f>_xlfn.XLOOKUP(transakcje[[#This Row],[podkategoria]],parametr[podkategoria],parametr[kategoria])</f>
        <v>opłaty stałe</v>
      </c>
      <c r="H2827" t="str">
        <f>_xlfn.XLOOKUP(transakcje[[#This Row],[kategoria]],parametr[kategoria],parametr[typ])</f>
        <v>wydatki</v>
      </c>
      <c r="I2827" s="1">
        <f>ABS(transakcje[[#This Row],[kwota]])</f>
        <v>0.44000000000000006</v>
      </c>
    </row>
    <row r="2828" spans="1:9" x14ac:dyDescent="0.3">
      <c r="A2828">
        <v>2827</v>
      </c>
      <c r="B2828">
        <v>2019</v>
      </c>
      <c r="C2828">
        <v>7</v>
      </c>
      <c r="D2828">
        <v>3</v>
      </c>
      <c r="E2828" s="1">
        <v>-7.306</v>
      </c>
      <c r="F2828" t="s">
        <v>26</v>
      </c>
      <c r="G2828" t="str">
        <f>_xlfn.XLOOKUP(transakcje[[#This Row],[podkategoria]],parametr[podkategoria],parametr[kategoria])</f>
        <v>życie</v>
      </c>
      <c r="H2828" t="str">
        <f>_xlfn.XLOOKUP(transakcje[[#This Row],[kategoria]],parametr[kategoria],parametr[typ])</f>
        <v>wydatki</v>
      </c>
      <c r="I2828" s="1">
        <f>ABS(transakcje[[#This Row],[kwota]])</f>
        <v>7.306</v>
      </c>
    </row>
    <row r="2829" spans="1:9" x14ac:dyDescent="0.3">
      <c r="A2829">
        <v>2828</v>
      </c>
      <c r="B2829">
        <v>2019</v>
      </c>
      <c r="C2829">
        <v>7</v>
      </c>
      <c r="D2829">
        <v>7</v>
      </c>
      <c r="E2829" s="1">
        <v>-7.38</v>
      </c>
      <c r="F2829" t="s">
        <v>23</v>
      </c>
      <c r="G2829" t="str">
        <f>_xlfn.XLOOKUP(transakcje[[#This Row],[podkategoria]],parametr[podkategoria],parametr[kategoria])</f>
        <v>opłaty stałe</v>
      </c>
      <c r="H2829" t="str">
        <f>_xlfn.XLOOKUP(transakcje[[#This Row],[kategoria]],parametr[kategoria],parametr[typ])</f>
        <v>wydatki</v>
      </c>
      <c r="I2829" s="1">
        <f>ABS(transakcje[[#This Row],[kwota]])</f>
        <v>7.38</v>
      </c>
    </row>
    <row r="2830" spans="1:9" x14ac:dyDescent="0.3">
      <c r="A2830">
        <v>2829</v>
      </c>
      <c r="B2830">
        <v>2019</v>
      </c>
      <c r="C2830">
        <v>7</v>
      </c>
      <c r="D2830">
        <v>8</v>
      </c>
      <c r="E2830" s="1">
        <v>-8.8099999999999987</v>
      </c>
      <c r="F2830" t="s">
        <v>26</v>
      </c>
      <c r="G2830" t="str">
        <f>_xlfn.XLOOKUP(transakcje[[#This Row],[podkategoria]],parametr[podkategoria],parametr[kategoria])</f>
        <v>życie</v>
      </c>
      <c r="H2830" t="str">
        <f>_xlfn.XLOOKUP(transakcje[[#This Row],[kategoria]],parametr[kategoria],parametr[typ])</f>
        <v>wydatki</v>
      </c>
      <c r="I2830" s="1">
        <f>ABS(transakcje[[#This Row],[kwota]])</f>
        <v>8.8099999999999987</v>
      </c>
    </row>
    <row r="2831" spans="1:9" x14ac:dyDescent="0.3">
      <c r="A2831">
        <v>2830</v>
      </c>
      <c r="B2831">
        <v>2019</v>
      </c>
      <c r="C2831">
        <v>7</v>
      </c>
      <c r="D2831">
        <v>10</v>
      </c>
      <c r="E2831" s="1">
        <v>-4.5679999999999996</v>
      </c>
      <c r="F2831" t="s">
        <v>26</v>
      </c>
      <c r="G2831" t="str">
        <f>_xlfn.XLOOKUP(transakcje[[#This Row],[podkategoria]],parametr[podkategoria],parametr[kategoria])</f>
        <v>życie</v>
      </c>
      <c r="H2831" t="str">
        <f>_xlfn.XLOOKUP(transakcje[[#This Row],[kategoria]],parametr[kategoria],parametr[typ])</f>
        <v>wydatki</v>
      </c>
      <c r="I2831" s="1">
        <f>ABS(transakcje[[#This Row],[kwota]])</f>
        <v>4.5679999999999996</v>
      </c>
    </row>
    <row r="2832" spans="1:9" x14ac:dyDescent="0.3">
      <c r="A2832">
        <v>2831</v>
      </c>
      <c r="B2832">
        <v>2019</v>
      </c>
      <c r="C2832">
        <v>7</v>
      </c>
      <c r="D2832">
        <v>12</v>
      </c>
      <c r="E2832" s="1">
        <v>-0.39800000000000002</v>
      </c>
      <c r="F2832" t="s">
        <v>14</v>
      </c>
      <c r="G2832" t="str">
        <f>_xlfn.XLOOKUP(transakcje[[#This Row],[podkategoria]],parametr[podkategoria],parametr[kategoria])</f>
        <v>opłaty stałe</v>
      </c>
      <c r="H2832" t="str">
        <f>_xlfn.XLOOKUP(transakcje[[#This Row],[kategoria]],parametr[kategoria],parametr[typ])</f>
        <v>wydatki</v>
      </c>
      <c r="I2832" s="1">
        <f>ABS(transakcje[[#This Row],[kwota]])</f>
        <v>0.39800000000000002</v>
      </c>
    </row>
    <row r="2833" spans="1:9" x14ac:dyDescent="0.3">
      <c r="A2833">
        <v>2832</v>
      </c>
      <c r="B2833">
        <v>2019</v>
      </c>
      <c r="C2833">
        <v>7</v>
      </c>
      <c r="D2833">
        <v>12</v>
      </c>
      <c r="E2833" s="1">
        <v>-11.684000000000001</v>
      </c>
      <c r="F2833" t="s">
        <v>26</v>
      </c>
      <c r="G2833" t="str">
        <f>_xlfn.XLOOKUP(transakcje[[#This Row],[podkategoria]],parametr[podkategoria],parametr[kategoria])</f>
        <v>życie</v>
      </c>
      <c r="H2833" t="str">
        <f>_xlfn.XLOOKUP(transakcje[[#This Row],[kategoria]],parametr[kategoria],parametr[typ])</f>
        <v>wydatki</v>
      </c>
      <c r="I2833" s="1">
        <f>ABS(transakcje[[#This Row],[kwota]])</f>
        <v>11.684000000000001</v>
      </c>
    </row>
    <row r="2834" spans="1:9" x14ac:dyDescent="0.3">
      <c r="A2834">
        <v>2833</v>
      </c>
      <c r="B2834">
        <v>2019</v>
      </c>
      <c r="C2834">
        <v>7</v>
      </c>
      <c r="D2834">
        <v>12</v>
      </c>
      <c r="E2834" s="1">
        <v>-0.59800000000000009</v>
      </c>
      <c r="F2834" t="s">
        <v>26</v>
      </c>
      <c r="G2834" t="str">
        <f>_xlfn.XLOOKUP(transakcje[[#This Row],[podkategoria]],parametr[podkategoria],parametr[kategoria])</f>
        <v>życie</v>
      </c>
      <c r="H2834" t="str">
        <f>_xlfn.XLOOKUP(transakcje[[#This Row],[kategoria]],parametr[kategoria],parametr[typ])</f>
        <v>wydatki</v>
      </c>
      <c r="I2834" s="1">
        <f>ABS(transakcje[[#This Row],[kwota]])</f>
        <v>0.59800000000000009</v>
      </c>
    </row>
    <row r="2835" spans="1:9" x14ac:dyDescent="0.3">
      <c r="A2835">
        <v>2834</v>
      </c>
      <c r="B2835">
        <v>2019</v>
      </c>
      <c r="C2835">
        <v>7</v>
      </c>
      <c r="D2835">
        <v>15</v>
      </c>
      <c r="E2835" s="1">
        <v>-7.492</v>
      </c>
      <c r="F2835" t="s">
        <v>26</v>
      </c>
      <c r="G2835" t="str">
        <f>_xlfn.XLOOKUP(transakcje[[#This Row],[podkategoria]],parametr[podkategoria],parametr[kategoria])</f>
        <v>życie</v>
      </c>
      <c r="H2835" t="str">
        <f>_xlfn.XLOOKUP(transakcje[[#This Row],[kategoria]],parametr[kategoria],parametr[typ])</f>
        <v>wydatki</v>
      </c>
      <c r="I2835" s="1">
        <f>ABS(transakcje[[#This Row],[kwota]])</f>
        <v>7.492</v>
      </c>
    </row>
    <row r="2836" spans="1:9" x14ac:dyDescent="0.3">
      <c r="A2836">
        <v>2835</v>
      </c>
      <c r="B2836">
        <v>2019</v>
      </c>
      <c r="C2836">
        <v>7</v>
      </c>
      <c r="D2836">
        <v>16</v>
      </c>
      <c r="E2836" s="1">
        <v>-0.312</v>
      </c>
      <c r="F2836" t="s">
        <v>26</v>
      </c>
      <c r="G2836" t="str">
        <f>_xlfn.XLOOKUP(transakcje[[#This Row],[podkategoria]],parametr[podkategoria],parametr[kategoria])</f>
        <v>życie</v>
      </c>
      <c r="H2836" t="str">
        <f>_xlfn.XLOOKUP(transakcje[[#This Row],[kategoria]],parametr[kategoria],parametr[typ])</f>
        <v>wydatki</v>
      </c>
      <c r="I2836" s="1">
        <f>ABS(transakcje[[#This Row],[kwota]])</f>
        <v>0.312</v>
      </c>
    </row>
    <row r="2837" spans="1:9" x14ac:dyDescent="0.3">
      <c r="A2837">
        <v>2836</v>
      </c>
      <c r="B2837">
        <v>2019</v>
      </c>
      <c r="C2837">
        <v>7</v>
      </c>
      <c r="D2837">
        <v>16</v>
      </c>
      <c r="E2837" s="1">
        <v>-1.1119999999999999</v>
      </c>
      <c r="F2837" t="s">
        <v>26</v>
      </c>
      <c r="G2837" t="str">
        <f>_xlfn.XLOOKUP(transakcje[[#This Row],[podkategoria]],parametr[podkategoria],parametr[kategoria])</f>
        <v>życie</v>
      </c>
      <c r="H2837" t="str">
        <f>_xlfn.XLOOKUP(transakcje[[#This Row],[kategoria]],parametr[kategoria],parametr[typ])</f>
        <v>wydatki</v>
      </c>
      <c r="I2837" s="1">
        <f>ABS(transakcje[[#This Row],[kwota]])</f>
        <v>1.1119999999999999</v>
      </c>
    </row>
    <row r="2838" spans="1:9" x14ac:dyDescent="0.3">
      <c r="A2838">
        <v>2837</v>
      </c>
      <c r="B2838">
        <v>2019</v>
      </c>
      <c r="C2838">
        <v>7</v>
      </c>
      <c r="D2838">
        <v>18</v>
      </c>
      <c r="E2838" s="1">
        <v>-8.7099999999999991</v>
      </c>
      <c r="F2838" t="s">
        <v>26</v>
      </c>
      <c r="G2838" t="str">
        <f>_xlfn.XLOOKUP(transakcje[[#This Row],[podkategoria]],parametr[podkategoria],parametr[kategoria])</f>
        <v>życie</v>
      </c>
      <c r="H2838" t="str">
        <f>_xlfn.XLOOKUP(transakcje[[#This Row],[kategoria]],parametr[kategoria],parametr[typ])</f>
        <v>wydatki</v>
      </c>
      <c r="I2838" s="1">
        <f>ABS(transakcje[[#This Row],[kwota]])</f>
        <v>8.7099999999999991</v>
      </c>
    </row>
    <row r="2839" spans="1:9" x14ac:dyDescent="0.3">
      <c r="A2839">
        <v>2838</v>
      </c>
      <c r="B2839">
        <v>2019</v>
      </c>
      <c r="C2839">
        <v>7</v>
      </c>
      <c r="D2839">
        <v>19</v>
      </c>
      <c r="E2839" s="1">
        <v>-1.2</v>
      </c>
      <c r="F2839" t="s">
        <v>26</v>
      </c>
      <c r="G2839" t="str">
        <f>_xlfn.XLOOKUP(transakcje[[#This Row],[podkategoria]],parametr[podkategoria],parametr[kategoria])</f>
        <v>życie</v>
      </c>
      <c r="H2839" t="str">
        <f>_xlfn.XLOOKUP(transakcje[[#This Row],[kategoria]],parametr[kategoria],parametr[typ])</f>
        <v>wydatki</v>
      </c>
      <c r="I2839" s="1">
        <f>ABS(transakcje[[#This Row],[kwota]])</f>
        <v>1.2</v>
      </c>
    </row>
    <row r="2840" spans="1:9" x14ac:dyDescent="0.3">
      <c r="A2840">
        <v>2839</v>
      </c>
      <c r="B2840">
        <v>2019</v>
      </c>
      <c r="C2840">
        <v>7</v>
      </c>
      <c r="D2840">
        <v>19</v>
      </c>
      <c r="E2840" s="1">
        <v>-13.516</v>
      </c>
      <c r="F2840" t="s">
        <v>26</v>
      </c>
      <c r="G2840" t="str">
        <f>_xlfn.XLOOKUP(transakcje[[#This Row],[podkategoria]],parametr[podkategoria],parametr[kategoria])</f>
        <v>życie</v>
      </c>
      <c r="H2840" t="str">
        <f>_xlfn.XLOOKUP(transakcje[[#This Row],[kategoria]],parametr[kategoria],parametr[typ])</f>
        <v>wydatki</v>
      </c>
      <c r="I2840" s="1">
        <f>ABS(transakcje[[#This Row],[kwota]])</f>
        <v>13.516</v>
      </c>
    </row>
    <row r="2841" spans="1:9" x14ac:dyDescent="0.3">
      <c r="A2841">
        <v>2840</v>
      </c>
      <c r="B2841">
        <v>2019</v>
      </c>
      <c r="C2841">
        <v>7</v>
      </c>
      <c r="D2841">
        <v>20</v>
      </c>
      <c r="E2841" s="1">
        <v>-14.6</v>
      </c>
      <c r="F2841" t="s">
        <v>11</v>
      </c>
      <c r="G2841" t="str">
        <f>_xlfn.XLOOKUP(transakcje[[#This Row],[podkategoria]],parametr[podkategoria],parametr[kategoria])</f>
        <v>wydatki inne</v>
      </c>
      <c r="H2841" t="str">
        <f>_xlfn.XLOOKUP(transakcje[[#This Row],[kategoria]],parametr[kategoria],parametr[typ])</f>
        <v>wydatki</v>
      </c>
      <c r="I2841" s="1">
        <f>ABS(transakcje[[#This Row],[kwota]])</f>
        <v>14.6</v>
      </c>
    </row>
    <row r="2842" spans="1:9" x14ac:dyDescent="0.3">
      <c r="A2842">
        <v>2841</v>
      </c>
      <c r="B2842">
        <v>2019</v>
      </c>
      <c r="C2842">
        <v>7</v>
      </c>
      <c r="D2842">
        <v>22</v>
      </c>
      <c r="E2842" s="1">
        <v>-11.498000000000001</v>
      </c>
      <c r="F2842" t="s">
        <v>26</v>
      </c>
      <c r="G2842" t="str">
        <f>_xlfn.XLOOKUP(transakcje[[#This Row],[podkategoria]],parametr[podkategoria],parametr[kategoria])</f>
        <v>życie</v>
      </c>
      <c r="H2842" t="str">
        <f>_xlfn.XLOOKUP(transakcje[[#This Row],[kategoria]],parametr[kategoria],parametr[typ])</f>
        <v>wydatki</v>
      </c>
      <c r="I2842" s="1">
        <f>ABS(transakcje[[#This Row],[kwota]])</f>
        <v>11.498000000000001</v>
      </c>
    </row>
    <row r="2843" spans="1:9" x14ac:dyDescent="0.3">
      <c r="A2843">
        <v>2842</v>
      </c>
      <c r="B2843">
        <v>2019</v>
      </c>
      <c r="C2843">
        <v>7</v>
      </c>
      <c r="D2843">
        <v>25</v>
      </c>
      <c r="E2843" s="1">
        <v>641.08199999999999</v>
      </c>
      <c r="F2843" t="s">
        <v>8</v>
      </c>
      <c r="G2843" t="str">
        <f>_xlfn.XLOOKUP(transakcje[[#This Row],[podkategoria]],parametr[podkategoria],parametr[kategoria])</f>
        <v>dochody z pracy</v>
      </c>
      <c r="H2843" t="str">
        <f>_xlfn.XLOOKUP(transakcje[[#This Row],[kategoria]],parametr[kategoria],parametr[typ])</f>
        <v>dochody</v>
      </c>
      <c r="I2843" s="1">
        <f>ABS(transakcje[[#This Row],[kwota]])</f>
        <v>641.08199999999999</v>
      </c>
    </row>
    <row r="2844" spans="1:9" x14ac:dyDescent="0.3">
      <c r="A2844">
        <v>2843</v>
      </c>
      <c r="B2844">
        <v>2019</v>
      </c>
      <c r="C2844">
        <v>7</v>
      </c>
      <c r="D2844">
        <v>25</v>
      </c>
      <c r="E2844" s="1">
        <v>-6.6159999999999997</v>
      </c>
      <c r="F2844" t="s">
        <v>26</v>
      </c>
      <c r="G2844" t="str">
        <f>_xlfn.XLOOKUP(transakcje[[#This Row],[podkategoria]],parametr[podkategoria],parametr[kategoria])</f>
        <v>życie</v>
      </c>
      <c r="H2844" t="str">
        <f>_xlfn.XLOOKUP(transakcje[[#This Row],[kategoria]],parametr[kategoria],parametr[typ])</f>
        <v>wydatki</v>
      </c>
      <c r="I2844" s="1">
        <f>ABS(transakcje[[#This Row],[kwota]])</f>
        <v>6.6159999999999997</v>
      </c>
    </row>
    <row r="2845" spans="1:9" x14ac:dyDescent="0.3">
      <c r="A2845">
        <v>2844</v>
      </c>
      <c r="B2845">
        <v>2019</v>
      </c>
      <c r="C2845">
        <v>7</v>
      </c>
      <c r="D2845">
        <v>26</v>
      </c>
      <c r="E2845" s="1">
        <v>-4.9479999999999995</v>
      </c>
      <c r="F2845" t="s">
        <v>26</v>
      </c>
      <c r="G2845" t="str">
        <f>_xlfn.XLOOKUP(transakcje[[#This Row],[podkategoria]],parametr[podkategoria],parametr[kategoria])</f>
        <v>życie</v>
      </c>
      <c r="H2845" t="str">
        <f>_xlfn.XLOOKUP(transakcje[[#This Row],[kategoria]],parametr[kategoria],parametr[typ])</f>
        <v>wydatki</v>
      </c>
      <c r="I2845" s="1">
        <f>ABS(transakcje[[#This Row],[kwota]])</f>
        <v>4.9479999999999995</v>
      </c>
    </row>
    <row r="2846" spans="1:9" x14ac:dyDescent="0.3">
      <c r="A2846">
        <v>2845</v>
      </c>
      <c r="B2846">
        <v>2019</v>
      </c>
      <c r="C2846">
        <v>7</v>
      </c>
      <c r="D2846">
        <v>27</v>
      </c>
      <c r="E2846" s="1">
        <v>-20.399999999999999</v>
      </c>
      <c r="F2846" t="s">
        <v>32</v>
      </c>
      <c r="G2846" t="str">
        <f>_xlfn.XLOOKUP(transakcje[[#This Row],[podkategoria]],parametr[podkategoria],parametr[kategoria])</f>
        <v>opłaty stałe</v>
      </c>
      <c r="H2846" t="str">
        <f>_xlfn.XLOOKUP(transakcje[[#This Row],[kategoria]],parametr[kategoria],parametr[typ])</f>
        <v>wydatki</v>
      </c>
      <c r="I2846" s="1">
        <f>ABS(transakcje[[#This Row],[kwota]])</f>
        <v>20.399999999999999</v>
      </c>
    </row>
    <row r="2847" spans="1:9" x14ac:dyDescent="0.3">
      <c r="A2847">
        <v>2846</v>
      </c>
      <c r="B2847">
        <v>2019</v>
      </c>
      <c r="C2847">
        <v>7</v>
      </c>
      <c r="D2847">
        <v>31</v>
      </c>
      <c r="E2847" s="1">
        <v>-1.198</v>
      </c>
      <c r="F2847" t="s">
        <v>14</v>
      </c>
      <c r="G2847" t="str">
        <f>_xlfn.XLOOKUP(transakcje[[#This Row],[podkategoria]],parametr[podkategoria],parametr[kategoria])</f>
        <v>opłaty stałe</v>
      </c>
      <c r="H2847" t="str">
        <f>_xlfn.XLOOKUP(transakcje[[#This Row],[kategoria]],parametr[kategoria],parametr[typ])</f>
        <v>wydatki</v>
      </c>
      <c r="I2847" s="1">
        <f>ABS(transakcje[[#This Row],[kwota]])</f>
        <v>1.198</v>
      </c>
    </row>
    <row r="2848" spans="1:9" x14ac:dyDescent="0.3">
      <c r="A2848">
        <v>2847</v>
      </c>
      <c r="B2848">
        <v>2019</v>
      </c>
      <c r="C2848">
        <v>7</v>
      </c>
      <c r="D2848">
        <v>31</v>
      </c>
      <c r="E2848" s="1">
        <v>4.0000000000000001E-3</v>
      </c>
      <c r="F2848" t="s">
        <v>17</v>
      </c>
      <c r="G2848" t="str">
        <f>_xlfn.XLOOKUP(transakcje[[#This Row],[podkategoria]],parametr[podkategoria],parametr[kategoria])</f>
        <v>dochody pozostałe</v>
      </c>
      <c r="H2848" t="str">
        <f>_xlfn.XLOOKUP(transakcje[[#This Row],[kategoria]],parametr[kategoria],parametr[typ])</f>
        <v>dochody</v>
      </c>
      <c r="I2848" s="1">
        <f>ABS(transakcje[[#This Row],[kwota]])</f>
        <v>4.0000000000000001E-3</v>
      </c>
    </row>
    <row r="2849" spans="1:9" x14ac:dyDescent="0.3">
      <c r="A2849">
        <v>2848</v>
      </c>
      <c r="B2849">
        <v>2019</v>
      </c>
      <c r="C2849">
        <v>7</v>
      </c>
      <c r="D2849">
        <v>31</v>
      </c>
      <c r="E2849" s="1">
        <v>-2E-3</v>
      </c>
      <c r="F2849" t="s">
        <v>14</v>
      </c>
      <c r="G2849" t="str">
        <f>_xlfn.XLOOKUP(transakcje[[#This Row],[podkategoria]],parametr[podkategoria],parametr[kategoria])</f>
        <v>opłaty stałe</v>
      </c>
      <c r="H2849" t="str">
        <f>_xlfn.XLOOKUP(transakcje[[#This Row],[kategoria]],parametr[kategoria],parametr[typ])</f>
        <v>wydatki</v>
      </c>
      <c r="I2849" s="1">
        <f>ABS(transakcje[[#This Row],[kwota]])</f>
        <v>2E-3</v>
      </c>
    </row>
    <row r="2850" spans="1:9" x14ac:dyDescent="0.3">
      <c r="A2850">
        <v>2849</v>
      </c>
      <c r="B2850">
        <v>2019</v>
      </c>
      <c r="C2850">
        <v>7</v>
      </c>
      <c r="D2850">
        <v>31</v>
      </c>
      <c r="E2850" s="1">
        <v>-15.662000000000001</v>
      </c>
      <c r="F2850" t="s">
        <v>26</v>
      </c>
      <c r="G2850" t="str">
        <f>_xlfn.XLOOKUP(transakcje[[#This Row],[podkategoria]],parametr[podkategoria],parametr[kategoria])</f>
        <v>życie</v>
      </c>
      <c r="H2850" t="str">
        <f>_xlfn.XLOOKUP(transakcje[[#This Row],[kategoria]],parametr[kategoria],parametr[typ])</f>
        <v>wydatki</v>
      </c>
      <c r="I2850" s="1">
        <f>ABS(transakcje[[#This Row],[kwota]])</f>
        <v>15.662000000000001</v>
      </c>
    </row>
    <row r="2851" spans="1:9" x14ac:dyDescent="0.3">
      <c r="A2851">
        <v>2850</v>
      </c>
      <c r="B2851">
        <v>2019</v>
      </c>
      <c r="C2851">
        <v>8</v>
      </c>
      <c r="D2851">
        <v>1</v>
      </c>
      <c r="E2851" s="1">
        <v>-8.2540000000000013</v>
      </c>
      <c r="F2851" t="s">
        <v>26</v>
      </c>
      <c r="G2851" t="str">
        <f>_xlfn.XLOOKUP(transakcje[[#This Row],[podkategoria]],parametr[podkategoria],parametr[kategoria])</f>
        <v>życie</v>
      </c>
      <c r="H2851" t="str">
        <f>_xlfn.XLOOKUP(transakcje[[#This Row],[kategoria]],parametr[kategoria],parametr[typ])</f>
        <v>wydatki</v>
      </c>
      <c r="I2851" s="1">
        <f>ABS(transakcje[[#This Row],[kwota]])</f>
        <v>8.2540000000000013</v>
      </c>
    </row>
    <row r="2852" spans="1:9" x14ac:dyDescent="0.3">
      <c r="A2852">
        <v>2851</v>
      </c>
      <c r="B2852">
        <v>2019</v>
      </c>
      <c r="C2852">
        <v>8</v>
      </c>
      <c r="D2852">
        <v>1</v>
      </c>
      <c r="E2852" s="1">
        <v>169.256</v>
      </c>
      <c r="F2852" t="s">
        <v>19</v>
      </c>
      <c r="G2852" t="str">
        <f>_xlfn.XLOOKUP(transakcje[[#This Row],[podkategoria]],parametr[podkategoria],parametr[kategoria])</f>
        <v>dochody z pracy</v>
      </c>
      <c r="H2852" t="str">
        <f>_xlfn.XLOOKUP(transakcje[[#This Row],[kategoria]],parametr[kategoria],parametr[typ])</f>
        <v>dochody</v>
      </c>
      <c r="I2852" s="1">
        <f>ABS(transakcje[[#This Row],[kwota]])</f>
        <v>169.256</v>
      </c>
    </row>
    <row r="2853" spans="1:9" x14ac:dyDescent="0.3">
      <c r="A2853">
        <v>2852</v>
      </c>
      <c r="B2853">
        <v>2019</v>
      </c>
      <c r="C2853">
        <v>8</v>
      </c>
      <c r="D2853">
        <v>2</v>
      </c>
      <c r="E2853" s="1">
        <v>-0.04</v>
      </c>
      <c r="F2853" t="s">
        <v>14</v>
      </c>
      <c r="G2853" t="str">
        <f>_xlfn.XLOOKUP(transakcje[[#This Row],[podkategoria]],parametr[podkategoria],parametr[kategoria])</f>
        <v>opłaty stałe</v>
      </c>
      <c r="H2853" t="str">
        <f>_xlfn.XLOOKUP(transakcje[[#This Row],[kategoria]],parametr[kategoria],parametr[typ])</f>
        <v>wydatki</v>
      </c>
      <c r="I2853" s="1">
        <f>ABS(transakcje[[#This Row],[kwota]])</f>
        <v>0.04</v>
      </c>
    </row>
    <row r="2854" spans="1:9" x14ac:dyDescent="0.3">
      <c r="A2854">
        <v>2853</v>
      </c>
      <c r="B2854">
        <v>2019</v>
      </c>
      <c r="C2854">
        <v>8</v>
      </c>
      <c r="D2854">
        <v>4</v>
      </c>
      <c r="E2854" s="1">
        <v>-5.8</v>
      </c>
      <c r="F2854" t="s">
        <v>25</v>
      </c>
      <c r="G2854" t="str">
        <f>_xlfn.XLOOKUP(transakcje[[#This Row],[podkategoria]],parametr[podkategoria],parametr[kategoria])</f>
        <v>opłaty stałe</v>
      </c>
      <c r="H2854" t="str">
        <f>_xlfn.XLOOKUP(transakcje[[#This Row],[kategoria]],parametr[kategoria],parametr[typ])</f>
        <v>wydatki</v>
      </c>
      <c r="I2854" s="1">
        <f>ABS(transakcje[[#This Row],[kwota]])</f>
        <v>5.8</v>
      </c>
    </row>
    <row r="2855" spans="1:9" x14ac:dyDescent="0.3">
      <c r="A2855">
        <v>2854</v>
      </c>
      <c r="B2855">
        <v>2019</v>
      </c>
      <c r="C2855">
        <v>8</v>
      </c>
      <c r="D2855">
        <v>4</v>
      </c>
      <c r="E2855" s="1">
        <v>-26.288</v>
      </c>
      <c r="F2855" t="s">
        <v>11</v>
      </c>
      <c r="G2855" t="str">
        <f>_xlfn.XLOOKUP(transakcje[[#This Row],[podkategoria]],parametr[podkategoria],parametr[kategoria])</f>
        <v>wydatki inne</v>
      </c>
      <c r="H2855" t="str">
        <f>_xlfn.XLOOKUP(transakcje[[#This Row],[kategoria]],parametr[kategoria],parametr[typ])</f>
        <v>wydatki</v>
      </c>
      <c r="I2855" s="1">
        <f>ABS(transakcje[[#This Row],[kwota]])</f>
        <v>26.288</v>
      </c>
    </row>
    <row r="2856" spans="1:9" x14ac:dyDescent="0.3">
      <c r="A2856">
        <v>2855</v>
      </c>
      <c r="B2856">
        <v>2019</v>
      </c>
      <c r="C2856">
        <v>8</v>
      </c>
      <c r="D2856">
        <v>4</v>
      </c>
      <c r="E2856" s="1">
        <v>-72.138000000000005</v>
      </c>
      <c r="F2856" t="s">
        <v>31</v>
      </c>
      <c r="G2856" t="str">
        <f>_xlfn.XLOOKUP(transakcje[[#This Row],[podkategoria]],parametr[podkategoria],parametr[kategoria])</f>
        <v>opłaty stałe</v>
      </c>
      <c r="H2856" t="str">
        <f>_xlfn.XLOOKUP(transakcje[[#This Row],[kategoria]],parametr[kategoria],parametr[typ])</f>
        <v>wydatki</v>
      </c>
      <c r="I2856" s="1">
        <f>ABS(transakcje[[#This Row],[kwota]])</f>
        <v>72.138000000000005</v>
      </c>
    </row>
    <row r="2857" spans="1:9" x14ac:dyDescent="0.3">
      <c r="A2857">
        <v>2856</v>
      </c>
      <c r="B2857">
        <v>2019</v>
      </c>
      <c r="C2857">
        <v>8</v>
      </c>
      <c r="D2857">
        <v>4</v>
      </c>
      <c r="E2857" s="1">
        <v>-7.38</v>
      </c>
      <c r="F2857" t="s">
        <v>23</v>
      </c>
      <c r="G2857" t="str">
        <f>_xlfn.XLOOKUP(transakcje[[#This Row],[podkategoria]],parametr[podkategoria],parametr[kategoria])</f>
        <v>opłaty stałe</v>
      </c>
      <c r="H2857" t="str">
        <f>_xlfn.XLOOKUP(transakcje[[#This Row],[kategoria]],parametr[kategoria],parametr[typ])</f>
        <v>wydatki</v>
      </c>
      <c r="I2857" s="1">
        <f>ABS(transakcje[[#This Row],[kwota]])</f>
        <v>7.38</v>
      </c>
    </row>
    <row r="2858" spans="1:9" x14ac:dyDescent="0.3">
      <c r="A2858">
        <v>2857</v>
      </c>
      <c r="B2858">
        <v>2019</v>
      </c>
      <c r="C2858">
        <v>8</v>
      </c>
      <c r="D2858">
        <v>6</v>
      </c>
      <c r="E2858" s="1">
        <v>-6.3940000000000001</v>
      </c>
      <c r="F2858" t="s">
        <v>26</v>
      </c>
      <c r="G2858" t="str">
        <f>_xlfn.XLOOKUP(transakcje[[#This Row],[podkategoria]],parametr[podkategoria],parametr[kategoria])</f>
        <v>życie</v>
      </c>
      <c r="H2858" t="str">
        <f>_xlfn.XLOOKUP(transakcje[[#This Row],[kategoria]],parametr[kategoria],parametr[typ])</f>
        <v>wydatki</v>
      </c>
      <c r="I2858" s="1">
        <f>ABS(transakcje[[#This Row],[kwota]])</f>
        <v>6.3940000000000001</v>
      </c>
    </row>
    <row r="2859" spans="1:9" x14ac:dyDescent="0.3">
      <c r="A2859">
        <v>2858</v>
      </c>
      <c r="B2859">
        <v>2019</v>
      </c>
      <c r="C2859">
        <v>8</v>
      </c>
      <c r="D2859">
        <v>6</v>
      </c>
      <c r="E2859" s="1">
        <v>-6.9799999999999995</v>
      </c>
      <c r="F2859" t="s">
        <v>11</v>
      </c>
      <c r="G2859" t="str">
        <f>_xlfn.XLOOKUP(transakcje[[#This Row],[podkategoria]],parametr[podkategoria],parametr[kategoria])</f>
        <v>wydatki inne</v>
      </c>
      <c r="H2859" t="str">
        <f>_xlfn.XLOOKUP(transakcje[[#This Row],[kategoria]],parametr[kategoria],parametr[typ])</f>
        <v>wydatki</v>
      </c>
      <c r="I2859" s="1">
        <f>ABS(transakcje[[#This Row],[kwota]])</f>
        <v>6.9799999999999995</v>
      </c>
    </row>
    <row r="2860" spans="1:9" x14ac:dyDescent="0.3">
      <c r="A2860">
        <v>2859</v>
      </c>
      <c r="B2860">
        <v>2019</v>
      </c>
      <c r="C2860">
        <v>8</v>
      </c>
      <c r="D2860">
        <v>9</v>
      </c>
      <c r="E2860" s="1">
        <v>-3.7039999999999997</v>
      </c>
      <c r="F2860" t="s">
        <v>26</v>
      </c>
      <c r="G2860" t="str">
        <f>_xlfn.XLOOKUP(transakcje[[#This Row],[podkategoria]],parametr[podkategoria],parametr[kategoria])</f>
        <v>życie</v>
      </c>
      <c r="H2860" t="str">
        <f>_xlfn.XLOOKUP(transakcje[[#This Row],[kategoria]],parametr[kategoria],parametr[typ])</f>
        <v>wydatki</v>
      </c>
      <c r="I2860" s="1">
        <f>ABS(transakcje[[#This Row],[kwota]])</f>
        <v>3.7039999999999997</v>
      </c>
    </row>
    <row r="2861" spans="1:9" x14ac:dyDescent="0.3">
      <c r="A2861">
        <v>2860</v>
      </c>
      <c r="B2861">
        <v>2019</v>
      </c>
      <c r="C2861">
        <v>8</v>
      </c>
      <c r="D2861">
        <v>9</v>
      </c>
      <c r="E2861" s="1">
        <v>-0.39800000000000002</v>
      </c>
      <c r="F2861" t="s">
        <v>14</v>
      </c>
      <c r="G2861" t="str">
        <f>_xlfn.XLOOKUP(transakcje[[#This Row],[podkategoria]],parametr[podkategoria],parametr[kategoria])</f>
        <v>opłaty stałe</v>
      </c>
      <c r="H2861" t="str">
        <f>_xlfn.XLOOKUP(transakcje[[#This Row],[kategoria]],parametr[kategoria],parametr[typ])</f>
        <v>wydatki</v>
      </c>
      <c r="I2861" s="1">
        <f>ABS(transakcje[[#This Row],[kwota]])</f>
        <v>0.39800000000000002</v>
      </c>
    </row>
    <row r="2862" spans="1:9" x14ac:dyDescent="0.3">
      <c r="A2862">
        <v>2861</v>
      </c>
      <c r="B2862">
        <v>2019</v>
      </c>
      <c r="C2862">
        <v>8</v>
      </c>
      <c r="D2862">
        <v>12</v>
      </c>
      <c r="E2862" s="1">
        <v>-8.418000000000001</v>
      </c>
      <c r="F2862" t="s">
        <v>26</v>
      </c>
      <c r="G2862" t="str">
        <f>_xlfn.XLOOKUP(transakcje[[#This Row],[podkategoria]],parametr[podkategoria],parametr[kategoria])</f>
        <v>życie</v>
      </c>
      <c r="H2862" t="str">
        <f>_xlfn.XLOOKUP(transakcje[[#This Row],[kategoria]],parametr[kategoria],parametr[typ])</f>
        <v>wydatki</v>
      </c>
      <c r="I2862" s="1">
        <f>ABS(transakcje[[#This Row],[kwota]])</f>
        <v>8.418000000000001</v>
      </c>
    </row>
    <row r="2863" spans="1:9" x14ac:dyDescent="0.3">
      <c r="A2863">
        <v>2862</v>
      </c>
      <c r="B2863">
        <v>2019</v>
      </c>
      <c r="C2863">
        <v>8</v>
      </c>
      <c r="D2863">
        <v>13</v>
      </c>
      <c r="E2863" s="1">
        <v>-6.15</v>
      </c>
      <c r="F2863" t="s">
        <v>26</v>
      </c>
      <c r="G2863" t="str">
        <f>_xlfn.XLOOKUP(transakcje[[#This Row],[podkategoria]],parametr[podkategoria],parametr[kategoria])</f>
        <v>życie</v>
      </c>
      <c r="H2863" t="str">
        <f>_xlfn.XLOOKUP(transakcje[[#This Row],[kategoria]],parametr[kategoria],parametr[typ])</f>
        <v>wydatki</v>
      </c>
      <c r="I2863" s="1">
        <f>ABS(transakcje[[#This Row],[kwota]])</f>
        <v>6.15</v>
      </c>
    </row>
    <row r="2864" spans="1:9" x14ac:dyDescent="0.3">
      <c r="A2864">
        <v>2863</v>
      </c>
      <c r="B2864">
        <v>2019</v>
      </c>
      <c r="C2864">
        <v>8</v>
      </c>
      <c r="D2864">
        <v>16</v>
      </c>
      <c r="E2864" s="1">
        <v>-10.036</v>
      </c>
      <c r="F2864" t="s">
        <v>26</v>
      </c>
      <c r="G2864" t="str">
        <f>_xlfn.XLOOKUP(transakcje[[#This Row],[podkategoria]],parametr[podkategoria],parametr[kategoria])</f>
        <v>życie</v>
      </c>
      <c r="H2864" t="str">
        <f>_xlfn.XLOOKUP(transakcje[[#This Row],[kategoria]],parametr[kategoria],parametr[typ])</f>
        <v>wydatki</v>
      </c>
      <c r="I2864" s="1">
        <f>ABS(transakcje[[#This Row],[kwota]])</f>
        <v>10.036</v>
      </c>
    </row>
    <row r="2865" spans="1:9" x14ac:dyDescent="0.3">
      <c r="A2865">
        <v>2864</v>
      </c>
      <c r="B2865">
        <v>2019</v>
      </c>
      <c r="C2865">
        <v>8</v>
      </c>
      <c r="D2865">
        <v>19</v>
      </c>
      <c r="E2865" s="1">
        <v>-7.19</v>
      </c>
      <c r="F2865" t="s">
        <v>26</v>
      </c>
      <c r="G2865" t="str">
        <f>_xlfn.XLOOKUP(transakcje[[#This Row],[podkategoria]],parametr[podkategoria],parametr[kategoria])</f>
        <v>życie</v>
      </c>
      <c r="H2865" t="str">
        <f>_xlfn.XLOOKUP(transakcje[[#This Row],[kategoria]],parametr[kategoria],parametr[typ])</f>
        <v>wydatki</v>
      </c>
      <c r="I2865" s="1">
        <f>ABS(transakcje[[#This Row],[kwota]])</f>
        <v>7.19</v>
      </c>
    </row>
    <row r="2866" spans="1:9" x14ac:dyDescent="0.3">
      <c r="A2866">
        <v>2865</v>
      </c>
      <c r="B2866">
        <v>2019</v>
      </c>
      <c r="C2866">
        <v>8</v>
      </c>
      <c r="D2866">
        <v>22</v>
      </c>
      <c r="E2866" s="1">
        <v>-11.616</v>
      </c>
      <c r="F2866" t="s">
        <v>26</v>
      </c>
      <c r="G2866" t="str">
        <f>_xlfn.XLOOKUP(transakcje[[#This Row],[podkategoria]],parametr[podkategoria],parametr[kategoria])</f>
        <v>życie</v>
      </c>
      <c r="H2866" t="str">
        <f>_xlfn.XLOOKUP(transakcje[[#This Row],[kategoria]],parametr[kategoria],parametr[typ])</f>
        <v>wydatki</v>
      </c>
      <c r="I2866" s="1">
        <f>ABS(transakcje[[#This Row],[kwota]])</f>
        <v>11.616</v>
      </c>
    </row>
    <row r="2867" spans="1:9" x14ac:dyDescent="0.3">
      <c r="A2867">
        <v>2866</v>
      </c>
      <c r="B2867">
        <v>2019</v>
      </c>
      <c r="C2867">
        <v>8</v>
      </c>
      <c r="D2867">
        <v>23</v>
      </c>
      <c r="E2867" s="1">
        <v>-22.544</v>
      </c>
      <c r="F2867" t="s">
        <v>26</v>
      </c>
      <c r="G2867" t="str">
        <f>_xlfn.XLOOKUP(transakcje[[#This Row],[podkategoria]],parametr[podkategoria],parametr[kategoria])</f>
        <v>życie</v>
      </c>
      <c r="H2867" t="str">
        <f>_xlfn.XLOOKUP(transakcje[[#This Row],[kategoria]],parametr[kategoria],parametr[typ])</f>
        <v>wydatki</v>
      </c>
      <c r="I2867" s="1">
        <f>ABS(transakcje[[#This Row],[kwota]])</f>
        <v>22.544</v>
      </c>
    </row>
    <row r="2868" spans="1:9" x14ac:dyDescent="0.3">
      <c r="A2868">
        <v>2867</v>
      </c>
      <c r="B2868">
        <v>2019</v>
      </c>
      <c r="C2868">
        <v>8</v>
      </c>
      <c r="D2868">
        <v>23</v>
      </c>
      <c r="E2868" s="1">
        <v>641.08199999999999</v>
      </c>
      <c r="F2868" t="s">
        <v>8</v>
      </c>
      <c r="G2868" t="str">
        <f>_xlfn.XLOOKUP(transakcje[[#This Row],[podkategoria]],parametr[podkategoria],parametr[kategoria])</f>
        <v>dochody z pracy</v>
      </c>
      <c r="H2868" t="str">
        <f>_xlfn.XLOOKUP(transakcje[[#This Row],[kategoria]],parametr[kategoria],parametr[typ])</f>
        <v>dochody</v>
      </c>
      <c r="I2868" s="1">
        <f>ABS(transakcje[[#This Row],[kwota]])</f>
        <v>641.08199999999999</v>
      </c>
    </row>
    <row r="2869" spans="1:9" x14ac:dyDescent="0.3">
      <c r="A2869">
        <v>2868</v>
      </c>
      <c r="B2869">
        <v>2019</v>
      </c>
      <c r="C2869">
        <v>8</v>
      </c>
      <c r="D2869">
        <v>24</v>
      </c>
      <c r="E2869" s="1">
        <v>-19.8</v>
      </c>
      <c r="F2869" t="s">
        <v>32</v>
      </c>
      <c r="G2869" t="str">
        <f>_xlfn.XLOOKUP(transakcje[[#This Row],[podkategoria]],parametr[podkategoria],parametr[kategoria])</f>
        <v>opłaty stałe</v>
      </c>
      <c r="H2869" t="str">
        <f>_xlfn.XLOOKUP(transakcje[[#This Row],[kategoria]],parametr[kategoria],parametr[typ])</f>
        <v>wydatki</v>
      </c>
      <c r="I2869" s="1">
        <f>ABS(transakcje[[#This Row],[kwota]])</f>
        <v>19.8</v>
      </c>
    </row>
    <row r="2870" spans="1:9" x14ac:dyDescent="0.3">
      <c r="A2870">
        <v>2869</v>
      </c>
      <c r="B2870">
        <v>2019</v>
      </c>
      <c r="C2870">
        <v>8</v>
      </c>
      <c r="D2870">
        <v>26</v>
      </c>
      <c r="E2870" s="1">
        <v>-8.3659999999999997</v>
      </c>
      <c r="F2870" t="s">
        <v>26</v>
      </c>
      <c r="G2870" t="str">
        <f>_xlfn.XLOOKUP(transakcje[[#This Row],[podkategoria]],parametr[podkategoria],parametr[kategoria])</f>
        <v>życie</v>
      </c>
      <c r="H2870" t="str">
        <f>_xlfn.XLOOKUP(transakcje[[#This Row],[kategoria]],parametr[kategoria],parametr[typ])</f>
        <v>wydatki</v>
      </c>
      <c r="I2870" s="1">
        <f>ABS(transakcje[[#This Row],[kwota]])</f>
        <v>8.3659999999999997</v>
      </c>
    </row>
    <row r="2871" spans="1:9" x14ac:dyDescent="0.3">
      <c r="A2871">
        <v>2870</v>
      </c>
      <c r="B2871">
        <v>2019</v>
      </c>
      <c r="C2871">
        <v>8</v>
      </c>
      <c r="D2871">
        <v>29</v>
      </c>
      <c r="E2871" s="1">
        <v>-5.3439999999999994</v>
      </c>
      <c r="F2871" t="s">
        <v>26</v>
      </c>
      <c r="G2871" t="str">
        <f>_xlfn.XLOOKUP(transakcje[[#This Row],[podkategoria]],parametr[podkategoria],parametr[kategoria])</f>
        <v>życie</v>
      </c>
      <c r="H2871" t="str">
        <f>_xlfn.XLOOKUP(transakcje[[#This Row],[kategoria]],parametr[kategoria],parametr[typ])</f>
        <v>wydatki</v>
      </c>
      <c r="I2871" s="1">
        <f>ABS(transakcje[[#This Row],[kwota]])</f>
        <v>5.3439999999999994</v>
      </c>
    </row>
    <row r="2872" spans="1:9" x14ac:dyDescent="0.3">
      <c r="A2872">
        <v>2871</v>
      </c>
      <c r="B2872">
        <v>2019</v>
      </c>
      <c r="C2872">
        <v>8</v>
      </c>
      <c r="D2872">
        <v>31</v>
      </c>
      <c r="E2872" s="1">
        <v>-1.198</v>
      </c>
      <c r="F2872" t="s">
        <v>14</v>
      </c>
      <c r="G2872" t="str">
        <f>_xlfn.XLOOKUP(transakcje[[#This Row],[podkategoria]],parametr[podkategoria],parametr[kategoria])</f>
        <v>opłaty stałe</v>
      </c>
      <c r="H2872" t="str">
        <f>_xlfn.XLOOKUP(transakcje[[#This Row],[kategoria]],parametr[kategoria],parametr[typ])</f>
        <v>wydatki</v>
      </c>
      <c r="I2872" s="1">
        <f>ABS(transakcje[[#This Row],[kwota]])</f>
        <v>1.198</v>
      </c>
    </row>
    <row r="2873" spans="1:9" x14ac:dyDescent="0.3">
      <c r="A2873">
        <v>2872</v>
      </c>
      <c r="B2873">
        <v>2019</v>
      </c>
      <c r="C2873">
        <v>8</v>
      </c>
      <c r="D2873">
        <v>31</v>
      </c>
      <c r="E2873" s="1">
        <v>4.0000000000000001E-3</v>
      </c>
      <c r="F2873" t="s">
        <v>17</v>
      </c>
      <c r="G2873" t="str">
        <f>_xlfn.XLOOKUP(transakcje[[#This Row],[podkategoria]],parametr[podkategoria],parametr[kategoria])</f>
        <v>dochody pozostałe</v>
      </c>
      <c r="H2873" t="str">
        <f>_xlfn.XLOOKUP(transakcje[[#This Row],[kategoria]],parametr[kategoria],parametr[typ])</f>
        <v>dochody</v>
      </c>
      <c r="I2873" s="1">
        <f>ABS(transakcje[[#This Row],[kwota]])</f>
        <v>4.0000000000000001E-3</v>
      </c>
    </row>
    <row r="2874" spans="1:9" x14ac:dyDescent="0.3">
      <c r="A2874">
        <v>2873</v>
      </c>
      <c r="B2874">
        <v>2019</v>
      </c>
      <c r="C2874">
        <v>8</v>
      </c>
      <c r="D2874">
        <v>31</v>
      </c>
      <c r="E2874" s="1">
        <v>-0.8</v>
      </c>
      <c r="F2874" t="s">
        <v>11</v>
      </c>
      <c r="G2874" t="str">
        <f>_xlfn.XLOOKUP(transakcje[[#This Row],[podkategoria]],parametr[podkategoria],parametr[kategoria])</f>
        <v>wydatki inne</v>
      </c>
      <c r="H2874" t="str">
        <f>_xlfn.XLOOKUP(transakcje[[#This Row],[kategoria]],parametr[kategoria],parametr[typ])</f>
        <v>wydatki</v>
      </c>
      <c r="I2874" s="1">
        <f>ABS(transakcje[[#This Row],[kwota]])</f>
        <v>0.8</v>
      </c>
    </row>
    <row r="2875" spans="1:9" x14ac:dyDescent="0.3">
      <c r="A2875">
        <v>2874</v>
      </c>
      <c r="B2875">
        <v>2019</v>
      </c>
      <c r="C2875">
        <v>8</v>
      </c>
      <c r="D2875">
        <v>31</v>
      </c>
      <c r="E2875" s="1">
        <v>-2E-3</v>
      </c>
      <c r="F2875" t="s">
        <v>14</v>
      </c>
      <c r="G2875" t="str">
        <f>_xlfn.XLOOKUP(transakcje[[#This Row],[podkategoria]],parametr[podkategoria],parametr[kategoria])</f>
        <v>opłaty stałe</v>
      </c>
      <c r="H2875" t="str">
        <f>_xlfn.XLOOKUP(transakcje[[#This Row],[kategoria]],parametr[kategoria],parametr[typ])</f>
        <v>wydatki</v>
      </c>
      <c r="I2875" s="1">
        <f>ABS(transakcje[[#This Row],[kwota]])</f>
        <v>2E-3</v>
      </c>
    </row>
    <row r="2876" spans="1:9" x14ac:dyDescent="0.3">
      <c r="A2876">
        <v>2875</v>
      </c>
      <c r="B2876">
        <v>2019</v>
      </c>
      <c r="C2876">
        <v>8</v>
      </c>
      <c r="D2876">
        <v>31</v>
      </c>
      <c r="E2876" s="1">
        <v>-0.8</v>
      </c>
      <c r="F2876" t="s">
        <v>14</v>
      </c>
      <c r="G2876" t="str">
        <f>_xlfn.XLOOKUP(transakcje[[#This Row],[podkategoria]],parametr[podkategoria],parametr[kategoria])</f>
        <v>opłaty stałe</v>
      </c>
      <c r="H2876" t="str">
        <f>_xlfn.XLOOKUP(transakcje[[#This Row],[kategoria]],parametr[kategoria],parametr[typ])</f>
        <v>wydatki</v>
      </c>
      <c r="I2876" s="1">
        <f>ABS(transakcje[[#This Row],[kwota]])</f>
        <v>0.8</v>
      </c>
    </row>
    <row r="2877" spans="1:9" x14ac:dyDescent="0.3">
      <c r="A2877">
        <v>2876</v>
      </c>
      <c r="B2877">
        <v>2019</v>
      </c>
      <c r="C2877">
        <v>8</v>
      </c>
      <c r="D2877">
        <v>31</v>
      </c>
      <c r="E2877" s="1">
        <v>-46.4</v>
      </c>
      <c r="F2877" t="s">
        <v>30</v>
      </c>
      <c r="G2877" t="str">
        <f>_xlfn.XLOOKUP(transakcje[[#This Row],[podkategoria]],parametr[podkategoria],parametr[kategoria])</f>
        <v>opłaty stałe</v>
      </c>
      <c r="H2877" t="str">
        <f>_xlfn.XLOOKUP(transakcje[[#This Row],[kategoria]],parametr[kategoria],parametr[typ])</f>
        <v>wydatki</v>
      </c>
      <c r="I2877" s="1">
        <f>ABS(transakcje[[#This Row],[kwota]])</f>
        <v>46.4</v>
      </c>
    </row>
    <row r="2878" spans="1:9" x14ac:dyDescent="0.3">
      <c r="A2878">
        <v>2877</v>
      </c>
      <c r="B2878">
        <v>2019</v>
      </c>
      <c r="C2878">
        <v>9</v>
      </c>
      <c r="D2878">
        <v>1</v>
      </c>
      <c r="E2878" s="1">
        <v>-5.7700000000000005</v>
      </c>
      <c r="F2878" t="s">
        <v>35</v>
      </c>
      <c r="G2878" t="str">
        <f>_xlfn.XLOOKUP(transakcje[[#This Row],[podkategoria]],parametr[podkategoria],parametr[kategoria])</f>
        <v>opłaty stałe</v>
      </c>
      <c r="H2878" t="str">
        <f>_xlfn.XLOOKUP(transakcje[[#This Row],[kategoria]],parametr[kategoria],parametr[typ])</f>
        <v>wydatki</v>
      </c>
      <c r="I2878" s="1">
        <f>ABS(transakcje[[#This Row],[kwota]])</f>
        <v>5.7700000000000005</v>
      </c>
    </row>
    <row r="2879" spans="1:9" x14ac:dyDescent="0.3">
      <c r="A2879">
        <v>2878</v>
      </c>
      <c r="B2879">
        <v>2019</v>
      </c>
      <c r="C2879">
        <v>9</v>
      </c>
      <c r="D2879">
        <v>1</v>
      </c>
      <c r="E2879" s="1">
        <v>-14.158000000000001</v>
      </c>
      <c r="F2879" t="s">
        <v>34</v>
      </c>
      <c r="G2879" t="str">
        <f>_xlfn.XLOOKUP(transakcje[[#This Row],[podkategoria]],parametr[podkategoria],parametr[kategoria])</f>
        <v>opłaty stałe</v>
      </c>
      <c r="H2879" t="str">
        <f>_xlfn.XLOOKUP(transakcje[[#This Row],[kategoria]],parametr[kategoria],parametr[typ])</f>
        <v>wydatki</v>
      </c>
      <c r="I2879" s="1">
        <f>ABS(transakcje[[#This Row],[kwota]])</f>
        <v>14.158000000000001</v>
      </c>
    </row>
    <row r="2880" spans="1:9" x14ac:dyDescent="0.3">
      <c r="A2880">
        <v>2879</v>
      </c>
      <c r="B2880">
        <v>2019</v>
      </c>
      <c r="C2880">
        <v>9</v>
      </c>
      <c r="D2880">
        <v>1</v>
      </c>
      <c r="E2880" s="1">
        <v>-5.8</v>
      </c>
      <c r="F2880" t="s">
        <v>25</v>
      </c>
      <c r="G2880" t="str">
        <f>_xlfn.XLOOKUP(transakcje[[#This Row],[podkategoria]],parametr[podkategoria],parametr[kategoria])</f>
        <v>opłaty stałe</v>
      </c>
      <c r="H2880" t="str">
        <f>_xlfn.XLOOKUP(transakcje[[#This Row],[kategoria]],parametr[kategoria],parametr[typ])</f>
        <v>wydatki</v>
      </c>
      <c r="I2880" s="1">
        <f>ABS(transakcje[[#This Row],[kwota]])</f>
        <v>5.8</v>
      </c>
    </row>
    <row r="2881" spans="1:9" x14ac:dyDescent="0.3">
      <c r="A2881">
        <v>2880</v>
      </c>
      <c r="B2881">
        <v>2019</v>
      </c>
      <c r="C2881">
        <v>9</v>
      </c>
      <c r="D2881">
        <v>1</v>
      </c>
      <c r="E2881" s="1">
        <v>-7.38</v>
      </c>
      <c r="F2881" t="s">
        <v>23</v>
      </c>
      <c r="G2881" t="str">
        <f>_xlfn.XLOOKUP(transakcje[[#This Row],[podkategoria]],parametr[podkategoria],parametr[kategoria])</f>
        <v>opłaty stałe</v>
      </c>
      <c r="H2881" t="str">
        <f>_xlfn.XLOOKUP(transakcje[[#This Row],[kategoria]],parametr[kategoria],parametr[typ])</f>
        <v>wydatki</v>
      </c>
      <c r="I2881" s="1">
        <f>ABS(transakcje[[#This Row],[kwota]])</f>
        <v>7.38</v>
      </c>
    </row>
    <row r="2882" spans="1:9" x14ac:dyDescent="0.3">
      <c r="A2882">
        <v>2881</v>
      </c>
      <c r="B2882">
        <v>2019</v>
      </c>
      <c r="C2882">
        <v>9</v>
      </c>
      <c r="D2882">
        <v>1</v>
      </c>
      <c r="E2882" s="1">
        <v>-72.138000000000005</v>
      </c>
      <c r="F2882" t="s">
        <v>31</v>
      </c>
      <c r="G2882" t="str">
        <f>_xlfn.XLOOKUP(transakcje[[#This Row],[podkategoria]],parametr[podkategoria],parametr[kategoria])</f>
        <v>opłaty stałe</v>
      </c>
      <c r="H2882" t="str">
        <f>_xlfn.XLOOKUP(transakcje[[#This Row],[kategoria]],parametr[kategoria],parametr[typ])</f>
        <v>wydatki</v>
      </c>
      <c r="I2882" s="1">
        <f>ABS(transakcje[[#This Row],[kwota]])</f>
        <v>72.138000000000005</v>
      </c>
    </row>
    <row r="2883" spans="1:9" x14ac:dyDescent="0.3">
      <c r="A2883">
        <v>2882</v>
      </c>
      <c r="B2883">
        <v>2019</v>
      </c>
      <c r="C2883">
        <v>9</v>
      </c>
      <c r="D2883">
        <v>2</v>
      </c>
      <c r="E2883" s="1">
        <v>-0.52</v>
      </c>
      <c r="F2883" t="s">
        <v>14</v>
      </c>
      <c r="G2883" t="str">
        <f>_xlfn.XLOOKUP(transakcje[[#This Row],[podkategoria]],parametr[podkategoria],parametr[kategoria])</f>
        <v>opłaty stałe</v>
      </c>
      <c r="H2883" t="str">
        <f>_xlfn.XLOOKUP(transakcje[[#This Row],[kategoria]],parametr[kategoria],parametr[typ])</f>
        <v>wydatki</v>
      </c>
      <c r="I2883" s="1">
        <f>ABS(transakcje[[#This Row],[kwota]])</f>
        <v>0.52</v>
      </c>
    </row>
    <row r="2884" spans="1:9" x14ac:dyDescent="0.3">
      <c r="A2884">
        <v>2883</v>
      </c>
      <c r="B2884">
        <v>2019</v>
      </c>
      <c r="C2884">
        <v>9</v>
      </c>
      <c r="D2884">
        <v>3</v>
      </c>
      <c r="E2884" s="1">
        <v>-59.998000000000005</v>
      </c>
      <c r="F2884" t="s">
        <v>24</v>
      </c>
      <c r="G2884" t="str">
        <f>_xlfn.XLOOKUP(transakcje[[#This Row],[podkategoria]],parametr[podkategoria],parametr[kategoria])</f>
        <v>trwałe</v>
      </c>
      <c r="H2884" t="str">
        <f>_xlfn.XLOOKUP(transakcje[[#This Row],[kategoria]],parametr[kategoria],parametr[typ])</f>
        <v>wydatki</v>
      </c>
      <c r="I2884" s="1">
        <f>ABS(transakcje[[#This Row],[kwota]])</f>
        <v>59.998000000000005</v>
      </c>
    </row>
    <row r="2885" spans="1:9" x14ac:dyDescent="0.3">
      <c r="A2885">
        <v>2884</v>
      </c>
      <c r="B2885">
        <v>2019</v>
      </c>
      <c r="C2885">
        <v>9</v>
      </c>
      <c r="D2885">
        <v>5</v>
      </c>
      <c r="E2885" s="1">
        <v>-8.2540000000000013</v>
      </c>
      <c r="F2885" t="s">
        <v>26</v>
      </c>
      <c r="G2885" t="str">
        <f>_xlfn.XLOOKUP(transakcje[[#This Row],[podkategoria]],parametr[podkategoria],parametr[kategoria])</f>
        <v>życie</v>
      </c>
      <c r="H2885" t="str">
        <f>_xlfn.XLOOKUP(transakcje[[#This Row],[kategoria]],parametr[kategoria],parametr[typ])</f>
        <v>wydatki</v>
      </c>
      <c r="I2885" s="1">
        <f>ABS(transakcje[[#This Row],[kwota]])</f>
        <v>8.2540000000000013</v>
      </c>
    </row>
    <row r="2886" spans="1:9" x14ac:dyDescent="0.3">
      <c r="A2886">
        <v>2885</v>
      </c>
      <c r="B2886">
        <v>2019</v>
      </c>
      <c r="C2886">
        <v>9</v>
      </c>
      <c r="D2886">
        <v>6</v>
      </c>
      <c r="E2886" s="1">
        <v>-218.8</v>
      </c>
      <c r="F2886" t="s">
        <v>24</v>
      </c>
      <c r="G2886" t="str">
        <f>_xlfn.XLOOKUP(transakcje[[#This Row],[podkategoria]],parametr[podkategoria],parametr[kategoria])</f>
        <v>trwałe</v>
      </c>
      <c r="H2886" t="str">
        <f>_xlfn.XLOOKUP(transakcje[[#This Row],[kategoria]],parametr[kategoria],parametr[typ])</f>
        <v>wydatki</v>
      </c>
      <c r="I2886" s="1">
        <f>ABS(transakcje[[#This Row],[kwota]])</f>
        <v>218.8</v>
      </c>
    </row>
    <row r="2887" spans="1:9" x14ac:dyDescent="0.3">
      <c r="A2887">
        <v>2886</v>
      </c>
      <c r="B2887">
        <v>2019</v>
      </c>
      <c r="C2887">
        <v>9</v>
      </c>
      <c r="D2887">
        <v>13</v>
      </c>
      <c r="E2887" s="1">
        <v>-30</v>
      </c>
      <c r="F2887" t="s">
        <v>26</v>
      </c>
      <c r="G2887" t="str">
        <f>_xlfn.XLOOKUP(transakcje[[#This Row],[podkategoria]],parametr[podkategoria],parametr[kategoria])</f>
        <v>życie</v>
      </c>
      <c r="H2887" t="str">
        <f>_xlfn.XLOOKUP(transakcje[[#This Row],[kategoria]],parametr[kategoria],parametr[typ])</f>
        <v>wydatki</v>
      </c>
      <c r="I2887" s="1">
        <f>ABS(transakcje[[#This Row],[kwota]])</f>
        <v>30</v>
      </c>
    </row>
    <row r="2888" spans="1:9" x14ac:dyDescent="0.3">
      <c r="A2888">
        <v>2887</v>
      </c>
      <c r="B2888">
        <v>2019</v>
      </c>
      <c r="C2888">
        <v>9</v>
      </c>
      <c r="D2888">
        <v>14</v>
      </c>
      <c r="E2888" s="1">
        <v>-1.1279999999999999</v>
      </c>
      <c r="F2888" t="s">
        <v>26</v>
      </c>
      <c r="G2888" t="str">
        <f>_xlfn.XLOOKUP(transakcje[[#This Row],[podkategoria]],parametr[podkategoria],parametr[kategoria])</f>
        <v>życie</v>
      </c>
      <c r="H2888" t="str">
        <f>_xlfn.XLOOKUP(transakcje[[#This Row],[kategoria]],parametr[kategoria],parametr[typ])</f>
        <v>wydatki</v>
      </c>
      <c r="I2888" s="1">
        <f>ABS(transakcje[[#This Row],[kwota]])</f>
        <v>1.1279999999999999</v>
      </c>
    </row>
    <row r="2889" spans="1:9" x14ac:dyDescent="0.3">
      <c r="A2889">
        <v>2888</v>
      </c>
      <c r="B2889">
        <v>2019</v>
      </c>
      <c r="C2889">
        <v>9</v>
      </c>
      <c r="D2889">
        <v>16</v>
      </c>
      <c r="E2889" s="1">
        <v>-29.8</v>
      </c>
      <c r="F2889" t="s">
        <v>20</v>
      </c>
      <c r="G2889" t="str">
        <f>_xlfn.XLOOKUP(transakcje[[#This Row],[podkategoria]],parametr[podkategoria],parametr[kategoria])</f>
        <v>trwałe</v>
      </c>
      <c r="H2889" t="str">
        <f>_xlfn.XLOOKUP(transakcje[[#This Row],[kategoria]],parametr[kategoria],parametr[typ])</f>
        <v>wydatki</v>
      </c>
      <c r="I2889" s="1">
        <f>ABS(transakcje[[#This Row],[kwota]])</f>
        <v>29.8</v>
      </c>
    </row>
    <row r="2890" spans="1:9" x14ac:dyDescent="0.3">
      <c r="A2890">
        <v>2889</v>
      </c>
      <c r="B2890">
        <v>2019</v>
      </c>
      <c r="C2890">
        <v>9</v>
      </c>
      <c r="D2890">
        <v>16</v>
      </c>
      <c r="E2890" s="1">
        <v>-9.9079999999999995</v>
      </c>
      <c r="F2890" t="s">
        <v>26</v>
      </c>
      <c r="G2890" t="str">
        <f>_xlfn.XLOOKUP(transakcje[[#This Row],[podkategoria]],parametr[podkategoria],parametr[kategoria])</f>
        <v>życie</v>
      </c>
      <c r="H2890" t="str">
        <f>_xlfn.XLOOKUP(transakcje[[#This Row],[kategoria]],parametr[kategoria],parametr[typ])</f>
        <v>wydatki</v>
      </c>
      <c r="I2890" s="1">
        <f>ABS(transakcje[[#This Row],[kwota]])</f>
        <v>9.9079999999999995</v>
      </c>
    </row>
    <row r="2891" spans="1:9" x14ac:dyDescent="0.3">
      <c r="A2891">
        <v>2890</v>
      </c>
      <c r="B2891">
        <v>2019</v>
      </c>
      <c r="C2891">
        <v>9</v>
      </c>
      <c r="D2891">
        <v>17</v>
      </c>
      <c r="E2891" s="1">
        <v>-0.39800000000000002</v>
      </c>
      <c r="F2891" t="s">
        <v>14</v>
      </c>
      <c r="G2891" t="str">
        <f>_xlfn.XLOOKUP(transakcje[[#This Row],[podkategoria]],parametr[podkategoria],parametr[kategoria])</f>
        <v>opłaty stałe</v>
      </c>
      <c r="H2891" t="str">
        <f>_xlfn.XLOOKUP(transakcje[[#This Row],[kategoria]],parametr[kategoria],parametr[typ])</f>
        <v>wydatki</v>
      </c>
      <c r="I2891" s="1">
        <f>ABS(transakcje[[#This Row],[kwota]])</f>
        <v>0.39800000000000002</v>
      </c>
    </row>
    <row r="2892" spans="1:9" x14ac:dyDescent="0.3">
      <c r="A2892">
        <v>2891</v>
      </c>
      <c r="B2892">
        <v>2019</v>
      </c>
      <c r="C2892">
        <v>9</v>
      </c>
      <c r="D2892">
        <v>17</v>
      </c>
      <c r="E2892" s="1">
        <v>-3</v>
      </c>
      <c r="F2892" t="s">
        <v>11</v>
      </c>
      <c r="G2892" t="str">
        <f>_xlfn.XLOOKUP(transakcje[[#This Row],[podkategoria]],parametr[podkategoria],parametr[kategoria])</f>
        <v>wydatki inne</v>
      </c>
      <c r="H2892" t="str">
        <f>_xlfn.XLOOKUP(transakcje[[#This Row],[kategoria]],parametr[kategoria],parametr[typ])</f>
        <v>wydatki</v>
      </c>
      <c r="I2892" s="1">
        <f>ABS(transakcje[[#This Row],[kwota]])</f>
        <v>3</v>
      </c>
    </row>
    <row r="2893" spans="1:9" x14ac:dyDescent="0.3">
      <c r="A2893">
        <v>2892</v>
      </c>
      <c r="B2893">
        <v>2019</v>
      </c>
      <c r="C2893">
        <v>9</v>
      </c>
      <c r="D2893">
        <v>19</v>
      </c>
      <c r="E2893" s="1">
        <v>-20</v>
      </c>
      <c r="F2893" t="s">
        <v>26</v>
      </c>
      <c r="G2893" t="str">
        <f>_xlfn.XLOOKUP(transakcje[[#This Row],[podkategoria]],parametr[podkategoria],parametr[kategoria])</f>
        <v>życie</v>
      </c>
      <c r="H2893" t="str">
        <f>_xlfn.XLOOKUP(transakcje[[#This Row],[kategoria]],parametr[kategoria],parametr[typ])</f>
        <v>wydatki</v>
      </c>
      <c r="I2893" s="1">
        <f>ABS(transakcje[[#This Row],[kwota]])</f>
        <v>20</v>
      </c>
    </row>
    <row r="2894" spans="1:9" x14ac:dyDescent="0.3">
      <c r="A2894">
        <v>2893</v>
      </c>
      <c r="B2894">
        <v>2019</v>
      </c>
      <c r="C2894">
        <v>9</v>
      </c>
      <c r="D2894">
        <v>19</v>
      </c>
      <c r="E2894" s="1">
        <v>-336.19799999999998</v>
      </c>
      <c r="F2894" t="s">
        <v>11</v>
      </c>
      <c r="G2894" t="str">
        <f>_xlfn.XLOOKUP(transakcje[[#This Row],[podkategoria]],parametr[podkategoria],parametr[kategoria])</f>
        <v>wydatki inne</v>
      </c>
      <c r="H2894" t="str">
        <f>_xlfn.XLOOKUP(transakcje[[#This Row],[kategoria]],parametr[kategoria],parametr[typ])</f>
        <v>wydatki</v>
      </c>
      <c r="I2894" s="1">
        <f>ABS(transakcje[[#This Row],[kwota]])</f>
        <v>336.19799999999998</v>
      </c>
    </row>
    <row r="2895" spans="1:9" x14ac:dyDescent="0.3">
      <c r="A2895">
        <v>2894</v>
      </c>
      <c r="B2895">
        <v>2019</v>
      </c>
      <c r="C2895">
        <v>9</v>
      </c>
      <c r="D2895">
        <v>19</v>
      </c>
      <c r="E2895" s="1">
        <v>-7.5959999999999992</v>
      </c>
      <c r="F2895" t="s">
        <v>11</v>
      </c>
      <c r="G2895" t="str">
        <f>_xlfn.XLOOKUP(transakcje[[#This Row],[podkategoria]],parametr[podkategoria],parametr[kategoria])</f>
        <v>wydatki inne</v>
      </c>
      <c r="H2895" t="str">
        <f>_xlfn.XLOOKUP(transakcje[[#This Row],[kategoria]],parametr[kategoria],parametr[typ])</f>
        <v>wydatki</v>
      </c>
      <c r="I2895" s="1">
        <f>ABS(transakcje[[#This Row],[kwota]])</f>
        <v>7.5959999999999992</v>
      </c>
    </row>
    <row r="2896" spans="1:9" x14ac:dyDescent="0.3">
      <c r="A2896">
        <v>2895</v>
      </c>
      <c r="B2896">
        <v>2019</v>
      </c>
      <c r="C2896">
        <v>9</v>
      </c>
      <c r="D2896">
        <v>20</v>
      </c>
      <c r="E2896" s="1">
        <v>-6.3220000000000001</v>
      </c>
      <c r="F2896" t="s">
        <v>26</v>
      </c>
      <c r="G2896" t="str">
        <f>_xlfn.XLOOKUP(transakcje[[#This Row],[podkategoria]],parametr[podkategoria],parametr[kategoria])</f>
        <v>życie</v>
      </c>
      <c r="H2896" t="str">
        <f>_xlfn.XLOOKUP(transakcje[[#This Row],[kategoria]],parametr[kategoria],parametr[typ])</f>
        <v>wydatki</v>
      </c>
      <c r="I2896" s="1">
        <f>ABS(transakcje[[#This Row],[kwota]])</f>
        <v>6.3220000000000001</v>
      </c>
    </row>
    <row r="2897" spans="1:9" x14ac:dyDescent="0.3">
      <c r="A2897">
        <v>2896</v>
      </c>
      <c r="B2897">
        <v>2019</v>
      </c>
      <c r="C2897">
        <v>9</v>
      </c>
      <c r="D2897">
        <v>21</v>
      </c>
      <c r="E2897" s="1">
        <v>-3.222</v>
      </c>
      <c r="F2897" t="s">
        <v>26</v>
      </c>
      <c r="G2897" t="str">
        <f>_xlfn.XLOOKUP(transakcje[[#This Row],[podkategoria]],parametr[podkategoria],parametr[kategoria])</f>
        <v>życie</v>
      </c>
      <c r="H2897" t="str">
        <f>_xlfn.XLOOKUP(transakcje[[#This Row],[kategoria]],parametr[kategoria],parametr[typ])</f>
        <v>wydatki</v>
      </c>
      <c r="I2897" s="1">
        <f>ABS(transakcje[[#This Row],[kwota]])</f>
        <v>3.222</v>
      </c>
    </row>
    <row r="2898" spans="1:9" x14ac:dyDescent="0.3">
      <c r="A2898">
        <v>2897</v>
      </c>
      <c r="B2898">
        <v>2019</v>
      </c>
      <c r="C2898">
        <v>9</v>
      </c>
      <c r="D2898">
        <v>24</v>
      </c>
      <c r="E2898" s="1">
        <v>-44.727999999999994</v>
      </c>
      <c r="F2898" t="s">
        <v>20</v>
      </c>
      <c r="G2898" t="str">
        <f>_xlfn.XLOOKUP(transakcje[[#This Row],[podkategoria]],parametr[podkategoria],parametr[kategoria])</f>
        <v>trwałe</v>
      </c>
      <c r="H2898" t="str">
        <f>_xlfn.XLOOKUP(transakcje[[#This Row],[kategoria]],parametr[kategoria],parametr[typ])</f>
        <v>wydatki</v>
      </c>
      <c r="I2898" s="1">
        <f>ABS(transakcje[[#This Row],[kwota]])</f>
        <v>44.727999999999994</v>
      </c>
    </row>
    <row r="2899" spans="1:9" x14ac:dyDescent="0.3">
      <c r="A2899">
        <v>2898</v>
      </c>
      <c r="B2899">
        <v>2019</v>
      </c>
      <c r="C2899">
        <v>9</v>
      </c>
      <c r="D2899">
        <v>26</v>
      </c>
      <c r="E2899" s="1">
        <v>641.08199999999999</v>
      </c>
      <c r="F2899" t="s">
        <v>8</v>
      </c>
      <c r="G2899" t="str">
        <f>_xlfn.XLOOKUP(transakcje[[#This Row],[podkategoria]],parametr[podkategoria],parametr[kategoria])</f>
        <v>dochody z pracy</v>
      </c>
      <c r="H2899" t="str">
        <f>_xlfn.XLOOKUP(transakcje[[#This Row],[kategoria]],parametr[kategoria],parametr[typ])</f>
        <v>dochody</v>
      </c>
      <c r="I2899" s="1">
        <f>ABS(transakcje[[#This Row],[kwota]])</f>
        <v>641.08199999999999</v>
      </c>
    </row>
    <row r="2900" spans="1:9" x14ac:dyDescent="0.3">
      <c r="A2900">
        <v>2899</v>
      </c>
      <c r="B2900">
        <v>2019</v>
      </c>
      <c r="C2900">
        <v>9</v>
      </c>
      <c r="D2900">
        <v>26</v>
      </c>
      <c r="E2900" s="1">
        <v>-28.968</v>
      </c>
      <c r="F2900" t="s">
        <v>26</v>
      </c>
      <c r="G2900" t="str">
        <f>_xlfn.XLOOKUP(transakcje[[#This Row],[podkategoria]],parametr[podkategoria],parametr[kategoria])</f>
        <v>życie</v>
      </c>
      <c r="H2900" t="str">
        <f>_xlfn.XLOOKUP(transakcje[[#This Row],[kategoria]],parametr[kategoria],parametr[typ])</f>
        <v>wydatki</v>
      </c>
      <c r="I2900" s="1">
        <f>ABS(transakcje[[#This Row],[kwota]])</f>
        <v>28.968</v>
      </c>
    </row>
    <row r="2901" spans="1:9" x14ac:dyDescent="0.3">
      <c r="A2901">
        <v>2900</v>
      </c>
      <c r="B2901">
        <v>2019</v>
      </c>
      <c r="C2901">
        <v>9</v>
      </c>
      <c r="D2901">
        <v>30</v>
      </c>
      <c r="E2901" s="1">
        <v>-20.399999999999999</v>
      </c>
      <c r="F2901" t="s">
        <v>32</v>
      </c>
      <c r="G2901" t="str">
        <f>_xlfn.XLOOKUP(transakcje[[#This Row],[podkategoria]],parametr[podkategoria],parametr[kategoria])</f>
        <v>opłaty stałe</v>
      </c>
      <c r="H2901" t="str">
        <f>_xlfn.XLOOKUP(transakcje[[#This Row],[kategoria]],parametr[kategoria],parametr[typ])</f>
        <v>wydatki</v>
      </c>
      <c r="I2901" s="1">
        <f>ABS(transakcje[[#This Row],[kwota]])</f>
        <v>20.399999999999999</v>
      </c>
    </row>
    <row r="2902" spans="1:9" x14ac:dyDescent="0.3">
      <c r="A2902">
        <v>2901</v>
      </c>
      <c r="B2902">
        <v>2019</v>
      </c>
      <c r="C2902">
        <v>9</v>
      </c>
      <c r="D2902">
        <v>30</v>
      </c>
      <c r="E2902" s="1">
        <v>2E-3</v>
      </c>
      <c r="F2902" t="s">
        <v>17</v>
      </c>
      <c r="G2902" t="str">
        <f>_xlfn.XLOOKUP(transakcje[[#This Row],[podkategoria]],parametr[podkategoria],parametr[kategoria])</f>
        <v>dochody pozostałe</v>
      </c>
      <c r="H2902" t="str">
        <f>_xlfn.XLOOKUP(transakcje[[#This Row],[kategoria]],parametr[kategoria],parametr[typ])</f>
        <v>dochody</v>
      </c>
      <c r="I2902" s="1">
        <f>ABS(transakcje[[#This Row],[kwota]])</f>
        <v>2E-3</v>
      </c>
    </row>
    <row r="2903" spans="1:9" x14ac:dyDescent="0.3">
      <c r="A2903">
        <v>2902</v>
      </c>
      <c r="B2903">
        <v>2019</v>
      </c>
      <c r="C2903">
        <v>9</v>
      </c>
      <c r="D2903">
        <v>30</v>
      </c>
      <c r="E2903" s="1">
        <v>-1.198</v>
      </c>
      <c r="F2903" t="s">
        <v>14</v>
      </c>
      <c r="G2903" t="str">
        <f>_xlfn.XLOOKUP(transakcje[[#This Row],[podkategoria]],parametr[podkategoria],parametr[kategoria])</f>
        <v>opłaty stałe</v>
      </c>
      <c r="H2903" t="str">
        <f>_xlfn.XLOOKUP(transakcje[[#This Row],[kategoria]],parametr[kategoria],parametr[typ])</f>
        <v>wydatki</v>
      </c>
      <c r="I2903" s="1">
        <f>ABS(transakcje[[#This Row],[kwota]])</f>
        <v>1.198</v>
      </c>
    </row>
    <row r="2904" spans="1:9" x14ac:dyDescent="0.3">
      <c r="A2904">
        <v>2903</v>
      </c>
      <c r="B2904">
        <v>2019</v>
      </c>
      <c r="C2904">
        <v>9</v>
      </c>
      <c r="D2904">
        <v>30</v>
      </c>
      <c r="E2904" s="1">
        <v>110</v>
      </c>
      <c r="F2904" t="s">
        <v>16</v>
      </c>
      <c r="G2904" t="str">
        <f>_xlfn.XLOOKUP(transakcje[[#This Row],[podkategoria]],parametr[podkategoria],parametr[kategoria])</f>
        <v>dochody z pracy</v>
      </c>
      <c r="H2904" t="str">
        <f>_xlfn.XLOOKUP(transakcje[[#This Row],[kategoria]],parametr[kategoria],parametr[typ])</f>
        <v>dochody</v>
      </c>
      <c r="I2904" s="1">
        <f>ABS(transakcje[[#This Row],[kwota]])</f>
        <v>110</v>
      </c>
    </row>
    <row r="2905" spans="1:9" x14ac:dyDescent="0.3">
      <c r="A2905">
        <v>2904</v>
      </c>
      <c r="B2905">
        <v>2019</v>
      </c>
      <c r="C2905">
        <v>9</v>
      </c>
      <c r="D2905">
        <v>30</v>
      </c>
      <c r="E2905" s="1">
        <v>-0.3</v>
      </c>
      <c r="F2905" t="s">
        <v>14</v>
      </c>
      <c r="G2905" t="str">
        <f>_xlfn.XLOOKUP(transakcje[[#This Row],[podkategoria]],parametr[podkategoria],parametr[kategoria])</f>
        <v>opłaty stałe</v>
      </c>
      <c r="H2905" t="str">
        <f>_xlfn.XLOOKUP(transakcje[[#This Row],[kategoria]],parametr[kategoria],parametr[typ])</f>
        <v>wydatki</v>
      </c>
      <c r="I2905" s="1">
        <f>ABS(transakcje[[#This Row],[kwota]])</f>
        <v>0.3</v>
      </c>
    </row>
    <row r="2906" spans="1:9" x14ac:dyDescent="0.3">
      <c r="A2906">
        <v>2905</v>
      </c>
      <c r="B2906">
        <v>2019</v>
      </c>
      <c r="C2906">
        <v>9</v>
      </c>
      <c r="D2906">
        <v>30</v>
      </c>
      <c r="E2906" s="1">
        <v>-2E-3</v>
      </c>
      <c r="F2906" t="s">
        <v>14</v>
      </c>
      <c r="G2906" t="str">
        <f>_xlfn.XLOOKUP(transakcje[[#This Row],[podkategoria]],parametr[podkategoria],parametr[kategoria])</f>
        <v>opłaty stałe</v>
      </c>
      <c r="H2906" t="str">
        <f>_xlfn.XLOOKUP(transakcje[[#This Row],[kategoria]],parametr[kategoria],parametr[typ])</f>
        <v>wydatki</v>
      </c>
      <c r="I2906" s="1">
        <f>ABS(transakcje[[#This Row],[kwota]])</f>
        <v>2E-3</v>
      </c>
    </row>
    <row r="2907" spans="1:9" x14ac:dyDescent="0.3">
      <c r="A2907">
        <v>2906</v>
      </c>
      <c r="B2907">
        <v>2019</v>
      </c>
      <c r="C2907">
        <v>10</v>
      </c>
      <c r="D2907">
        <v>1</v>
      </c>
      <c r="E2907" s="1">
        <v>-8.1720000000000006</v>
      </c>
      <c r="F2907" t="s">
        <v>11</v>
      </c>
      <c r="G2907" t="str">
        <f>_xlfn.XLOOKUP(transakcje[[#This Row],[podkategoria]],parametr[podkategoria],parametr[kategoria])</f>
        <v>wydatki inne</v>
      </c>
      <c r="H2907" t="str">
        <f>_xlfn.XLOOKUP(transakcje[[#This Row],[kategoria]],parametr[kategoria],parametr[typ])</f>
        <v>wydatki</v>
      </c>
      <c r="I2907" s="1">
        <f>ABS(transakcje[[#This Row],[kwota]])</f>
        <v>8.1720000000000006</v>
      </c>
    </row>
    <row r="2908" spans="1:9" x14ac:dyDescent="0.3">
      <c r="A2908">
        <v>2907</v>
      </c>
      <c r="B2908">
        <v>2019</v>
      </c>
      <c r="C2908">
        <v>10</v>
      </c>
      <c r="D2908">
        <v>1</v>
      </c>
      <c r="E2908" s="1">
        <v>-72.138000000000005</v>
      </c>
      <c r="F2908" t="s">
        <v>31</v>
      </c>
      <c r="G2908" t="str">
        <f>_xlfn.XLOOKUP(transakcje[[#This Row],[podkategoria]],parametr[podkategoria],parametr[kategoria])</f>
        <v>opłaty stałe</v>
      </c>
      <c r="H2908" t="str">
        <f>_xlfn.XLOOKUP(transakcje[[#This Row],[kategoria]],parametr[kategoria],parametr[typ])</f>
        <v>wydatki</v>
      </c>
      <c r="I2908" s="1">
        <f>ABS(transakcje[[#This Row],[kwota]])</f>
        <v>72.138000000000005</v>
      </c>
    </row>
    <row r="2909" spans="1:9" x14ac:dyDescent="0.3">
      <c r="A2909">
        <v>2908</v>
      </c>
      <c r="B2909">
        <v>2019</v>
      </c>
      <c r="C2909">
        <v>10</v>
      </c>
      <c r="D2909">
        <v>1</v>
      </c>
      <c r="E2909" s="1">
        <v>-7.38</v>
      </c>
      <c r="F2909" t="s">
        <v>23</v>
      </c>
      <c r="G2909" t="str">
        <f>_xlfn.XLOOKUP(transakcje[[#This Row],[podkategoria]],parametr[podkategoria],parametr[kategoria])</f>
        <v>opłaty stałe</v>
      </c>
      <c r="H2909" t="str">
        <f>_xlfn.XLOOKUP(transakcje[[#This Row],[kategoria]],parametr[kategoria],parametr[typ])</f>
        <v>wydatki</v>
      </c>
      <c r="I2909" s="1">
        <f>ABS(transakcje[[#This Row],[kwota]])</f>
        <v>7.38</v>
      </c>
    </row>
    <row r="2910" spans="1:9" x14ac:dyDescent="0.3">
      <c r="A2910">
        <v>2909</v>
      </c>
      <c r="B2910">
        <v>2019</v>
      </c>
      <c r="C2910">
        <v>10</v>
      </c>
      <c r="D2910">
        <v>1</v>
      </c>
      <c r="E2910" s="1">
        <v>-5.8</v>
      </c>
      <c r="F2910" t="s">
        <v>25</v>
      </c>
      <c r="G2910" t="str">
        <f>_xlfn.XLOOKUP(transakcje[[#This Row],[podkategoria]],parametr[podkategoria],parametr[kategoria])</f>
        <v>opłaty stałe</v>
      </c>
      <c r="H2910" t="str">
        <f>_xlfn.XLOOKUP(transakcje[[#This Row],[kategoria]],parametr[kategoria],parametr[typ])</f>
        <v>wydatki</v>
      </c>
      <c r="I2910" s="1">
        <f>ABS(transakcje[[#This Row],[kwota]])</f>
        <v>5.8</v>
      </c>
    </row>
    <row r="2911" spans="1:9" x14ac:dyDescent="0.3">
      <c r="A2911">
        <v>2910</v>
      </c>
      <c r="B2911">
        <v>2019</v>
      </c>
      <c r="C2911">
        <v>10</v>
      </c>
      <c r="D2911">
        <v>2</v>
      </c>
      <c r="E2911" s="1">
        <v>-0.27999999999999997</v>
      </c>
      <c r="F2911" t="s">
        <v>14</v>
      </c>
      <c r="G2911" t="str">
        <f>_xlfn.XLOOKUP(transakcje[[#This Row],[podkategoria]],parametr[podkategoria],parametr[kategoria])</f>
        <v>opłaty stałe</v>
      </c>
      <c r="H2911" t="str">
        <f>_xlfn.XLOOKUP(transakcje[[#This Row],[kategoria]],parametr[kategoria],parametr[typ])</f>
        <v>wydatki</v>
      </c>
      <c r="I2911" s="1">
        <f>ABS(transakcje[[#This Row],[kwota]])</f>
        <v>0.27999999999999997</v>
      </c>
    </row>
    <row r="2912" spans="1:9" x14ac:dyDescent="0.3">
      <c r="A2912">
        <v>2911</v>
      </c>
      <c r="B2912">
        <v>2019</v>
      </c>
      <c r="C2912">
        <v>10</v>
      </c>
      <c r="D2912">
        <v>7</v>
      </c>
      <c r="E2912" s="1">
        <v>-10.245999999999999</v>
      </c>
      <c r="F2912" t="s">
        <v>26</v>
      </c>
      <c r="G2912" t="str">
        <f>_xlfn.XLOOKUP(transakcje[[#This Row],[podkategoria]],parametr[podkategoria],parametr[kategoria])</f>
        <v>życie</v>
      </c>
      <c r="H2912" t="str">
        <f>_xlfn.XLOOKUP(transakcje[[#This Row],[kategoria]],parametr[kategoria],parametr[typ])</f>
        <v>wydatki</v>
      </c>
      <c r="I2912" s="1">
        <f>ABS(transakcje[[#This Row],[kwota]])</f>
        <v>10.245999999999999</v>
      </c>
    </row>
    <row r="2913" spans="1:9" x14ac:dyDescent="0.3">
      <c r="A2913">
        <v>2912</v>
      </c>
      <c r="B2913">
        <v>2019</v>
      </c>
      <c r="C2913">
        <v>10</v>
      </c>
      <c r="D2913">
        <v>10</v>
      </c>
      <c r="E2913" s="1">
        <v>-0.39800000000000002</v>
      </c>
      <c r="F2913" t="s">
        <v>14</v>
      </c>
      <c r="G2913" t="str">
        <f>_xlfn.XLOOKUP(transakcje[[#This Row],[podkategoria]],parametr[podkategoria],parametr[kategoria])</f>
        <v>opłaty stałe</v>
      </c>
      <c r="H2913" t="str">
        <f>_xlfn.XLOOKUP(transakcje[[#This Row],[kategoria]],parametr[kategoria],parametr[typ])</f>
        <v>wydatki</v>
      </c>
      <c r="I2913" s="1">
        <f>ABS(transakcje[[#This Row],[kwota]])</f>
        <v>0.39800000000000002</v>
      </c>
    </row>
    <row r="2914" spans="1:9" x14ac:dyDescent="0.3">
      <c r="A2914">
        <v>2913</v>
      </c>
      <c r="B2914">
        <v>2019</v>
      </c>
      <c r="C2914">
        <v>10</v>
      </c>
      <c r="D2914">
        <v>10</v>
      </c>
      <c r="E2914" s="1">
        <v>-7.8780000000000001</v>
      </c>
      <c r="F2914" t="s">
        <v>26</v>
      </c>
      <c r="G2914" t="str">
        <f>_xlfn.XLOOKUP(transakcje[[#This Row],[podkategoria]],parametr[podkategoria],parametr[kategoria])</f>
        <v>życie</v>
      </c>
      <c r="H2914" t="str">
        <f>_xlfn.XLOOKUP(transakcje[[#This Row],[kategoria]],parametr[kategoria],parametr[typ])</f>
        <v>wydatki</v>
      </c>
      <c r="I2914" s="1">
        <f>ABS(transakcje[[#This Row],[kwota]])</f>
        <v>7.8780000000000001</v>
      </c>
    </row>
    <row r="2915" spans="1:9" x14ac:dyDescent="0.3">
      <c r="A2915">
        <v>2914</v>
      </c>
      <c r="B2915">
        <v>2019</v>
      </c>
      <c r="C2915">
        <v>10</v>
      </c>
      <c r="D2915">
        <v>17</v>
      </c>
      <c r="E2915" s="1">
        <v>-7.918000000000001</v>
      </c>
      <c r="F2915" t="s">
        <v>26</v>
      </c>
      <c r="G2915" t="str">
        <f>_xlfn.XLOOKUP(transakcje[[#This Row],[podkategoria]],parametr[podkategoria],parametr[kategoria])</f>
        <v>życie</v>
      </c>
      <c r="H2915" t="str">
        <f>_xlfn.XLOOKUP(transakcje[[#This Row],[kategoria]],parametr[kategoria],parametr[typ])</f>
        <v>wydatki</v>
      </c>
      <c r="I2915" s="1">
        <f>ABS(transakcje[[#This Row],[kwota]])</f>
        <v>7.918000000000001</v>
      </c>
    </row>
    <row r="2916" spans="1:9" x14ac:dyDescent="0.3">
      <c r="A2916">
        <v>2915</v>
      </c>
      <c r="B2916">
        <v>2019</v>
      </c>
      <c r="C2916">
        <v>10</v>
      </c>
      <c r="D2916">
        <v>17</v>
      </c>
      <c r="E2916" s="1">
        <v>-6.3140000000000001</v>
      </c>
      <c r="F2916" t="s">
        <v>26</v>
      </c>
      <c r="G2916" t="str">
        <f>_xlfn.XLOOKUP(transakcje[[#This Row],[podkategoria]],parametr[podkategoria],parametr[kategoria])</f>
        <v>życie</v>
      </c>
      <c r="H2916" t="str">
        <f>_xlfn.XLOOKUP(transakcje[[#This Row],[kategoria]],parametr[kategoria],parametr[typ])</f>
        <v>wydatki</v>
      </c>
      <c r="I2916" s="1">
        <f>ABS(transakcje[[#This Row],[kwota]])</f>
        <v>6.3140000000000001</v>
      </c>
    </row>
    <row r="2917" spans="1:9" x14ac:dyDescent="0.3">
      <c r="A2917">
        <v>2916</v>
      </c>
      <c r="B2917">
        <v>2019</v>
      </c>
      <c r="C2917">
        <v>10</v>
      </c>
      <c r="D2917">
        <v>17</v>
      </c>
      <c r="E2917" s="1">
        <v>-3.2</v>
      </c>
      <c r="F2917" t="s">
        <v>26</v>
      </c>
      <c r="G2917" t="str">
        <f>_xlfn.XLOOKUP(transakcje[[#This Row],[podkategoria]],parametr[podkategoria],parametr[kategoria])</f>
        <v>życie</v>
      </c>
      <c r="H2917" t="str">
        <f>_xlfn.XLOOKUP(transakcje[[#This Row],[kategoria]],parametr[kategoria],parametr[typ])</f>
        <v>wydatki</v>
      </c>
      <c r="I2917" s="1">
        <f>ABS(transakcje[[#This Row],[kwota]])</f>
        <v>3.2</v>
      </c>
    </row>
    <row r="2918" spans="1:9" x14ac:dyDescent="0.3">
      <c r="A2918">
        <v>2917</v>
      </c>
      <c r="B2918">
        <v>2019</v>
      </c>
      <c r="C2918">
        <v>10</v>
      </c>
      <c r="D2918">
        <v>21</v>
      </c>
      <c r="E2918" s="1">
        <v>-10.872</v>
      </c>
      <c r="F2918" t="s">
        <v>26</v>
      </c>
      <c r="G2918" t="str">
        <f>_xlfn.XLOOKUP(transakcje[[#This Row],[podkategoria]],parametr[podkategoria],parametr[kategoria])</f>
        <v>życie</v>
      </c>
      <c r="H2918" t="str">
        <f>_xlfn.XLOOKUP(transakcje[[#This Row],[kategoria]],parametr[kategoria],parametr[typ])</f>
        <v>wydatki</v>
      </c>
      <c r="I2918" s="1">
        <f>ABS(transakcje[[#This Row],[kwota]])</f>
        <v>10.872</v>
      </c>
    </row>
    <row r="2919" spans="1:9" x14ac:dyDescent="0.3">
      <c r="A2919">
        <v>2918</v>
      </c>
      <c r="B2919">
        <v>2019</v>
      </c>
      <c r="C2919">
        <v>10</v>
      </c>
      <c r="D2919">
        <v>24</v>
      </c>
      <c r="E2919" s="1">
        <v>641.08199999999999</v>
      </c>
      <c r="F2919" t="s">
        <v>8</v>
      </c>
      <c r="G2919" t="str">
        <f>_xlfn.XLOOKUP(transakcje[[#This Row],[podkategoria]],parametr[podkategoria],parametr[kategoria])</f>
        <v>dochody z pracy</v>
      </c>
      <c r="H2919" t="str">
        <f>_xlfn.XLOOKUP(transakcje[[#This Row],[kategoria]],parametr[kategoria],parametr[typ])</f>
        <v>dochody</v>
      </c>
      <c r="I2919" s="1">
        <f>ABS(transakcje[[#This Row],[kwota]])</f>
        <v>641.08199999999999</v>
      </c>
    </row>
    <row r="2920" spans="1:9" x14ac:dyDescent="0.3">
      <c r="A2920">
        <v>2919</v>
      </c>
      <c r="B2920">
        <v>2019</v>
      </c>
      <c r="C2920">
        <v>10</v>
      </c>
      <c r="D2920">
        <v>25</v>
      </c>
      <c r="E2920" s="1">
        <v>-4.6219999999999999</v>
      </c>
      <c r="F2920" t="s">
        <v>26</v>
      </c>
      <c r="G2920" t="str">
        <f>_xlfn.XLOOKUP(transakcje[[#This Row],[podkategoria]],parametr[podkategoria],parametr[kategoria])</f>
        <v>życie</v>
      </c>
      <c r="H2920" t="str">
        <f>_xlfn.XLOOKUP(transakcje[[#This Row],[kategoria]],parametr[kategoria],parametr[typ])</f>
        <v>wydatki</v>
      </c>
      <c r="I2920" s="1">
        <f>ABS(transakcje[[#This Row],[kwota]])</f>
        <v>4.6219999999999999</v>
      </c>
    </row>
    <row r="2921" spans="1:9" x14ac:dyDescent="0.3">
      <c r="A2921">
        <v>2920</v>
      </c>
      <c r="B2921">
        <v>2019</v>
      </c>
      <c r="C2921">
        <v>10</v>
      </c>
      <c r="D2921">
        <v>26</v>
      </c>
      <c r="E2921" s="1">
        <v>-19.8</v>
      </c>
      <c r="F2921" t="s">
        <v>32</v>
      </c>
      <c r="G2921" t="str">
        <f>_xlfn.XLOOKUP(transakcje[[#This Row],[podkategoria]],parametr[podkategoria],parametr[kategoria])</f>
        <v>opłaty stałe</v>
      </c>
      <c r="H2921" t="str">
        <f>_xlfn.XLOOKUP(transakcje[[#This Row],[kategoria]],parametr[kategoria],parametr[typ])</f>
        <v>wydatki</v>
      </c>
      <c r="I2921" s="1">
        <f>ABS(transakcje[[#This Row],[kwota]])</f>
        <v>19.8</v>
      </c>
    </row>
    <row r="2922" spans="1:9" x14ac:dyDescent="0.3">
      <c r="A2922">
        <v>2921</v>
      </c>
      <c r="B2922">
        <v>2019</v>
      </c>
      <c r="C2922">
        <v>10</v>
      </c>
      <c r="D2922">
        <v>29</v>
      </c>
      <c r="E2922" s="1">
        <v>218.62399999999997</v>
      </c>
      <c r="F2922" t="s">
        <v>19</v>
      </c>
      <c r="G2922" t="str">
        <f>_xlfn.XLOOKUP(transakcje[[#This Row],[podkategoria]],parametr[podkategoria],parametr[kategoria])</f>
        <v>dochody z pracy</v>
      </c>
      <c r="H2922" t="str">
        <f>_xlfn.XLOOKUP(transakcje[[#This Row],[kategoria]],parametr[kategoria],parametr[typ])</f>
        <v>dochody</v>
      </c>
      <c r="I2922" s="1">
        <f>ABS(transakcje[[#This Row],[kwota]])</f>
        <v>218.62399999999997</v>
      </c>
    </row>
    <row r="2923" spans="1:9" x14ac:dyDescent="0.3">
      <c r="A2923">
        <v>2922</v>
      </c>
      <c r="B2923">
        <v>2019</v>
      </c>
      <c r="C2923">
        <v>10</v>
      </c>
      <c r="D2923">
        <v>29</v>
      </c>
      <c r="E2923" s="1">
        <v>-7.82</v>
      </c>
      <c r="F2923" t="s">
        <v>26</v>
      </c>
      <c r="G2923" t="str">
        <f>_xlfn.XLOOKUP(transakcje[[#This Row],[podkategoria]],parametr[podkategoria],parametr[kategoria])</f>
        <v>życie</v>
      </c>
      <c r="H2923" t="str">
        <f>_xlfn.XLOOKUP(transakcje[[#This Row],[kategoria]],parametr[kategoria],parametr[typ])</f>
        <v>wydatki</v>
      </c>
      <c r="I2923" s="1">
        <f>ABS(transakcje[[#This Row],[kwota]])</f>
        <v>7.82</v>
      </c>
    </row>
    <row r="2924" spans="1:9" x14ac:dyDescent="0.3">
      <c r="A2924">
        <v>2923</v>
      </c>
      <c r="B2924">
        <v>2019</v>
      </c>
      <c r="C2924">
        <v>10</v>
      </c>
      <c r="D2924">
        <v>30</v>
      </c>
      <c r="E2924" s="1">
        <v>-3.0760000000000001</v>
      </c>
      <c r="F2924" t="s">
        <v>26</v>
      </c>
      <c r="G2924" t="str">
        <f>_xlfn.XLOOKUP(transakcje[[#This Row],[podkategoria]],parametr[podkategoria],parametr[kategoria])</f>
        <v>życie</v>
      </c>
      <c r="H2924" t="str">
        <f>_xlfn.XLOOKUP(transakcje[[#This Row],[kategoria]],parametr[kategoria],parametr[typ])</f>
        <v>wydatki</v>
      </c>
      <c r="I2924" s="1">
        <f>ABS(transakcje[[#This Row],[kwota]])</f>
        <v>3.0760000000000001</v>
      </c>
    </row>
    <row r="2925" spans="1:9" x14ac:dyDescent="0.3">
      <c r="A2925">
        <v>2924</v>
      </c>
      <c r="B2925">
        <v>2019</v>
      </c>
      <c r="C2925">
        <v>10</v>
      </c>
      <c r="D2925">
        <v>30</v>
      </c>
      <c r="E2925" s="1">
        <v>-0.9880000000000001</v>
      </c>
      <c r="F2925" t="s">
        <v>26</v>
      </c>
      <c r="G2925" t="str">
        <f>_xlfn.XLOOKUP(transakcje[[#This Row],[podkategoria]],parametr[podkategoria],parametr[kategoria])</f>
        <v>życie</v>
      </c>
      <c r="H2925" t="str">
        <f>_xlfn.XLOOKUP(transakcje[[#This Row],[kategoria]],parametr[kategoria],parametr[typ])</f>
        <v>wydatki</v>
      </c>
      <c r="I2925" s="1">
        <f>ABS(transakcje[[#This Row],[kwota]])</f>
        <v>0.9880000000000001</v>
      </c>
    </row>
    <row r="2926" spans="1:9" x14ac:dyDescent="0.3">
      <c r="A2926">
        <v>2925</v>
      </c>
      <c r="B2926">
        <v>2019</v>
      </c>
      <c r="C2926">
        <v>10</v>
      </c>
      <c r="D2926">
        <v>31</v>
      </c>
      <c r="E2926" s="1">
        <v>-2E-3</v>
      </c>
      <c r="F2926" t="s">
        <v>14</v>
      </c>
      <c r="G2926" t="str">
        <f>_xlfn.XLOOKUP(transakcje[[#This Row],[podkategoria]],parametr[podkategoria],parametr[kategoria])</f>
        <v>opłaty stałe</v>
      </c>
      <c r="H2926" t="str">
        <f>_xlfn.XLOOKUP(transakcje[[#This Row],[kategoria]],parametr[kategoria],parametr[typ])</f>
        <v>wydatki</v>
      </c>
      <c r="I2926" s="1">
        <f>ABS(transakcje[[#This Row],[kwota]])</f>
        <v>2E-3</v>
      </c>
    </row>
    <row r="2927" spans="1:9" x14ac:dyDescent="0.3">
      <c r="A2927">
        <v>2926</v>
      </c>
      <c r="B2927">
        <v>2019</v>
      </c>
      <c r="C2927">
        <v>10</v>
      </c>
      <c r="D2927">
        <v>31</v>
      </c>
      <c r="E2927" s="1">
        <v>6.0000000000000001E-3</v>
      </c>
      <c r="F2927" t="s">
        <v>17</v>
      </c>
      <c r="G2927" t="str">
        <f>_xlfn.XLOOKUP(transakcje[[#This Row],[podkategoria]],parametr[podkategoria],parametr[kategoria])</f>
        <v>dochody pozostałe</v>
      </c>
      <c r="H2927" t="str">
        <f>_xlfn.XLOOKUP(transakcje[[#This Row],[kategoria]],parametr[kategoria],parametr[typ])</f>
        <v>dochody</v>
      </c>
      <c r="I2927" s="1">
        <f>ABS(transakcje[[#This Row],[kwota]])</f>
        <v>6.0000000000000001E-3</v>
      </c>
    </row>
    <row r="2928" spans="1:9" x14ac:dyDescent="0.3">
      <c r="A2928">
        <v>2927</v>
      </c>
      <c r="B2928">
        <v>2019</v>
      </c>
      <c r="C2928">
        <v>10</v>
      </c>
      <c r="D2928">
        <v>31</v>
      </c>
      <c r="E2928" s="1">
        <v>-1.198</v>
      </c>
      <c r="F2928" t="s">
        <v>14</v>
      </c>
      <c r="G2928" t="str">
        <f>_xlfn.XLOOKUP(transakcje[[#This Row],[podkategoria]],parametr[podkategoria],parametr[kategoria])</f>
        <v>opłaty stałe</v>
      </c>
      <c r="H2928" t="str">
        <f>_xlfn.XLOOKUP(transakcje[[#This Row],[kategoria]],parametr[kategoria],parametr[typ])</f>
        <v>wydatki</v>
      </c>
      <c r="I2928" s="1">
        <f>ABS(transakcje[[#This Row],[kwota]])</f>
        <v>1.198</v>
      </c>
    </row>
    <row r="2929" spans="1:9" x14ac:dyDescent="0.3">
      <c r="A2929">
        <v>2928</v>
      </c>
      <c r="B2929">
        <v>2019</v>
      </c>
      <c r="C2929">
        <v>11</v>
      </c>
      <c r="D2929">
        <v>1</v>
      </c>
      <c r="E2929" s="1">
        <v>-5.8</v>
      </c>
      <c r="F2929" t="s">
        <v>25</v>
      </c>
      <c r="G2929" t="str">
        <f>_xlfn.XLOOKUP(transakcje[[#This Row],[podkategoria]],parametr[podkategoria],parametr[kategoria])</f>
        <v>opłaty stałe</v>
      </c>
      <c r="H2929" t="str">
        <f>_xlfn.XLOOKUP(transakcje[[#This Row],[kategoria]],parametr[kategoria],parametr[typ])</f>
        <v>wydatki</v>
      </c>
      <c r="I2929" s="1">
        <f>ABS(transakcje[[#This Row],[kwota]])</f>
        <v>5.8</v>
      </c>
    </row>
    <row r="2930" spans="1:9" x14ac:dyDescent="0.3">
      <c r="A2930">
        <v>2929</v>
      </c>
      <c r="B2930">
        <v>2019</v>
      </c>
      <c r="C2930">
        <v>11</v>
      </c>
      <c r="D2930">
        <v>1</v>
      </c>
      <c r="E2930" s="1">
        <v>-7.38</v>
      </c>
      <c r="F2930" t="s">
        <v>23</v>
      </c>
      <c r="G2930" t="str">
        <f>_xlfn.XLOOKUP(transakcje[[#This Row],[podkategoria]],parametr[podkategoria],parametr[kategoria])</f>
        <v>opłaty stałe</v>
      </c>
      <c r="H2930" t="str">
        <f>_xlfn.XLOOKUP(transakcje[[#This Row],[kategoria]],parametr[kategoria],parametr[typ])</f>
        <v>wydatki</v>
      </c>
      <c r="I2930" s="1">
        <f>ABS(transakcje[[#This Row],[kwota]])</f>
        <v>7.38</v>
      </c>
    </row>
    <row r="2931" spans="1:9" x14ac:dyDescent="0.3">
      <c r="A2931">
        <v>2930</v>
      </c>
      <c r="B2931">
        <v>2019</v>
      </c>
      <c r="C2931">
        <v>11</v>
      </c>
      <c r="D2931">
        <v>1</v>
      </c>
      <c r="E2931" s="1">
        <v>-5.7700000000000005</v>
      </c>
      <c r="F2931" t="s">
        <v>35</v>
      </c>
      <c r="G2931" t="str">
        <f>_xlfn.XLOOKUP(transakcje[[#This Row],[podkategoria]],parametr[podkategoria],parametr[kategoria])</f>
        <v>opłaty stałe</v>
      </c>
      <c r="H2931" t="str">
        <f>_xlfn.XLOOKUP(transakcje[[#This Row],[kategoria]],parametr[kategoria],parametr[typ])</f>
        <v>wydatki</v>
      </c>
      <c r="I2931" s="1">
        <f>ABS(transakcje[[#This Row],[kwota]])</f>
        <v>5.7700000000000005</v>
      </c>
    </row>
    <row r="2932" spans="1:9" x14ac:dyDescent="0.3">
      <c r="A2932">
        <v>2931</v>
      </c>
      <c r="B2932">
        <v>2019</v>
      </c>
      <c r="C2932">
        <v>11</v>
      </c>
      <c r="D2932">
        <v>1</v>
      </c>
      <c r="E2932" s="1">
        <v>-15.502000000000001</v>
      </c>
      <c r="F2932" t="s">
        <v>34</v>
      </c>
      <c r="G2932" t="str">
        <f>_xlfn.XLOOKUP(transakcje[[#This Row],[podkategoria]],parametr[podkategoria],parametr[kategoria])</f>
        <v>opłaty stałe</v>
      </c>
      <c r="H2932" t="str">
        <f>_xlfn.XLOOKUP(transakcje[[#This Row],[kategoria]],parametr[kategoria],parametr[typ])</f>
        <v>wydatki</v>
      </c>
      <c r="I2932" s="1">
        <f>ABS(transakcje[[#This Row],[kwota]])</f>
        <v>15.502000000000001</v>
      </c>
    </row>
    <row r="2933" spans="1:9" x14ac:dyDescent="0.3">
      <c r="A2933">
        <v>2932</v>
      </c>
      <c r="B2933">
        <v>2019</v>
      </c>
      <c r="C2933">
        <v>11</v>
      </c>
      <c r="D2933">
        <v>1</v>
      </c>
      <c r="E2933" s="1">
        <v>-72.138000000000005</v>
      </c>
      <c r="F2933" t="s">
        <v>31</v>
      </c>
      <c r="G2933" t="str">
        <f>_xlfn.XLOOKUP(transakcje[[#This Row],[podkategoria]],parametr[podkategoria],parametr[kategoria])</f>
        <v>opłaty stałe</v>
      </c>
      <c r="H2933" t="str">
        <f>_xlfn.XLOOKUP(transakcje[[#This Row],[kategoria]],parametr[kategoria],parametr[typ])</f>
        <v>wydatki</v>
      </c>
      <c r="I2933" s="1">
        <f>ABS(transakcje[[#This Row],[kwota]])</f>
        <v>72.138000000000005</v>
      </c>
    </row>
    <row r="2934" spans="1:9" x14ac:dyDescent="0.3">
      <c r="A2934">
        <v>2933</v>
      </c>
      <c r="B2934">
        <v>2019</v>
      </c>
      <c r="C2934">
        <v>11</v>
      </c>
      <c r="D2934">
        <v>4</v>
      </c>
      <c r="E2934" s="1">
        <v>-0.04</v>
      </c>
      <c r="F2934" t="s">
        <v>14</v>
      </c>
      <c r="G2934" t="str">
        <f>_xlfn.XLOOKUP(transakcje[[#This Row],[podkategoria]],parametr[podkategoria],parametr[kategoria])</f>
        <v>opłaty stałe</v>
      </c>
      <c r="H2934" t="str">
        <f>_xlfn.XLOOKUP(transakcje[[#This Row],[kategoria]],parametr[kategoria],parametr[typ])</f>
        <v>wydatki</v>
      </c>
      <c r="I2934" s="1">
        <f>ABS(transakcje[[#This Row],[kwota]])</f>
        <v>0.04</v>
      </c>
    </row>
    <row r="2935" spans="1:9" x14ac:dyDescent="0.3">
      <c r="A2935">
        <v>2934</v>
      </c>
      <c r="B2935">
        <v>2019</v>
      </c>
      <c r="C2935">
        <v>11</v>
      </c>
      <c r="D2935">
        <v>7</v>
      </c>
      <c r="E2935" s="1">
        <v>-12.052</v>
      </c>
      <c r="F2935" t="s">
        <v>26</v>
      </c>
      <c r="G2935" t="str">
        <f>_xlfn.XLOOKUP(transakcje[[#This Row],[podkategoria]],parametr[podkategoria],parametr[kategoria])</f>
        <v>życie</v>
      </c>
      <c r="H2935" t="str">
        <f>_xlfn.XLOOKUP(transakcje[[#This Row],[kategoria]],parametr[kategoria],parametr[typ])</f>
        <v>wydatki</v>
      </c>
      <c r="I2935" s="1">
        <f>ABS(transakcje[[#This Row],[kwota]])</f>
        <v>12.052</v>
      </c>
    </row>
    <row r="2936" spans="1:9" x14ac:dyDescent="0.3">
      <c r="A2936">
        <v>2935</v>
      </c>
      <c r="B2936">
        <v>2019</v>
      </c>
      <c r="C2936">
        <v>11</v>
      </c>
      <c r="D2936">
        <v>8</v>
      </c>
      <c r="E2936" s="1">
        <v>-1.524</v>
      </c>
      <c r="F2936" t="s">
        <v>26</v>
      </c>
      <c r="G2936" t="str">
        <f>_xlfn.XLOOKUP(transakcje[[#This Row],[podkategoria]],parametr[podkategoria],parametr[kategoria])</f>
        <v>życie</v>
      </c>
      <c r="H2936" t="str">
        <f>_xlfn.XLOOKUP(transakcje[[#This Row],[kategoria]],parametr[kategoria],parametr[typ])</f>
        <v>wydatki</v>
      </c>
      <c r="I2936" s="1">
        <f>ABS(transakcje[[#This Row],[kwota]])</f>
        <v>1.524</v>
      </c>
    </row>
    <row r="2937" spans="1:9" x14ac:dyDescent="0.3">
      <c r="A2937">
        <v>2936</v>
      </c>
      <c r="B2937">
        <v>2019</v>
      </c>
      <c r="C2937">
        <v>11</v>
      </c>
      <c r="D2937">
        <v>8</v>
      </c>
      <c r="E2937" s="1">
        <v>-0.9880000000000001</v>
      </c>
      <c r="F2937" t="s">
        <v>26</v>
      </c>
      <c r="G2937" t="str">
        <f>_xlfn.XLOOKUP(transakcje[[#This Row],[podkategoria]],parametr[podkategoria],parametr[kategoria])</f>
        <v>życie</v>
      </c>
      <c r="H2937" t="str">
        <f>_xlfn.XLOOKUP(transakcje[[#This Row],[kategoria]],parametr[kategoria],parametr[typ])</f>
        <v>wydatki</v>
      </c>
      <c r="I2937" s="1">
        <f>ABS(transakcje[[#This Row],[kwota]])</f>
        <v>0.9880000000000001</v>
      </c>
    </row>
    <row r="2938" spans="1:9" x14ac:dyDescent="0.3">
      <c r="A2938">
        <v>2937</v>
      </c>
      <c r="B2938">
        <v>2019</v>
      </c>
      <c r="C2938">
        <v>11</v>
      </c>
      <c r="D2938">
        <v>13</v>
      </c>
      <c r="E2938" s="1">
        <v>-5.8140000000000001</v>
      </c>
      <c r="F2938" t="s">
        <v>26</v>
      </c>
      <c r="G2938" t="str">
        <f>_xlfn.XLOOKUP(transakcje[[#This Row],[podkategoria]],parametr[podkategoria],parametr[kategoria])</f>
        <v>życie</v>
      </c>
      <c r="H2938" t="str">
        <f>_xlfn.XLOOKUP(transakcje[[#This Row],[kategoria]],parametr[kategoria],parametr[typ])</f>
        <v>wydatki</v>
      </c>
      <c r="I2938" s="1">
        <f>ABS(transakcje[[#This Row],[kwota]])</f>
        <v>5.8140000000000001</v>
      </c>
    </row>
    <row r="2939" spans="1:9" x14ac:dyDescent="0.3">
      <c r="A2939">
        <v>2938</v>
      </c>
      <c r="B2939">
        <v>2019</v>
      </c>
      <c r="C2939">
        <v>11</v>
      </c>
      <c r="D2939">
        <v>14</v>
      </c>
      <c r="E2939" s="1">
        <v>-7.1139999999999999</v>
      </c>
      <c r="F2939" t="s">
        <v>26</v>
      </c>
      <c r="G2939" t="str">
        <f>_xlfn.XLOOKUP(transakcje[[#This Row],[podkategoria]],parametr[podkategoria],parametr[kategoria])</f>
        <v>życie</v>
      </c>
      <c r="H2939" t="str">
        <f>_xlfn.XLOOKUP(transakcje[[#This Row],[kategoria]],parametr[kategoria],parametr[typ])</f>
        <v>wydatki</v>
      </c>
      <c r="I2939" s="1">
        <f>ABS(transakcje[[#This Row],[kwota]])</f>
        <v>7.1139999999999999</v>
      </c>
    </row>
    <row r="2940" spans="1:9" x14ac:dyDescent="0.3">
      <c r="A2940">
        <v>2939</v>
      </c>
      <c r="B2940">
        <v>2019</v>
      </c>
      <c r="C2940">
        <v>11</v>
      </c>
      <c r="D2940">
        <v>15</v>
      </c>
      <c r="E2940" s="1">
        <v>-0.65800000000000003</v>
      </c>
      <c r="F2940" t="s">
        <v>26</v>
      </c>
      <c r="G2940" t="str">
        <f>_xlfn.XLOOKUP(transakcje[[#This Row],[podkategoria]],parametr[podkategoria],parametr[kategoria])</f>
        <v>życie</v>
      </c>
      <c r="H2940" t="str">
        <f>_xlfn.XLOOKUP(transakcje[[#This Row],[kategoria]],parametr[kategoria],parametr[typ])</f>
        <v>wydatki</v>
      </c>
      <c r="I2940" s="1">
        <f>ABS(transakcje[[#This Row],[kwota]])</f>
        <v>0.65800000000000003</v>
      </c>
    </row>
    <row r="2941" spans="1:9" x14ac:dyDescent="0.3">
      <c r="A2941">
        <v>2940</v>
      </c>
      <c r="B2941">
        <v>2019</v>
      </c>
      <c r="C2941">
        <v>11</v>
      </c>
      <c r="D2941">
        <v>18</v>
      </c>
      <c r="E2941" s="1">
        <v>-20</v>
      </c>
      <c r="F2941" t="s">
        <v>26</v>
      </c>
      <c r="G2941" t="str">
        <f>_xlfn.XLOOKUP(transakcje[[#This Row],[podkategoria]],parametr[podkategoria],parametr[kategoria])</f>
        <v>życie</v>
      </c>
      <c r="H2941" t="str">
        <f>_xlfn.XLOOKUP(transakcje[[#This Row],[kategoria]],parametr[kategoria],parametr[typ])</f>
        <v>wydatki</v>
      </c>
      <c r="I2941" s="1">
        <f>ABS(transakcje[[#This Row],[kwota]])</f>
        <v>20</v>
      </c>
    </row>
    <row r="2942" spans="1:9" x14ac:dyDescent="0.3">
      <c r="A2942">
        <v>2941</v>
      </c>
      <c r="B2942">
        <v>2019</v>
      </c>
      <c r="C2942">
        <v>11</v>
      </c>
      <c r="D2942">
        <v>20</v>
      </c>
      <c r="E2942" s="1">
        <v>-0.39800000000000002</v>
      </c>
      <c r="F2942" t="s">
        <v>14</v>
      </c>
      <c r="G2942" t="str">
        <f>_xlfn.XLOOKUP(transakcje[[#This Row],[podkategoria]],parametr[podkategoria],parametr[kategoria])</f>
        <v>opłaty stałe</v>
      </c>
      <c r="H2942" t="str">
        <f>_xlfn.XLOOKUP(transakcje[[#This Row],[kategoria]],parametr[kategoria],parametr[typ])</f>
        <v>wydatki</v>
      </c>
      <c r="I2942" s="1">
        <f>ABS(transakcje[[#This Row],[kwota]])</f>
        <v>0.39800000000000002</v>
      </c>
    </row>
    <row r="2943" spans="1:9" x14ac:dyDescent="0.3">
      <c r="A2943">
        <v>2942</v>
      </c>
      <c r="B2943">
        <v>2019</v>
      </c>
      <c r="C2943">
        <v>11</v>
      </c>
      <c r="D2943">
        <v>20</v>
      </c>
      <c r="E2943" s="1">
        <v>-4.1459999999999999</v>
      </c>
      <c r="F2943" t="s">
        <v>26</v>
      </c>
      <c r="G2943" t="str">
        <f>_xlfn.XLOOKUP(transakcje[[#This Row],[podkategoria]],parametr[podkategoria],parametr[kategoria])</f>
        <v>życie</v>
      </c>
      <c r="H2943" t="str">
        <f>_xlfn.XLOOKUP(transakcje[[#This Row],[kategoria]],parametr[kategoria],parametr[typ])</f>
        <v>wydatki</v>
      </c>
      <c r="I2943" s="1">
        <f>ABS(transakcje[[#This Row],[kwota]])</f>
        <v>4.1459999999999999</v>
      </c>
    </row>
    <row r="2944" spans="1:9" x14ac:dyDescent="0.3">
      <c r="A2944">
        <v>2943</v>
      </c>
      <c r="B2944">
        <v>2019</v>
      </c>
      <c r="C2944">
        <v>11</v>
      </c>
      <c r="D2944">
        <v>22</v>
      </c>
      <c r="E2944" s="1">
        <v>-27.727999999999998</v>
      </c>
      <c r="F2944" t="s">
        <v>26</v>
      </c>
      <c r="G2944" t="str">
        <f>_xlfn.XLOOKUP(transakcje[[#This Row],[podkategoria]],parametr[podkategoria],parametr[kategoria])</f>
        <v>życie</v>
      </c>
      <c r="H2944" t="str">
        <f>_xlfn.XLOOKUP(transakcje[[#This Row],[kategoria]],parametr[kategoria],parametr[typ])</f>
        <v>wydatki</v>
      </c>
      <c r="I2944" s="1">
        <f>ABS(transakcje[[#This Row],[kwota]])</f>
        <v>27.727999999999998</v>
      </c>
    </row>
    <row r="2945" spans="1:9" x14ac:dyDescent="0.3">
      <c r="A2945">
        <v>2944</v>
      </c>
      <c r="B2945">
        <v>2019</v>
      </c>
      <c r="C2945">
        <v>11</v>
      </c>
      <c r="D2945">
        <v>23</v>
      </c>
      <c r="E2945" s="1">
        <v>-20.399999999999999</v>
      </c>
      <c r="F2945" t="s">
        <v>32</v>
      </c>
      <c r="G2945" t="str">
        <f>_xlfn.XLOOKUP(transakcje[[#This Row],[podkategoria]],parametr[podkategoria],parametr[kategoria])</f>
        <v>opłaty stałe</v>
      </c>
      <c r="H2945" t="str">
        <f>_xlfn.XLOOKUP(transakcje[[#This Row],[kategoria]],parametr[kategoria],parametr[typ])</f>
        <v>wydatki</v>
      </c>
      <c r="I2945" s="1">
        <f>ABS(transakcje[[#This Row],[kwota]])</f>
        <v>20.399999999999999</v>
      </c>
    </row>
    <row r="2946" spans="1:9" x14ac:dyDescent="0.3">
      <c r="A2946">
        <v>2945</v>
      </c>
      <c r="B2946">
        <v>2019</v>
      </c>
      <c r="C2946">
        <v>11</v>
      </c>
      <c r="D2946">
        <v>23</v>
      </c>
      <c r="E2946" s="1">
        <v>-27.607999999999997</v>
      </c>
      <c r="F2946" t="s">
        <v>11</v>
      </c>
      <c r="G2946" t="str">
        <f>_xlfn.XLOOKUP(transakcje[[#This Row],[podkategoria]],parametr[podkategoria],parametr[kategoria])</f>
        <v>wydatki inne</v>
      </c>
      <c r="H2946" t="str">
        <f>_xlfn.XLOOKUP(transakcje[[#This Row],[kategoria]],parametr[kategoria],parametr[typ])</f>
        <v>wydatki</v>
      </c>
      <c r="I2946" s="1">
        <f>ABS(transakcje[[#This Row],[kwota]])</f>
        <v>27.607999999999997</v>
      </c>
    </row>
    <row r="2947" spans="1:9" x14ac:dyDescent="0.3">
      <c r="A2947">
        <v>2946</v>
      </c>
      <c r="B2947">
        <v>2019</v>
      </c>
      <c r="C2947">
        <v>11</v>
      </c>
      <c r="D2947">
        <v>26</v>
      </c>
      <c r="E2947" s="1">
        <v>657.21</v>
      </c>
      <c r="F2947" t="s">
        <v>8</v>
      </c>
      <c r="G2947" t="str">
        <f>_xlfn.XLOOKUP(transakcje[[#This Row],[podkategoria]],parametr[podkategoria],parametr[kategoria])</f>
        <v>dochody z pracy</v>
      </c>
      <c r="H2947" t="str">
        <f>_xlfn.XLOOKUP(transakcje[[#This Row],[kategoria]],parametr[kategoria],parametr[typ])</f>
        <v>dochody</v>
      </c>
      <c r="I2947" s="1">
        <f>ABS(transakcje[[#This Row],[kwota]])</f>
        <v>657.21</v>
      </c>
    </row>
    <row r="2948" spans="1:9" x14ac:dyDescent="0.3">
      <c r="A2948">
        <v>2947</v>
      </c>
      <c r="B2948">
        <v>2019</v>
      </c>
      <c r="C2948">
        <v>11</v>
      </c>
      <c r="D2948">
        <v>27</v>
      </c>
      <c r="E2948" s="1">
        <v>-7.444</v>
      </c>
      <c r="F2948" t="s">
        <v>26</v>
      </c>
      <c r="G2948" t="str">
        <f>_xlfn.XLOOKUP(transakcje[[#This Row],[podkategoria]],parametr[podkategoria],parametr[kategoria])</f>
        <v>życie</v>
      </c>
      <c r="H2948" t="str">
        <f>_xlfn.XLOOKUP(transakcje[[#This Row],[kategoria]],parametr[kategoria],parametr[typ])</f>
        <v>wydatki</v>
      </c>
      <c r="I2948" s="1">
        <f>ABS(transakcje[[#This Row],[kwota]])</f>
        <v>7.444</v>
      </c>
    </row>
    <row r="2949" spans="1:9" x14ac:dyDescent="0.3">
      <c r="A2949">
        <v>2948</v>
      </c>
      <c r="B2949">
        <v>2019</v>
      </c>
      <c r="C2949">
        <v>11</v>
      </c>
      <c r="D2949">
        <v>28</v>
      </c>
      <c r="E2949" s="1">
        <v>-3.6479999999999997</v>
      </c>
      <c r="F2949" t="s">
        <v>26</v>
      </c>
      <c r="G2949" t="str">
        <f>_xlfn.XLOOKUP(transakcje[[#This Row],[podkategoria]],parametr[podkategoria],parametr[kategoria])</f>
        <v>życie</v>
      </c>
      <c r="H2949" t="str">
        <f>_xlfn.XLOOKUP(transakcje[[#This Row],[kategoria]],parametr[kategoria],parametr[typ])</f>
        <v>wydatki</v>
      </c>
      <c r="I2949" s="1">
        <f>ABS(transakcje[[#This Row],[kwota]])</f>
        <v>3.6479999999999997</v>
      </c>
    </row>
    <row r="2950" spans="1:9" x14ac:dyDescent="0.3">
      <c r="A2950">
        <v>2949</v>
      </c>
      <c r="B2950">
        <v>2019</v>
      </c>
      <c r="C2950">
        <v>11</v>
      </c>
      <c r="D2950">
        <v>30</v>
      </c>
      <c r="E2950" s="1">
        <v>-1.198</v>
      </c>
      <c r="F2950" t="s">
        <v>14</v>
      </c>
      <c r="G2950" t="str">
        <f>_xlfn.XLOOKUP(transakcje[[#This Row],[podkategoria]],parametr[podkategoria],parametr[kategoria])</f>
        <v>opłaty stałe</v>
      </c>
      <c r="H2950" t="str">
        <f>_xlfn.XLOOKUP(transakcje[[#This Row],[kategoria]],parametr[kategoria],parametr[typ])</f>
        <v>wydatki</v>
      </c>
      <c r="I2950" s="1">
        <f>ABS(transakcje[[#This Row],[kwota]])</f>
        <v>1.198</v>
      </c>
    </row>
    <row r="2951" spans="1:9" x14ac:dyDescent="0.3">
      <c r="A2951">
        <v>2950</v>
      </c>
      <c r="B2951">
        <v>2019</v>
      </c>
      <c r="C2951">
        <v>11</v>
      </c>
      <c r="D2951">
        <v>30</v>
      </c>
      <c r="E2951" s="1">
        <v>-2E-3</v>
      </c>
      <c r="F2951" t="s">
        <v>14</v>
      </c>
      <c r="G2951" t="str">
        <f>_xlfn.XLOOKUP(transakcje[[#This Row],[podkategoria]],parametr[podkategoria],parametr[kategoria])</f>
        <v>opłaty stałe</v>
      </c>
      <c r="H2951" t="str">
        <f>_xlfn.XLOOKUP(transakcje[[#This Row],[kategoria]],parametr[kategoria],parametr[typ])</f>
        <v>wydatki</v>
      </c>
      <c r="I2951" s="1">
        <f>ABS(transakcje[[#This Row],[kwota]])</f>
        <v>2E-3</v>
      </c>
    </row>
    <row r="2952" spans="1:9" x14ac:dyDescent="0.3">
      <c r="A2952">
        <v>2951</v>
      </c>
      <c r="B2952">
        <v>2019</v>
      </c>
      <c r="C2952">
        <v>11</v>
      </c>
      <c r="D2952">
        <v>30</v>
      </c>
      <c r="E2952" s="1">
        <v>-4.9799999999999995</v>
      </c>
      <c r="F2952" t="s">
        <v>11</v>
      </c>
      <c r="G2952" t="str">
        <f>_xlfn.XLOOKUP(transakcje[[#This Row],[podkategoria]],parametr[podkategoria],parametr[kategoria])</f>
        <v>wydatki inne</v>
      </c>
      <c r="H2952" t="str">
        <f>_xlfn.XLOOKUP(transakcje[[#This Row],[kategoria]],parametr[kategoria],parametr[typ])</f>
        <v>wydatki</v>
      </c>
      <c r="I2952" s="1">
        <f>ABS(transakcje[[#This Row],[kwota]])</f>
        <v>4.9799999999999995</v>
      </c>
    </row>
    <row r="2953" spans="1:9" x14ac:dyDescent="0.3">
      <c r="A2953">
        <v>2952</v>
      </c>
      <c r="B2953">
        <v>2019</v>
      </c>
      <c r="C2953">
        <v>11</v>
      </c>
      <c r="D2953">
        <v>30</v>
      </c>
      <c r="E2953" s="1">
        <v>-0.7</v>
      </c>
      <c r="F2953" t="s">
        <v>14</v>
      </c>
      <c r="G2953" t="str">
        <f>_xlfn.XLOOKUP(transakcje[[#This Row],[podkategoria]],parametr[podkategoria],parametr[kategoria])</f>
        <v>opłaty stałe</v>
      </c>
      <c r="H2953" t="str">
        <f>_xlfn.XLOOKUP(transakcje[[#This Row],[kategoria]],parametr[kategoria],parametr[typ])</f>
        <v>wydatki</v>
      </c>
      <c r="I2953" s="1">
        <f>ABS(transakcje[[#This Row],[kwota]])</f>
        <v>0.7</v>
      </c>
    </row>
    <row r="2954" spans="1:9" x14ac:dyDescent="0.3">
      <c r="A2954">
        <v>2953</v>
      </c>
      <c r="B2954">
        <v>2019</v>
      </c>
      <c r="C2954">
        <v>11</v>
      </c>
      <c r="D2954">
        <v>30</v>
      </c>
      <c r="E2954" s="1">
        <v>2E-3</v>
      </c>
      <c r="F2954" t="s">
        <v>17</v>
      </c>
      <c r="G2954" t="str">
        <f>_xlfn.XLOOKUP(transakcje[[#This Row],[podkategoria]],parametr[podkategoria],parametr[kategoria])</f>
        <v>dochody pozostałe</v>
      </c>
      <c r="H2954" t="str">
        <f>_xlfn.XLOOKUP(transakcje[[#This Row],[kategoria]],parametr[kategoria],parametr[typ])</f>
        <v>dochody</v>
      </c>
      <c r="I2954" s="1">
        <f>ABS(transakcje[[#This Row],[kwota]])</f>
        <v>2E-3</v>
      </c>
    </row>
    <row r="2955" spans="1:9" x14ac:dyDescent="0.3">
      <c r="A2955">
        <v>2954</v>
      </c>
      <c r="B2955">
        <v>2019</v>
      </c>
      <c r="C2955">
        <v>12</v>
      </c>
      <c r="D2955">
        <v>1</v>
      </c>
      <c r="E2955" s="1">
        <v>-5.8</v>
      </c>
      <c r="F2955" t="s">
        <v>25</v>
      </c>
      <c r="G2955" t="str">
        <f>_xlfn.XLOOKUP(transakcje[[#This Row],[podkategoria]],parametr[podkategoria],parametr[kategoria])</f>
        <v>opłaty stałe</v>
      </c>
      <c r="H2955" t="str">
        <f>_xlfn.XLOOKUP(transakcje[[#This Row],[kategoria]],parametr[kategoria],parametr[typ])</f>
        <v>wydatki</v>
      </c>
      <c r="I2955" s="1">
        <f>ABS(transakcje[[#This Row],[kwota]])</f>
        <v>5.8</v>
      </c>
    </row>
    <row r="2956" spans="1:9" x14ac:dyDescent="0.3">
      <c r="A2956">
        <v>2955</v>
      </c>
      <c r="B2956">
        <v>2019</v>
      </c>
      <c r="C2956">
        <v>12</v>
      </c>
      <c r="D2956">
        <v>1</v>
      </c>
      <c r="E2956" s="1">
        <v>-72.138000000000005</v>
      </c>
      <c r="F2956" t="s">
        <v>31</v>
      </c>
      <c r="G2956" t="str">
        <f>_xlfn.XLOOKUP(transakcje[[#This Row],[podkategoria]],parametr[podkategoria],parametr[kategoria])</f>
        <v>opłaty stałe</v>
      </c>
      <c r="H2956" t="str">
        <f>_xlfn.XLOOKUP(transakcje[[#This Row],[kategoria]],parametr[kategoria],parametr[typ])</f>
        <v>wydatki</v>
      </c>
      <c r="I2956" s="1">
        <f>ABS(transakcje[[#This Row],[kwota]])</f>
        <v>72.138000000000005</v>
      </c>
    </row>
    <row r="2957" spans="1:9" x14ac:dyDescent="0.3">
      <c r="A2957">
        <v>2956</v>
      </c>
      <c r="B2957">
        <v>2019</v>
      </c>
      <c r="C2957">
        <v>12</v>
      </c>
      <c r="D2957">
        <v>1</v>
      </c>
      <c r="E2957" s="1">
        <v>-7.38</v>
      </c>
      <c r="F2957" t="s">
        <v>23</v>
      </c>
      <c r="G2957" t="str">
        <f>_xlfn.XLOOKUP(transakcje[[#This Row],[podkategoria]],parametr[podkategoria],parametr[kategoria])</f>
        <v>opłaty stałe</v>
      </c>
      <c r="H2957" t="str">
        <f>_xlfn.XLOOKUP(transakcje[[#This Row],[kategoria]],parametr[kategoria],parametr[typ])</f>
        <v>wydatki</v>
      </c>
      <c r="I2957" s="1">
        <f>ABS(transakcje[[#This Row],[kwota]])</f>
        <v>7.38</v>
      </c>
    </row>
    <row r="2958" spans="1:9" x14ac:dyDescent="0.3">
      <c r="A2958">
        <v>2957</v>
      </c>
      <c r="B2958">
        <v>2019</v>
      </c>
      <c r="C2958">
        <v>12</v>
      </c>
      <c r="D2958">
        <v>1</v>
      </c>
      <c r="E2958" s="1">
        <v>-25.722000000000001</v>
      </c>
      <c r="F2958" t="s">
        <v>11</v>
      </c>
      <c r="G2958" t="str">
        <f>_xlfn.XLOOKUP(transakcje[[#This Row],[podkategoria]],parametr[podkategoria],parametr[kategoria])</f>
        <v>wydatki inne</v>
      </c>
      <c r="H2958" t="str">
        <f>_xlfn.XLOOKUP(transakcje[[#This Row],[kategoria]],parametr[kategoria],parametr[typ])</f>
        <v>wydatki</v>
      </c>
      <c r="I2958" s="1">
        <f>ABS(transakcje[[#This Row],[kwota]])</f>
        <v>25.722000000000001</v>
      </c>
    </row>
    <row r="2959" spans="1:9" x14ac:dyDescent="0.3">
      <c r="A2959">
        <v>2958</v>
      </c>
      <c r="B2959">
        <v>2019</v>
      </c>
      <c r="C2959">
        <v>12</v>
      </c>
      <c r="D2959">
        <v>2</v>
      </c>
      <c r="E2959" s="1">
        <v>-0.4</v>
      </c>
      <c r="F2959" t="s">
        <v>14</v>
      </c>
      <c r="G2959" t="str">
        <f>_xlfn.XLOOKUP(transakcje[[#This Row],[podkategoria]],parametr[podkategoria],parametr[kategoria])</f>
        <v>opłaty stałe</v>
      </c>
      <c r="H2959" t="str">
        <f>_xlfn.XLOOKUP(transakcje[[#This Row],[kategoria]],parametr[kategoria],parametr[typ])</f>
        <v>wydatki</v>
      </c>
      <c r="I2959" s="1">
        <f>ABS(transakcje[[#This Row],[kwota]])</f>
        <v>0.4</v>
      </c>
    </row>
    <row r="2960" spans="1:9" x14ac:dyDescent="0.3">
      <c r="A2960">
        <v>2959</v>
      </c>
      <c r="B2960">
        <v>2019</v>
      </c>
      <c r="C2960">
        <v>12</v>
      </c>
      <c r="D2960">
        <v>3</v>
      </c>
      <c r="E2960" s="1">
        <v>-17.436</v>
      </c>
      <c r="F2960" t="s">
        <v>26</v>
      </c>
      <c r="G2960" t="str">
        <f>_xlfn.XLOOKUP(transakcje[[#This Row],[podkategoria]],parametr[podkategoria],parametr[kategoria])</f>
        <v>życie</v>
      </c>
      <c r="H2960" t="str">
        <f>_xlfn.XLOOKUP(transakcje[[#This Row],[kategoria]],parametr[kategoria],parametr[typ])</f>
        <v>wydatki</v>
      </c>
      <c r="I2960" s="1">
        <f>ABS(transakcje[[#This Row],[kwota]])</f>
        <v>17.436</v>
      </c>
    </row>
    <row r="2961" spans="1:9" x14ac:dyDescent="0.3">
      <c r="A2961">
        <v>2960</v>
      </c>
      <c r="B2961">
        <v>2019</v>
      </c>
      <c r="C2961">
        <v>12</v>
      </c>
      <c r="D2961">
        <v>5</v>
      </c>
      <c r="E2961" s="1">
        <v>-2.6960000000000002</v>
      </c>
      <c r="F2961" t="s">
        <v>26</v>
      </c>
      <c r="G2961" t="str">
        <f>_xlfn.XLOOKUP(transakcje[[#This Row],[podkategoria]],parametr[podkategoria],parametr[kategoria])</f>
        <v>życie</v>
      </c>
      <c r="H2961" t="str">
        <f>_xlfn.XLOOKUP(transakcje[[#This Row],[kategoria]],parametr[kategoria],parametr[typ])</f>
        <v>wydatki</v>
      </c>
      <c r="I2961" s="1">
        <f>ABS(transakcje[[#This Row],[kwota]])</f>
        <v>2.6960000000000002</v>
      </c>
    </row>
    <row r="2962" spans="1:9" x14ac:dyDescent="0.3">
      <c r="A2962">
        <v>2961</v>
      </c>
      <c r="B2962">
        <v>2019</v>
      </c>
      <c r="C2962">
        <v>12</v>
      </c>
      <c r="D2962">
        <v>6</v>
      </c>
      <c r="E2962" s="1">
        <v>-14.288</v>
      </c>
      <c r="F2962" t="s">
        <v>26</v>
      </c>
      <c r="G2962" t="str">
        <f>_xlfn.XLOOKUP(transakcje[[#This Row],[podkategoria]],parametr[podkategoria],parametr[kategoria])</f>
        <v>życie</v>
      </c>
      <c r="H2962" t="str">
        <f>_xlfn.XLOOKUP(transakcje[[#This Row],[kategoria]],parametr[kategoria],parametr[typ])</f>
        <v>wydatki</v>
      </c>
      <c r="I2962" s="1">
        <f>ABS(transakcje[[#This Row],[kwota]])</f>
        <v>14.288</v>
      </c>
    </row>
    <row r="2963" spans="1:9" x14ac:dyDescent="0.3">
      <c r="A2963">
        <v>2962</v>
      </c>
      <c r="B2963">
        <v>2019</v>
      </c>
      <c r="C2963">
        <v>12</v>
      </c>
      <c r="D2963">
        <v>10</v>
      </c>
      <c r="E2963" s="1">
        <v>-12.07</v>
      </c>
      <c r="F2963" t="s">
        <v>26</v>
      </c>
      <c r="G2963" t="str">
        <f>_xlfn.XLOOKUP(transakcje[[#This Row],[podkategoria]],parametr[podkategoria],parametr[kategoria])</f>
        <v>życie</v>
      </c>
      <c r="H2963" t="str">
        <f>_xlfn.XLOOKUP(transakcje[[#This Row],[kategoria]],parametr[kategoria],parametr[typ])</f>
        <v>wydatki</v>
      </c>
      <c r="I2963" s="1">
        <f>ABS(transakcje[[#This Row],[kwota]])</f>
        <v>12.07</v>
      </c>
    </row>
    <row r="2964" spans="1:9" x14ac:dyDescent="0.3">
      <c r="A2964">
        <v>2963</v>
      </c>
      <c r="B2964">
        <v>2019</v>
      </c>
      <c r="C2964">
        <v>12</v>
      </c>
      <c r="D2964">
        <v>11</v>
      </c>
      <c r="E2964" s="1">
        <v>-6.9480000000000004</v>
      </c>
      <c r="F2964" t="s">
        <v>26</v>
      </c>
      <c r="G2964" t="str">
        <f>_xlfn.XLOOKUP(transakcje[[#This Row],[podkategoria]],parametr[podkategoria],parametr[kategoria])</f>
        <v>życie</v>
      </c>
      <c r="H2964" t="str">
        <f>_xlfn.XLOOKUP(transakcje[[#This Row],[kategoria]],parametr[kategoria],parametr[typ])</f>
        <v>wydatki</v>
      </c>
      <c r="I2964" s="1">
        <f>ABS(transakcje[[#This Row],[kwota]])</f>
        <v>6.9480000000000004</v>
      </c>
    </row>
    <row r="2965" spans="1:9" x14ac:dyDescent="0.3">
      <c r="A2965">
        <v>2964</v>
      </c>
      <c r="B2965">
        <v>2019</v>
      </c>
      <c r="C2965">
        <v>12</v>
      </c>
      <c r="D2965">
        <v>12</v>
      </c>
      <c r="E2965" s="1">
        <v>-1.98</v>
      </c>
      <c r="F2965" t="s">
        <v>26</v>
      </c>
      <c r="G2965" t="str">
        <f>_xlfn.XLOOKUP(transakcje[[#This Row],[podkategoria]],parametr[podkategoria],parametr[kategoria])</f>
        <v>życie</v>
      </c>
      <c r="H2965" t="str">
        <f>_xlfn.XLOOKUP(transakcje[[#This Row],[kategoria]],parametr[kategoria],parametr[typ])</f>
        <v>wydatki</v>
      </c>
      <c r="I2965" s="1">
        <f>ABS(transakcje[[#This Row],[kwota]])</f>
        <v>1.98</v>
      </c>
    </row>
    <row r="2966" spans="1:9" x14ac:dyDescent="0.3">
      <c r="A2966">
        <v>2965</v>
      </c>
      <c r="B2966">
        <v>2019</v>
      </c>
      <c r="C2966">
        <v>12</v>
      </c>
      <c r="D2966">
        <v>12</v>
      </c>
      <c r="E2966" s="1">
        <v>-1.296</v>
      </c>
      <c r="F2966" t="s">
        <v>26</v>
      </c>
      <c r="G2966" t="str">
        <f>_xlfn.XLOOKUP(transakcje[[#This Row],[podkategoria]],parametr[podkategoria],parametr[kategoria])</f>
        <v>życie</v>
      </c>
      <c r="H2966" t="str">
        <f>_xlfn.XLOOKUP(transakcje[[#This Row],[kategoria]],parametr[kategoria],parametr[typ])</f>
        <v>wydatki</v>
      </c>
      <c r="I2966" s="1">
        <f>ABS(transakcje[[#This Row],[kwota]])</f>
        <v>1.296</v>
      </c>
    </row>
    <row r="2967" spans="1:9" x14ac:dyDescent="0.3">
      <c r="A2967">
        <v>2966</v>
      </c>
      <c r="B2967">
        <v>2019</v>
      </c>
      <c r="C2967">
        <v>12</v>
      </c>
      <c r="D2967">
        <v>12</v>
      </c>
      <c r="E2967" s="1">
        <v>657.21</v>
      </c>
      <c r="F2967" t="s">
        <v>8</v>
      </c>
      <c r="G2967" t="str">
        <f>_xlfn.XLOOKUP(transakcje[[#This Row],[podkategoria]],parametr[podkategoria],parametr[kategoria])</f>
        <v>dochody z pracy</v>
      </c>
      <c r="H2967" t="str">
        <f>_xlfn.XLOOKUP(transakcje[[#This Row],[kategoria]],parametr[kategoria],parametr[typ])</f>
        <v>dochody</v>
      </c>
      <c r="I2967" s="1">
        <f>ABS(transakcje[[#This Row],[kwota]])</f>
        <v>657.21</v>
      </c>
    </row>
    <row r="2968" spans="1:9" x14ac:dyDescent="0.3">
      <c r="A2968">
        <v>2967</v>
      </c>
      <c r="B2968">
        <v>2019</v>
      </c>
      <c r="C2968">
        <v>12</v>
      </c>
      <c r="D2968">
        <v>13</v>
      </c>
      <c r="E2968" s="1">
        <v>93.4</v>
      </c>
      <c r="F2968" t="s">
        <v>16</v>
      </c>
      <c r="G2968" t="str">
        <f>_xlfn.XLOOKUP(transakcje[[#This Row],[podkategoria]],parametr[podkategoria],parametr[kategoria])</f>
        <v>dochody z pracy</v>
      </c>
      <c r="H2968" t="str">
        <f>_xlfn.XLOOKUP(transakcje[[#This Row],[kategoria]],parametr[kategoria],parametr[typ])</f>
        <v>dochody</v>
      </c>
      <c r="I2968" s="1">
        <f>ABS(transakcje[[#This Row],[kwota]])</f>
        <v>93.4</v>
      </c>
    </row>
    <row r="2969" spans="1:9" x14ac:dyDescent="0.3">
      <c r="A2969">
        <v>2968</v>
      </c>
      <c r="B2969">
        <v>2019</v>
      </c>
      <c r="C2969">
        <v>12</v>
      </c>
      <c r="D2969">
        <v>13</v>
      </c>
      <c r="E2969" s="1">
        <v>-1.294</v>
      </c>
      <c r="F2969" t="s">
        <v>26</v>
      </c>
      <c r="G2969" t="str">
        <f>_xlfn.XLOOKUP(transakcje[[#This Row],[podkategoria]],parametr[podkategoria],parametr[kategoria])</f>
        <v>życie</v>
      </c>
      <c r="H2969" t="str">
        <f>_xlfn.XLOOKUP(transakcje[[#This Row],[kategoria]],parametr[kategoria],parametr[typ])</f>
        <v>wydatki</v>
      </c>
      <c r="I2969" s="1">
        <f>ABS(transakcje[[#This Row],[kwota]])</f>
        <v>1.294</v>
      </c>
    </row>
    <row r="2970" spans="1:9" x14ac:dyDescent="0.3">
      <c r="A2970">
        <v>2969</v>
      </c>
      <c r="B2970">
        <v>2019</v>
      </c>
      <c r="C2970">
        <v>12</v>
      </c>
      <c r="D2970">
        <v>18</v>
      </c>
      <c r="E2970" s="1">
        <v>-5.444</v>
      </c>
      <c r="F2970" t="s">
        <v>26</v>
      </c>
      <c r="G2970" t="str">
        <f>_xlfn.XLOOKUP(transakcje[[#This Row],[podkategoria]],parametr[podkategoria],parametr[kategoria])</f>
        <v>życie</v>
      </c>
      <c r="H2970" t="str">
        <f>_xlfn.XLOOKUP(transakcje[[#This Row],[kategoria]],parametr[kategoria],parametr[typ])</f>
        <v>wydatki</v>
      </c>
      <c r="I2970" s="1">
        <f>ABS(transakcje[[#This Row],[kwota]])</f>
        <v>5.444</v>
      </c>
    </row>
    <row r="2971" spans="1:9" x14ac:dyDescent="0.3">
      <c r="A2971">
        <v>2970</v>
      </c>
      <c r="B2971">
        <v>2019</v>
      </c>
      <c r="C2971">
        <v>12</v>
      </c>
      <c r="D2971">
        <v>18</v>
      </c>
      <c r="E2971" s="1">
        <v>-0.39800000000000002</v>
      </c>
      <c r="F2971" t="s">
        <v>14</v>
      </c>
      <c r="G2971" t="str">
        <f>_xlfn.XLOOKUP(transakcje[[#This Row],[podkategoria]],parametr[podkategoria],parametr[kategoria])</f>
        <v>opłaty stałe</v>
      </c>
      <c r="H2971" t="str">
        <f>_xlfn.XLOOKUP(transakcje[[#This Row],[kategoria]],parametr[kategoria],parametr[typ])</f>
        <v>wydatki</v>
      </c>
      <c r="I2971" s="1">
        <f>ABS(transakcje[[#This Row],[kwota]])</f>
        <v>0.39800000000000002</v>
      </c>
    </row>
    <row r="2972" spans="1:9" x14ac:dyDescent="0.3">
      <c r="A2972">
        <v>2971</v>
      </c>
      <c r="B2972">
        <v>2019</v>
      </c>
      <c r="C2972">
        <v>12</v>
      </c>
      <c r="D2972">
        <v>19</v>
      </c>
      <c r="E2972" s="1">
        <v>-33.227999999999994</v>
      </c>
      <c r="F2972" t="s">
        <v>26</v>
      </c>
      <c r="G2972" t="str">
        <f>_xlfn.XLOOKUP(transakcje[[#This Row],[podkategoria]],parametr[podkategoria],parametr[kategoria])</f>
        <v>życie</v>
      </c>
      <c r="H2972" t="str">
        <f>_xlfn.XLOOKUP(transakcje[[#This Row],[kategoria]],parametr[kategoria],parametr[typ])</f>
        <v>wydatki</v>
      </c>
      <c r="I2972" s="1">
        <f>ABS(transakcje[[#This Row],[kwota]])</f>
        <v>33.227999999999994</v>
      </c>
    </row>
    <row r="2973" spans="1:9" x14ac:dyDescent="0.3">
      <c r="A2973">
        <v>2972</v>
      </c>
      <c r="B2973">
        <v>2019</v>
      </c>
      <c r="C2973">
        <v>12</v>
      </c>
      <c r="D2973">
        <v>21</v>
      </c>
      <c r="E2973" s="1">
        <v>-29.139999999999997</v>
      </c>
      <c r="F2973" t="s">
        <v>26</v>
      </c>
      <c r="G2973" t="str">
        <f>_xlfn.XLOOKUP(transakcje[[#This Row],[podkategoria]],parametr[podkategoria],parametr[kategoria])</f>
        <v>życie</v>
      </c>
      <c r="H2973" t="str">
        <f>_xlfn.XLOOKUP(transakcje[[#This Row],[kategoria]],parametr[kategoria],parametr[typ])</f>
        <v>wydatki</v>
      </c>
      <c r="I2973" s="1">
        <f>ABS(transakcje[[#This Row],[kwota]])</f>
        <v>29.139999999999997</v>
      </c>
    </row>
    <row r="2974" spans="1:9" x14ac:dyDescent="0.3">
      <c r="A2974">
        <v>2973</v>
      </c>
      <c r="B2974">
        <v>2019</v>
      </c>
      <c r="C2974">
        <v>12</v>
      </c>
      <c r="D2974">
        <v>21</v>
      </c>
      <c r="E2974" s="1">
        <v>-4.2080000000000002</v>
      </c>
      <c r="F2974" t="s">
        <v>26</v>
      </c>
      <c r="G2974" t="str">
        <f>_xlfn.XLOOKUP(transakcje[[#This Row],[podkategoria]],parametr[podkategoria],parametr[kategoria])</f>
        <v>życie</v>
      </c>
      <c r="H2974" t="str">
        <f>_xlfn.XLOOKUP(transakcje[[#This Row],[kategoria]],parametr[kategoria],parametr[typ])</f>
        <v>wydatki</v>
      </c>
      <c r="I2974" s="1">
        <f>ABS(transakcje[[#This Row],[kwota]])</f>
        <v>4.2080000000000002</v>
      </c>
    </row>
    <row r="2975" spans="1:9" x14ac:dyDescent="0.3">
      <c r="A2975">
        <v>2974</v>
      </c>
      <c r="B2975">
        <v>2019</v>
      </c>
      <c r="C2975">
        <v>12</v>
      </c>
      <c r="D2975">
        <v>23</v>
      </c>
      <c r="E2975" s="1">
        <v>371.976</v>
      </c>
      <c r="F2975" t="s">
        <v>19</v>
      </c>
      <c r="G2975" t="str">
        <f>_xlfn.XLOOKUP(transakcje[[#This Row],[podkategoria]],parametr[podkategoria],parametr[kategoria])</f>
        <v>dochody z pracy</v>
      </c>
      <c r="H2975" t="str">
        <f>_xlfn.XLOOKUP(transakcje[[#This Row],[kategoria]],parametr[kategoria],parametr[typ])</f>
        <v>dochody</v>
      </c>
      <c r="I2975" s="1">
        <f>ABS(transakcje[[#This Row],[kwota]])</f>
        <v>371.976</v>
      </c>
    </row>
    <row r="2976" spans="1:9" x14ac:dyDescent="0.3">
      <c r="A2976">
        <v>2975</v>
      </c>
      <c r="B2976">
        <v>2019</v>
      </c>
      <c r="C2976">
        <v>12</v>
      </c>
      <c r="D2976">
        <v>26</v>
      </c>
      <c r="E2976" s="1">
        <v>-20.399999999999999</v>
      </c>
      <c r="F2976" t="s">
        <v>32</v>
      </c>
      <c r="G2976" t="str">
        <f>_xlfn.XLOOKUP(transakcje[[#This Row],[podkategoria]],parametr[podkategoria],parametr[kategoria])</f>
        <v>opłaty stałe</v>
      </c>
      <c r="H2976" t="str">
        <f>_xlfn.XLOOKUP(transakcje[[#This Row],[kategoria]],parametr[kategoria],parametr[typ])</f>
        <v>wydatki</v>
      </c>
      <c r="I2976" s="1">
        <f>ABS(transakcje[[#This Row],[kwota]])</f>
        <v>20.399999999999999</v>
      </c>
    </row>
    <row r="2977" spans="1:9" x14ac:dyDescent="0.3">
      <c r="A2977">
        <v>2976</v>
      </c>
      <c r="B2977">
        <v>2019</v>
      </c>
      <c r="C2977">
        <v>12</v>
      </c>
      <c r="D2977">
        <v>28</v>
      </c>
      <c r="E2977" s="1">
        <v>-59.94</v>
      </c>
      <c r="F2977" t="s">
        <v>11</v>
      </c>
      <c r="G2977" t="str">
        <f>_xlfn.XLOOKUP(transakcje[[#This Row],[podkategoria]],parametr[podkategoria],parametr[kategoria])</f>
        <v>wydatki inne</v>
      </c>
      <c r="H2977" t="str">
        <f>_xlfn.XLOOKUP(transakcje[[#This Row],[kategoria]],parametr[kategoria],parametr[typ])</f>
        <v>wydatki</v>
      </c>
      <c r="I2977" s="1">
        <f>ABS(transakcje[[#This Row],[kwota]])</f>
        <v>59.94</v>
      </c>
    </row>
    <row r="2978" spans="1:9" x14ac:dyDescent="0.3">
      <c r="A2978">
        <v>2977</v>
      </c>
      <c r="B2978">
        <v>2019</v>
      </c>
      <c r="C2978">
        <v>12</v>
      </c>
      <c r="D2978">
        <v>28</v>
      </c>
      <c r="E2978" s="1">
        <v>-5.4340000000000002</v>
      </c>
      <c r="F2978" t="s">
        <v>26</v>
      </c>
      <c r="G2978" t="str">
        <f>_xlfn.XLOOKUP(transakcje[[#This Row],[podkategoria]],parametr[podkategoria],parametr[kategoria])</f>
        <v>życie</v>
      </c>
      <c r="H2978" t="str">
        <f>_xlfn.XLOOKUP(transakcje[[#This Row],[kategoria]],parametr[kategoria],parametr[typ])</f>
        <v>wydatki</v>
      </c>
      <c r="I2978" s="1">
        <f>ABS(transakcje[[#This Row],[kwota]])</f>
        <v>5.4340000000000002</v>
      </c>
    </row>
    <row r="2979" spans="1:9" x14ac:dyDescent="0.3">
      <c r="A2979">
        <v>2978</v>
      </c>
      <c r="B2979">
        <v>2019</v>
      </c>
      <c r="C2979">
        <v>12</v>
      </c>
      <c r="D2979">
        <v>30</v>
      </c>
      <c r="E2979" s="1">
        <v>-15.122</v>
      </c>
      <c r="F2979" t="s">
        <v>26</v>
      </c>
      <c r="G2979" t="str">
        <f>_xlfn.XLOOKUP(transakcje[[#This Row],[podkategoria]],parametr[podkategoria],parametr[kategoria])</f>
        <v>życie</v>
      </c>
      <c r="H2979" t="str">
        <f>_xlfn.XLOOKUP(transakcje[[#This Row],[kategoria]],parametr[kategoria],parametr[typ])</f>
        <v>wydatki</v>
      </c>
      <c r="I2979" s="1">
        <f>ABS(transakcje[[#This Row],[kwota]])</f>
        <v>15.122</v>
      </c>
    </row>
    <row r="2980" spans="1:9" x14ac:dyDescent="0.3">
      <c r="A2980">
        <v>2979</v>
      </c>
      <c r="B2980">
        <v>2019</v>
      </c>
      <c r="C2980">
        <v>12</v>
      </c>
      <c r="D2980">
        <v>31</v>
      </c>
      <c r="E2980" s="1">
        <v>-1.198</v>
      </c>
      <c r="F2980" t="s">
        <v>14</v>
      </c>
      <c r="G2980" t="str">
        <f>_xlfn.XLOOKUP(transakcje[[#This Row],[podkategoria]],parametr[podkategoria],parametr[kategoria])</f>
        <v>opłaty stałe</v>
      </c>
      <c r="H2980" t="str">
        <f>_xlfn.XLOOKUP(transakcje[[#This Row],[kategoria]],parametr[kategoria],parametr[typ])</f>
        <v>wydatki</v>
      </c>
      <c r="I2980" s="1">
        <f>ABS(transakcje[[#This Row],[kwota]])</f>
        <v>1.198</v>
      </c>
    </row>
    <row r="2981" spans="1:9" x14ac:dyDescent="0.3">
      <c r="A2981">
        <v>2980</v>
      </c>
      <c r="B2981">
        <v>2019</v>
      </c>
      <c r="C2981">
        <v>12</v>
      </c>
      <c r="D2981">
        <v>31</v>
      </c>
      <c r="E2981" s="1">
        <v>4.0000000000000001E-3</v>
      </c>
      <c r="F2981" t="s">
        <v>17</v>
      </c>
      <c r="G2981" t="str">
        <f>_xlfn.XLOOKUP(transakcje[[#This Row],[podkategoria]],parametr[podkategoria],parametr[kategoria])</f>
        <v>dochody pozostałe</v>
      </c>
      <c r="H2981" t="str">
        <f>_xlfn.XLOOKUP(transakcje[[#This Row],[kategoria]],parametr[kategoria],parametr[typ])</f>
        <v>dochody</v>
      </c>
      <c r="I2981" s="1">
        <f>ABS(transakcje[[#This Row],[kwota]])</f>
        <v>4.0000000000000001E-3</v>
      </c>
    </row>
    <row r="2982" spans="1:9" x14ac:dyDescent="0.3">
      <c r="A2982">
        <v>2981</v>
      </c>
      <c r="B2982">
        <v>2019</v>
      </c>
      <c r="C2982">
        <v>12</v>
      </c>
      <c r="D2982">
        <v>31</v>
      </c>
      <c r="E2982" s="1">
        <v>-2E-3</v>
      </c>
      <c r="F2982" t="s">
        <v>14</v>
      </c>
      <c r="G2982" t="str">
        <f>_xlfn.XLOOKUP(transakcje[[#This Row],[podkategoria]],parametr[podkategoria],parametr[kategoria])</f>
        <v>opłaty stałe</v>
      </c>
      <c r="H2982" t="str">
        <f>_xlfn.XLOOKUP(transakcje[[#This Row],[kategoria]],parametr[kategoria],parametr[typ])</f>
        <v>wydatki</v>
      </c>
      <c r="I2982" s="1">
        <f>ABS(transakcje[[#This Row],[kwota]])</f>
        <v>2E-3</v>
      </c>
    </row>
    <row r="2983" spans="1:9" x14ac:dyDescent="0.3">
      <c r="A2983">
        <v>2982</v>
      </c>
      <c r="B2983">
        <v>2020</v>
      </c>
      <c r="C2983">
        <v>1</v>
      </c>
      <c r="D2983">
        <v>1</v>
      </c>
      <c r="E2983" s="1">
        <v>-57.805999999999997</v>
      </c>
      <c r="F2983" t="s">
        <v>26</v>
      </c>
      <c r="G2983" t="str">
        <f>_xlfn.XLOOKUP(transakcje[[#This Row],[podkategoria]],parametr[podkategoria],parametr[kategoria])</f>
        <v>życie</v>
      </c>
      <c r="H2983" t="str">
        <f>_xlfn.XLOOKUP(transakcje[[#This Row],[kategoria]],parametr[kategoria],parametr[typ])</f>
        <v>wydatki</v>
      </c>
      <c r="I2983" s="1">
        <f>ABS(transakcje[[#This Row],[kwota]])</f>
        <v>57.805999999999997</v>
      </c>
    </row>
    <row r="2984" spans="1:9" x14ac:dyDescent="0.3">
      <c r="A2984">
        <v>2983</v>
      </c>
      <c r="B2984">
        <v>2020</v>
      </c>
      <c r="C2984">
        <v>1</v>
      </c>
      <c r="D2984">
        <v>1</v>
      </c>
      <c r="E2984" s="1">
        <v>-7.38</v>
      </c>
      <c r="F2984" t="s">
        <v>23</v>
      </c>
      <c r="G2984" t="str">
        <f>_xlfn.XLOOKUP(transakcje[[#This Row],[podkategoria]],parametr[podkategoria],parametr[kategoria])</f>
        <v>opłaty stałe</v>
      </c>
      <c r="H2984" t="str">
        <f>_xlfn.XLOOKUP(transakcje[[#This Row],[kategoria]],parametr[kategoria],parametr[typ])</f>
        <v>wydatki</v>
      </c>
      <c r="I2984" s="1">
        <f>ABS(transakcje[[#This Row],[kwota]])</f>
        <v>7.38</v>
      </c>
    </row>
    <row r="2985" spans="1:9" x14ac:dyDescent="0.3">
      <c r="A2985">
        <v>2984</v>
      </c>
      <c r="B2985">
        <v>2020</v>
      </c>
      <c r="C2985">
        <v>1</v>
      </c>
      <c r="D2985">
        <v>1</v>
      </c>
      <c r="E2985" s="1">
        <v>-13.431999999999999</v>
      </c>
      <c r="F2985" t="s">
        <v>34</v>
      </c>
      <c r="G2985" t="str">
        <f>_xlfn.XLOOKUP(transakcje[[#This Row],[podkategoria]],parametr[podkategoria],parametr[kategoria])</f>
        <v>opłaty stałe</v>
      </c>
      <c r="H2985" t="str">
        <f>_xlfn.XLOOKUP(transakcje[[#This Row],[kategoria]],parametr[kategoria],parametr[typ])</f>
        <v>wydatki</v>
      </c>
      <c r="I2985" s="1">
        <f>ABS(transakcje[[#This Row],[kwota]])</f>
        <v>13.431999999999999</v>
      </c>
    </row>
    <row r="2986" spans="1:9" x14ac:dyDescent="0.3">
      <c r="A2986">
        <v>2985</v>
      </c>
      <c r="B2986">
        <v>2020</v>
      </c>
      <c r="C2986">
        <v>1</v>
      </c>
      <c r="D2986">
        <v>1</v>
      </c>
      <c r="E2986" s="1">
        <v>-5.8</v>
      </c>
      <c r="F2986" t="s">
        <v>25</v>
      </c>
      <c r="G2986" t="str">
        <f>_xlfn.XLOOKUP(transakcje[[#This Row],[podkategoria]],parametr[podkategoria],parametr[kategoria])</f>
        <v>opłaty stałe</v>
      </c>
      <c r="H2986" t="str">
        <f>_xlfn.XLOOKUP(transakcje[[#This Row],[kategoria]],parametr[kategoria],parametr[typ])</f>
        <v>wydatki</v>
      </c>
      <c r="I2986" s="1">
        <f>ABS(transakcje[[#This Row],[kwota]])</f>
        <v>5.8</v>
      </c>
    </row>
    <row r="2987" spans="1:9" x14ac:dyDescent="0.3">
      <c r="A2987">
        <v>2986</v>
      </c>
      <c r="B2987">
        <v>2020</v>
      </c>
      <c r="C2987">
        <v>1</v>
      </c>
      <c r="D2987">
        <v>1</v>
      </c>
      <c r="E2987" s="1">
        <v>-5.7700000000000005</v>
      </c>
      <c r="F2987" t="s">
        <v>35</v>
      </c>
      <c r="G2987" t="str">
        <f>_xlfn.XLOOKUP(transakcje[[#This Row],[podkategoria]],parametr[podkategoria],parametr[kategoria])</f>
        <v>opłaty stałe</v>
      </c>
      <c r="H2987" t="str">
        <f>_xlfn.XLOOKUP(transakcje[[#This Row],[kategoria]],parametr[kategoria],parametr[typ])</f>
        <v>wydatki</v>
      </c>
      <c r="I2987" s="1">
        <f>ABS(transakcje[[#This Row],[kwota]])</f>
        <v>5.7700000000000005</v>
      </c>
    </row>
    <row r="2988" spans="1:9" x14ac:dyDescent="0.3">
      <c r="A2988">
        <v>2987</v>
      </c>
      <c r="B2988">
        <v>2020</v>
      </c>
      <c r="C2988">
        <v>1</v>
      </c>
      <c r="D2988">
        <v>1</v>
      </c>
      <c r="E2988" s="1">
        <v>-4.54</v>
      </c>
      <c r="F2988" t="s">
        <v>37</v>
      </c>
      <c r="G2988" t="str">
        <f>_xlfn.XLOOKUP(transakcje[[#This Row],[podkategoria]],parametr[podkategoria],parametr[kategoria])</f>
        <v>opłaty stałe</v>
      </c>
      <c r="H2988" t="str">
        <f>_xlfn.XLOOKUP(transakcje[[#This Row],[kategoria]],parametr[kategoria],parametr[typ])</f>
        <v>wydatki</v>
      </c>
      <c r="I2988" s="1">
        <f>ABS(transakcje[[#This Row],[kwota]])</f>
        <v>4.54</v>
      </c>
    </row>
    <row r="2989" spans="1:9" x14ac:dyDescent="0.3">
      <c r="A2989">
        <v>2988</v>
      </c>
      <c r="B2989">
        <v>2020</v>
      </c>
      <c r="C2989">
        <v>1</v>
      </c>
      <c r="D2989">
        <v>2</v>
      </c>
      <c r="E2989" s="1">
        <v>-0.08</v>
      </c>
      <c r="F2989" t="s">
        <v>14</v>
      </c>
      <c r="G2989" t="str">
        <f>_xlfn.XLOOKUP(transakcje[[#This Row],[podkategoria]],parametr[podkategoria],parametr[kategoria])</f>
        <v>opłaty stałe</v>
      </c>
      <c r="H2989" t="str">
        <f>_xlfn.XLOOKUP(transakcje[[#This Row],[kategoria]],parametr[kategoria],parametr[typ])</f>
        <v>wydatki</v>
      </c>
      <c r="I2989" s="1">
        <f>ABS(transakcje[[#This Row],[kwota]])</f>
        <v>0.08</v>
      </c>
    </row>
    <row r="2990" spans="1:9" x14ac:dyDescent="0.3">
      <c r="A2990">
        <v>2989</v>
      </c>
      <c r="B2990">
        <v>2020</v>
      </c>
      <c r="C2990">
        <v>1</v>
      </c>
      <c r="D2990">
        <v>2</v>
      </c>
      <c r="E2990" s="1">
        <v>-43.8</v>
      </c>
      <c r="F2990" t="s">
        <v>24</v>
      </c>
      <c r="G2990" t="str">
        <f>_xlfn.XLOOKUP(transakcje[[#This Row],[podkategoria]],parametr[podkategoria],parametr[kategoria])</f>
        <v>trwałe</v>
      </c>
      <c r="H2990" t="str">
        <f>_xlfn.XLOOKUP(transakcje[[#This Row],[kategoria]],parametr[kategoria],parametr[typ])</f>
        <v>wydatki</v>
      </c>
      <c r="I2990" s="1">
        <f>ABS(transakcje[[#This Row],[kwota]])</f>
        <v>43.8</v>
      </c>
    </row>
    <row r="2991" spans="1:9" x14ac:dyDescent="0.3">
      <c r="A2991">
        <v>2990</v>
      </c>
      <c r="B2991">
        <v>2020</v>
      </c>
      <c r="C2991">
        <v>1</v>
      </c>
      <c r="D2991">
        <v>4</v>
      </c>
      <c r="E2991" s="1">
        <v>-76.515999999999991</v>
      </c>
      <c r="F2991" t="s">
        <v>31</v>
      </c>
      <c r="G2991" t="str">
        <f>_xlfn.XLOOKUP(transakcje[[#This Row],[podkategoria]],parametr[podkategoria],parametr[kategoria])</f>
        <v>opłaty stałe</v>
      </c>
      <c r="H2991" t="str">
        <f>_xlfn.XLOOKUP(transakcje[[#This Row],[kategoria]],parametr[kategoria],parametr[typ])</f>
        <v>wydatki</v>
      </c>
      <c r="I2991" s="1">
        <f>ABS(transakcje[[#This Row],[kwota]])</f>
        <v>76.515999999999991</v>
      </c>
    </row>
    <row r="2992" spans="1:9" x14ac:dyDescent="0.3">
      <c r="A2992">
        <v>2991</v>
      </c>
      <c r="B2992">
        <v>2020</v>
      </c>
      <c r="C2992">
        <v>1</v>
      </c>
      <c r="D2992">
        <v>10</v>
      </c>
      <c r="E2992" s="1">
        <v>-0.92400000000000004</v>
      </c>
      <c r="F2992" t="s">
        <v>26</v>
      </c>
      <c r="G2992" t="str">
        <f>_xlfn.XLOOKUP(transakcje[[#This Row],[podkategoria]],parametr[podkategoria],parametr[kategoria])</f>
        <v>życie</v>
      </c>
      <c r="H2992" t="str">
        <f>_xlfn.XLOOKUP(transakcje[[#This Row],[kategoria]],parametr[kategoria],parametr[typ])</f>
        <v>wydatki</v>
      </c>
      <c r="I2992" s="1">
        <f>ABS(transakcje[[#This Row],[kwota]])</f>
        <v>0.92400000000000004</v>
      </c>
    </row>
    <row r="2993" spans="1:9" x14ac:dyDescent="0.3">
      <c r="A2993">
        <v>2992</v>
      </c>
      <c r="B2993">
        <v>2020</v>
      </c>
      <c r="C2993">
        <v>1</v>
      </c>
      <c r="D2993">
        <v>14</v>
      </c>
      <c r="E2993" s="1">
        <v>-1.8859999999999999</v>
      </c>
      <c r="F2993" t="s">
        <v>26</v>
      </c>
      <c r="G2993" t="str">
        <f>_xlfn.XLOOKUP(transakcje[[#This Row],[podkategoria]],parametr[podkategoria],parametr[kategoria])</f>
        <v>życie</v>
      </c>
      <c r="H2993" t="str">
        <f>_xlfn.XLOOKUP(transakcje[[#This Row],[kategoria]],parametr[kategoria],parametr[typ])</f>
        <v>wydatki</v>
      </c>
      <c r="I2993" s="1">
        <f>ABS(transakcje[[#This Row],[kwota]])</f>
        <v>1.8859999999999999</v>
      </c>
    </row>
    <row r="2994" spans="1:9" x14ac:dyDescent="0.3">
      <c r="A2994">
        <v>2993</v>
      </c>
      <c r="B2994">
        <v>2020</v>
      </c>
      <c r="C2994">
        <v>1</v>
      </c>
      <c r="D2994">
        <v>15</v>
      </c>
      <c r="E2994" s="1">
        <v>-0.39800000000000002</v>
      </c>
      <c r="F2994" t="s">
        <v>14</v>
      </c>
      <c r="G2994" t="str">
        <f>_xlfn.XLOOKUP(transakcje[[#This Row],[podkategoria]],parametr[podkategoria],parametr[kategoria])</f>
        <v>opłaty stałe</v>
      </c>
      <c r="H2994" t="str">
        <f>_xlfn.XLOOKUP(transakcje[[#This Row],[kategoria]],parametr[kategoria],parametr[typ])</f>
        <v>wydatki</v>
      </c>
      <c r="I2994" s="1">
        <f>ABS(transakcje[[#This Row],[kwota]])</f>
        <v>0.39800000000000002</v>
      </c>
    </row>
    <row r="2995" spans="1:9" x14ac:dyDescent="0.3">
      <c r="A2995">
        <v>2994</v>
      </c>
      <c r="B2995">
        <v>2020</v>
      </c>
      <c r="C2995">
        <v>1</v>
      </c>
      <c r="D2995">
        <v>16</v>
      </c>
      <c r="E2995" s="1">
        <v>-5.2439999999999998</v>
      </c>
      <c r="F2995" t="s">
        <v>26</v>
      </c>
      <c r="G2995" t="str">
        <f>_xlfn.XLOOKUP(transakcje[[#This Row],[podkategoria]],parametr[podkategoria],parametr[kategoria])</f>
        <v>życie</v>
      </c>
      <c r="H2995" t="str">
        <f>_xlfn.XLOOKUP(transakcje[[#This Row],[kategoria]],parametr[kategoria],parametr[typ])</f>
        <v>wydatki</v>
      </c>
      <c r="I2995" s="1">
        <f>ABS(transakcje[[#This Row],[kwota]])</f>
        <v>5.2439999999999998</v>
      </c>
    </row>
    <row r="2996" spans="1:9" x14ac:dyDescent="0.3">
      <c r="A2996">
        <v>2995</v>
      </c>
      <c r="B2996">
        <v>2020</v>
      </c>
      <c r="C2996">
        <v>1</v>
      </c>
      <c r="D2996">
        <v>22</v>
      </c>
      <c r="E2996" s="1">
        <v>-7.4079999999999995</v>
      </c>
      <c r="F2996" t="s">
        <v>26</v>
      </c>
      <c r="G2996" t="str">
        <f>_xlfn.XLOOKUP(transakcje[[#This Row],[podkategoria]],parametr[podkategoria],parametr[kategoria])</f>
        <v>życie</v>
      </c>
      <c r="H2996" t="str">
        <f>_xlfn.XLOOKUP(transakcje[[#This Row],[kategoria]],parametr[kategoria],parametr[typ])</f>
        <v>wydatki</v>
      </c>
      <c r="I2996" s="1">
        <f>ABS(transakcje[[#This Row],[kwota]])</f>
        <v>7.4079999999999995</v>
      </c>
    </row>
    <row r="2997" spans="1:9" x14ac:dyDescent="0.3">
      <c r="A2997">
        <v>2996</v>
      </c>
      <c r="B2997">
        <v>2020</v>
      </c>
      <c r="C2997">
        <v>1</v>
      </c>
      <c r="D2997">
        <v>24</v>
      </c>
      <c r="E2997" s="1">
        <v>735.55</v>
      </c>
      <c r="F2997" t="s">
        <v>8</v>
      </c>
      <c r="G2997" t="str">
        <f>_xlfn.XLOOKUP(transakcje[[#This Row],[podkategoria]],parametr[podkategoria],parametr[kategoria])</f>
        <v>dochody z pracy</v>
      </c>
      <c r="H2997" t="str">
        <f>_xlfn.XLOOKUP(transakcje[[#This Row],[kategoria]],parametr[kategoria],parametr[typ])</f>
        <v>dochody</v>
      </c>
      <c r="I2997" s="1">
        <f>ABS(transakcje[[#This Row],[kwota]])</f>
        <v>735.55</v>
      </c>
    </row>
    <row r="2998" spans="1:9" x14ac:dyDescent="0.3">
      <c r="A2998">
        <v>2997</v>
      </c>
      <c r="B2998">
        <v>2020</v>
      </c>
      <c r="C2998">
        <v>1</v>
      </c>
      <c r="D2998">
        <v>26</v>
      </c>
      <c r="E2998" s="1">
        <v>-19.8</v>
      </c>
      <c r="F2998" t="s">
        <v>32</v>
      </c>
      <c r="G2998" t="str">
        <f>_xlfn.XLOOKUP(transakcje[[#This Row],[podkategoria]],parametr[podkategoria],parametr[kategoria])</f>
        <v>opłaty stałe</v>
      </c>
      <c r="H2998" t="str">
        <f>_xlfn.XLOOKUP(transakcje[[#This Row],[kategoria]],parametr[kategoria],parametr[typ])</f>
        <v>wydatki</v>
      </c>
      <c r="I2998" s="1">
        <f>ABS(transakcje[[#This Row],[kwota]])</f>
        <v>19.8</v>
      </c>
    </row>
    <row r="2999" spans="1:9" x14ac:dyDescent="0.3">
      <c r="A2999">
        <v>2998</v>
      </c>
      <c r="B2999">
        <v>2020</v>
      </c>
      <c r="C2999">
        <v>1</v>
      </c>
      <c r="D2999">
        <v>28</v>
      </c>
      <c r="E2999" s="1">
        <v>-0.32999999999999996</v>
      </c>
      <c r="F2999" t="s">
        <v>26</v>
      </c>
      <c r="G2999" t="str">
        <f>_xlfn.XLOOKUP(transakcje[[#This Row],[podkategoria]],parametr[podkategoria],parametr[kategoria])</f>
        <v>życie</v>
      </c>
      <c r="H2999" t="str">
        <f>_xlfn.XLOOKUP(transakcje[[#This Row],[kategoria]],parametr[kategoria],parametr[typ])</f>
        <v>wydatki</v>
      </c>
      <c r="I2999" s="1">
        <f>ABS(transakcje[[#This Row],[kwota]])</f>
        <v>0.32999999999999996</v>
      </c>
    </row>
    <row r="3000" spans="1:9" x14ac:dyDescent="0.3">
      <c r="A3000">
        <v>2999</v>
      </c>
      <c r="B3000">
        <v>2020</v>
      </c>
      <c r="C3000">
        <v>1</v>
      </c>
      <c r="D3000">
        <v>29</v>
      </c>
      <c r="E3000" s="1">
        <v>-10.302</v>
      </c>
      <c r="F3000" t="s">
        <v>26</v>
      </c>
      <c r="G3000" t="str">
        <f>_xlfn.XLOOKUP(transakcje[[#This Row],[podkategoria]],parametr[podkategoria],parametr[kategoria])</f>
        <v>życie</v>
      </c>
      <c r="H3000" t="str">
        <f>_xlfn.XLOOKUP(transakcje[[#This Row],[kategoria]],parametr[kategoria],parametr[typ])</f>
        <v>wydatki</v>
      </c>
      <c r="I3000" s="1">
        <f>ABS(transakcje[[#This Row],[kwota]])</f>
        <v>10.302</v>
      </c>
    </row>
    <row r="3001" spans="1:9" x14ac:dyDescent="0.3">
      <c r="A3001">
        <v>3000</v>
      </c>
      <c r="B3001">
        <v>2020</v>
      </c>
      <c r="C3001">
        <v>1</v>
      </c>
      <c r="D3001">
        <v>31</v>
      </c>
      <c r="E3001" s="1">
        <v>-0.4</v>
      </c>
      <c r="F3001" t="s">
        <v>14</v>
      </c>
      <c r="G3001" t="str">
        <f>_xlfn.XLOOKUP(transakcje[[#This Row],[podkategoria]],parametr[podkategoria],parametr[kategoria])</f>
        <v>opłaty stałe</v>
      </c>
      <c r="H3001" t="str">
        <f>_xlfn.XLOOKUP(transakcje[[#This Row],[kategoria]],parametr[kategoria],parametr[typ])</f>
        <v>wydatki</v>
      </c>
      <c r="I3001" s="1">
        <f>ABS(transakcje[[#This Row],[kwota]])</f>
        <v>0.4</v>
      </c>
    </row>
    <row r="3002" spans="1:9" x14ac:dyDescent="0.3">
      <c r="A3002">
        <v>3001</v>
      </c>
      <c r="B3002">
        <v>2020</v>
      </c>
      <c r="C3002">
        <v>1</v>
      </c>
      <c r="D3002">
        <v>31</v>
      </c>
      <c r="E3002" s="1">
        <v>-1.198</v>
      </c>
      <c r="F3002" t="s">
        <v>14</v>
      </c>
      <c r="G3002" t="str">
        <f>_xlfn.XLOOKUP(transakcje[[#This Row],[podkategoria]],parametr[podkategoria],parametr[kategoria])</f>
        <v>opłaty stałe</v>
      </c>
      <c r="H3002" t="str">
        <f>_xlfn.XLOOKUP(transakcje[[#This Row],[kategoria]],parametr[kategoria],parametr[typ])</f>
        <v>wydatki</v>
      </c>
      <c r="I3002" s="1">
        <f>ABS(transakcje[[#This Row],[kwota]])</f>
        <v>1.198</v>
      </c>
    </row>
    <row r="3003" spans="1:9" x14ac:dyDescent="0.3">
      <c r="A3003">
        <v>3002</v>
      </c>
      <c r="B3003">
        <v>2020</v>
      </c>
      <c r="C3003">
        <v>1</v>
      </c>
      <c r="D3003">
        <v>31</v>
      </c>
      <c r="E3003" s="1">
        <v>2E-3</v>
      </c>
      <c r="F3003" t="s">
        <v>17</v>
      </c>
      <c r="G3003" t="str">
        <f>_xlfn.XLOOKUP(transakcje[[#This Row],[podkategoria]],parametr[podkategoria],parametr[kategoria])</f>
        <v>dochody pozostałe</v>
      </c>
      <c r="H3003" t="str">
        <f>_xlfn.XLOOKUP(transakcje[[#This Row],[kategoria]],parametr[kategoria],parametr[typ])</f>
        <v>dochody</v>
      </c>
      <c r="I3003" s="1">
        <f>ABS(transakcje[[#This Row],[kwota]])</f>
        <v>2E-3</v>
      </c>
    </row>
    <row r="3004" spans="1:9" x14ac:dyDescent="0.3">
      <c r="A3004">
        <v>3003</v>
      </c>
      <c r="B3004">
        <v>2020</v>
      </c>
      <c r="C3004">
        <v>1</v>
      </c>
      <c r="D3004">
        <v>31</v>
      </c>
      <c r="E3004" s="1">
        <v>-2E-3</v>
      </c>
      <c r="F3004" t="s">
        <v>14</v>
      </c>
      <c r="G3004" t="str">
        <f>_xlfn.XLOOKUP(transakcje[[#This Row],[podkategoria]],parametr[podkategoria],parametr[kategoria])</f>
        <v>opłaty stałe</v>
      </c>
      <c r="H3004" t="str">
        <f>_xlfn.XLOOKUP(transakcje[[#This Row],[kategoria]],parametr[kategoria],parametr[typ])</f>
        <v>wydatki</v>
      </c>
      <c r="I3004" s="1">
        <f>ABS(transakcje[[#This Row],[kwota]])</f>
        <v>2E-3</v>
      </c>
    </row>
    <row r="3005" spans="1:9" x14ac:dyDescent="0.3">
      <c r="A3005">
        <v>3004</v>
      </c>
      <c r="B3005">
        <v>2020</v>
      </c>
      <c r="C3005">
        <v>1</v>
      </c>
      <c r="D3005">
        <v>31</v>
      </c>
      <c r="E3005" s="1">
        <v>-13.612</v>
      </c>
      <c r="F3005" t="s">
        <v>26</v>
      </c>
      <c r="G3005" t="str">
        <f>_xlfn.XLOOKUP(transakcje[[#This Row],[podkategoria]],parametr[podkategoria],parametr[kategoria])</f>
        <v>życie</v>
      </c>
      <c r="H3005" t="str">
        <f>_xlfn.XLOOKUP(transakcje[[#This Row],[kategoria]],parametr[kategoria],parametr[typ])</f>
        <v>wydatki</v>
      </c>
      <c r="I3005" s="1">
        <f>ABS(transakcje[[#This Row],[kwota]])</f>
        <v>13.612</v>
      </c>
    </row>
    <row r="3006" spans="1:9" x14ac:dyDescent="0.3">
      <c r="A3006">
        <v>3005</v>
      </c>
      <c r="B3006">
        <v>2020</v>
      </c>
      <c r="C3006">
        <v>2</v>
      </c>
      <c r="D3006">
        <v>1</v>
      </c>
      <c r="E3006" s="1">
        <v>-4.54</v>
      </c>
      <c r="F3006" t="s">
        <v>37</v>
      </c>
      <c r="G3006" t="str">
        <f>_xlfn.XLOOKUP(transakcje[[#This Row],[podkategoria]],parametr[podkategoria],parametr[kategoria])</f>
        <v>opłaty stałe</v>
      </c>
      <c r="H3006" t="str">
        <f>_xlfn.XLOOKUP(transakcje[[#This Row],[kategoria]],parametr[kategoria],parametr[typ])</f>
        <v>wydatki</v>
      </c>
      <c r="I3006" s="1">
        <f>ABS(transakcje[[#This Row],[kwota]])</f>
        <v>4.54</v>
      </c>
    </row>
    <row r="3007" spans="1:9" x14ac:dyDescent="0.3">
      <c r="A3007">
        <v>3006</v>
      </c>
      <c r="B3007">
        <v>2020</v>
      </c>
      <c r="C3007">
        <v>2</v>
      </c>
      <c r="D3007">
        <v>1</v>
      </c>
      <c r="E3007" s="1">
        <v>-8.8000000000000007</v>
      </c>
      <c r="F3007" t="s">
        <v>36</v>
      </c>
      <c r="G3007" t="str">
        <f>_xlfn.XLOOKUP(transakcje[[#This Row],[podkategoria]],parametr[podkategoria],parametr[kategoria])</f>
        <v>opłaty stałe</v>
      </c>
      <c r="H3007" t="str">
        <f>_xlfn.XLOOKUP(transakcje[[#This Row],[kategoria]],parametr[kategoria],parametr[typ])</f>
        <v>wydatki</v>
      </c>
      <c r="I3007" s="1">
        <f>ABS(transakcje[[#This Row],[kwota]])</f>
        <v>8.8000000000000007</v>
      </c>
    </row>
    <row r="3008" spans="1:9" x14ac:dyDescent="0.3">
      <c r="A3008">
        <v>3007</v>
      </c>
      <c r="B3008">
        <v>2020</v>
      </c>
      <c r="C3008">
        <v>2</v>
      </c>
      <c r="D3008">
        <v>1</v>
      </c>
      <c r="E3008" s="1">
        <v>-5.8</v>
      </c>
      <c r="F3008" t="s">
        <v>25</v>
      </c>
      <c r="G3008" t="str">
        <f>_xlfn.XLOOKUP(transakcje[[#This Row],[podkategoria]],parametr[podkategoria],parametr[kategoria])</f>
        <v>opłaty stałe</v>
      </c>
      <c r="H3008" t="str">
        <f>_xlfn.XLOOKUP(transakcje[[#This Row],[kategoria]],parametr[kategoria],parametr[typ])</f>
        <v>wydatki</v>
      </c>
      <c r="I3008" s="1">
        <f>ABS(transakcje[[#This Row],[kwota]])</f>
        <v>5.8</v>
      </c>
    </row>
    <row r="3009" spans="1:9" x14ac:dyDescent="0.3">
      <c r="A3009">
        <v>3008</v>
      </c>
      <c r="B3009">
        <v>2020</v>
      </c>
      <c r="C3009">
        <v>2</v>
      </c>
      <c r="D3009">
        <v>1</v>
      </c>
      <c r="E3009" s="1">
        <v>-7.38</v>
      </c>
      <c r="F3009" t="s">
        <v>23</v>
      </c>
      <c r="G3009" t="str">
        <f>_xlfn.XLOOKUP(transakcje[[#This Row],[podkategoria]],parametr[podkategoria],parametr[kategoria])</f>
        <v>opłaty stałe</v>
      </c>
      <c r="H3009" t="str">
        <f>_xlfn.XLOOKUP(transakcje[[#This Row],[kategoria]],parametr[kategoria],parametr[typ])</f>
        <v>wydatki</v>
      </c>
      <c r="I3009" s="1">
        <f>ABS(transakcje[[#This Row],[kwota]])</f>
        <v>7.38</v>
      </c>
    </row>
    <row r="3010" spans="1:9" x14ac:dyDescent="0.3">
      <c r="A3010">
        <v>3009</v>
      </c>
      <c r="B3010">
        <v>2020</v>
      </c>
      <c r="C3010">
        <v>2</v>
      </c>
      <c r="D3010">
        <v>1</v>
      </c>
      <c r="E3010" s="1">
        <v>-73.957999999999998</v>
      </c>
      <c r="F3010" t="s">
        <v>31</v>
      </c>
      <c r="G3010" t="str">
        <f>_xlfn.XLOOKUP(transakcje[[#This Row],[podkategoria]],parametr[podkategoria],parametr[kategoria])</f>
        <v>opłaty stałe</v>
      </c>
      <c r="H3010" t="str">
        <f>_xlfn.XLOOKUP(transakcje[[#This Row],[kategoria]],parametr[kategoria],parametr[typ])</f>
        <v>wydatki</v>
      </c>
      <c r="I3010" s="1">
        <f>ABS(transakcje[[#This Row],[kwota]])</f>
        <v>73.957999999999998</v>
      </c>
    </row>
    <row r="3011" spans="1:9" x14ac:dyDescent="0.3">
      <c r="A3011">
        <v>3010</v>
      </c>
      <c r="B3011">
        <v>2020</v>
      </c>
      <c r="C3011">
        <v>2</v>
      </c>
      <c r="D3011">
        <v>2</v>
      </c>
      <c r="E3011" s="1">
        <v>-20.830000000000002</v>
      </c>
      <c r="F3011" t="s">
        <v>26</v>
      </c>
      <c r="G3011" t="str">
        <f>_xlfn.XLOOKUP(transakcje[[#This Row],[podkategoria]],parametr[podkategoria],parametr[kategoria])</f>
        <v>życie</v>
      </c>
      <c r="H3011" t="str">
        <f>_xlfn.XLOOKUP(transakcje[[#This Row],[kategoria]],parametr[kategoria],parametr[typ])</f>
        <v>wydatki</v>
      </c>
      <c r="I3011" s="1">
        <f>ABS(transakcje[[#This Row],[kwota]])</f>
        <v>20.830000000000002</v>
      </c>
    </row>
    <row r="3012" spans="1:9" x14ac:dyDescent="0.3">
      <c r="A3012">
        <v>3011</v>
      </c>
      <c r="B3012">
        <v>2020</v>
      </c>
      <c r="C3012">
        <v>2</v>
      </c>
      <c r="D3012">
        <v>3</v>
      </c>
      <c r="E3012" s="1">
        <v>-10.648</v>
      </c>
      <c r="F3012" t="s">
        <v>26</v>
      </c>
      <c r="G3012" t="str">
        <f>_xlfn.XLOOKUP(transakcje[[#This Row],[podkategoria]],parametr[podkategoria],parametr[kategoria])</f>
        <v>życie</v>
      </c>
      <c r="H3012" t="str">
        <f>_xlfn.XLOOKUP(transakcje[[#This Row],[kategoria]],parametr[kategoria],parametr[typ])</f>
        <v>wydatki</v>
      </c>
      <c r="I3012" s="1">
        <f>ABS(transakcje[[#This Row],[kwota]])</f>
        <v>10.648</v>
      </c>
    </row>
    <row r="3013" spans="1:9" x14ac:dyDescent="0.3">
      <c r="A3013">
        <v>3012</v>
      </c>
      <c r="B3013">
        <v>2020</v>
      </c>
      <c r="C3013">
        <v>2</v>
      </c>
      <c r="D3013">
        <v>3</v>
      </c>
      <c r="E3013" s="1">
        <v>-0.32</v>
      </c>
      <c r="F3013" t="s">
        <v>14</v>
      </c>
      <c r="G3013" t="str">
        <f>_xlfn.XLOOKUP(transakcje[[#This Row],[podkategoria]],parametr[podkategoria],parametr[kategoria])</f>
        <v>opłaty stałe</v>
      </c>
      <c r="H3013" t="str">
        <f>_xlfn.XLOOKUP(transakcje[[#This Row],[kategoria]],parametr[kategoria],parametr[typ])</f>
        <v>wydatki</v>
      </c>
      <c r="I3013" s="1">
        <f>ABS(transakcje[[#This Row],[kwota]])</f>
        <v>0.32</v>
      </c>
    </row>
    <row r="3014" spans="1:9" x14ac:dyDescent="0.3">
      <c r="A3014">
        <v>3013</v>
      </c>
      <c r="B3014">
        <v>2020</v>
      </c>
      <c r="C3014">
        <v>2</v>
      </c>
      <c r="D3014">
        <v>4</v>
      </c>
      <c r="E3014" s="1">
        <v>-0.35</v>
      </c>
      <c r="F3014" t="s">
        <v>26</v>
      </c>
      <c r="G3014" t="str">
        <f>_xlfn.XLOOKUP(transakcje[[#This Row],[podkategoria]],parametr[podkategoria],parametr[kategoria])</f>
        <v>życie</v>
      </c>
      <c r="H3014" t="str">
        <f>_xlfn.XLOOKUP(transakcje[[#This Row],[kategoria]],parametr[kategoria],parametr[typ])</f>
        <v>wydatki</v>
      </c>
      <c r="I3014" s="1">
        <f>ABS(transakcje[[#This Row],[kwota]])</f>
        <v>0.35</v>
      </c>
    </row>
    <row r="3015" spans="1:9" x14ac:dyDescent="0.3">
      <c r="A3015">
        <v>3014</v>
      </c>
      <c r="B3015">
        <v>2020</v>
      </c>
      <c r="C3015">
        <v>2</v>
      </c>
      <c r="D3015">
        <v>4</v>
      </c>
      <c r="E3015" s="1">
        <v>647.87799999999993</v>
      </c>
      <c r="F3015" t="s">
        <v>22</v>
      </c>
      <c r="G3015" t="str">
        <f>_xlfn.XLOOKUP(transakcje[[#This Row],[podkategoria]],parametr[podkategoria],parametr[kategoria])</f>
        <v>dochody z pracy</v>
      </c>
      <c r="H3015" t="str">
        <f>_xlfn.XLOOKUP(transakcje[[#This Row],[kategoria]],parametr[kategoria],parametr[typ])</f>
        <v>dochody</v>
      </c>
      <c r="I3015" s="1">
        <f>ABS(transakcje[[#This Row],[kwota]])</f>
        <v>647.87799999999993</v>
      </c>
    </row>
    <row r="3016" spans="1:9" x14ac:dyDescent="0.3">
      <c r="A3016">
        <v>3015</v>
      </c>
      <c r="B3016">
        <v>2020</v>
      </c>
      <c r="C3016">
        <v>2</v>
      </c>
      <c r="D3016">
        <v>5</v>
      </c>
      <c r="E3016" s="1">
        <v>-63</v>
      </c>
      <c r="F3016" t="s">
        <v>11</v>
      </c>
      <c r="G3016" t="str">
        <f>_xlfn.XLOOKUP(transakcje[[#This Row],[podkategoria]],parametr[podkategoria],parametr[kategoria])</f>
        <v>wydatki inne</v>
      </c>
      <c r="H3016" t="str">
        <f>_xlfn.XLOOKUP(transakcje[[#This Row],[kategoria]],parametr[kategoria],parametr[typ])</f>
        <v>wydatki</v>
      </c>
      <c r="I3016" s="1">
        <f>ABS(transakcje[[#This Row],[kwota]])</f>
        <v>63</v>
      </c>
    </row>
    <row r="3017" spans="1:9" x14ac:dyDescent="0.3">
      <c r="A3017">
        <v>3016</v>
      </c>
      <c r="B3017">
        <v>2020</v>
      </c>
      <c r="C3017">
        <v>2</v>
      </c>
      <c r="D3017">
        <v>6</v>
      </c>
      <c r="E3017" s="1">
        <v>-1</v>
      </c>
      <c r="F3017" t="s">
        <v>26</v>
      </c>
      <c r="G3017" t="str">
        <f>_xlfn.XLOOKUP(transakcje[[#This Row],[podkategoria]],parametr[podkategoria],parametr[kategoria])</f>
        <v>życie</v>
      </c>
      <c r="H3017" t="str">
        <f>_xlfn.XLOOKUP(transakcje[[#This Row],[kategoria]],parametr[kategoria],parametr[typ])</f>
        <v>wydatki</v>
      </c>
      <c r="I3017" s="1">
        <f>ABS(transakcje[[#This Row],[kwota]])</f>
        <v>1</v>
      </c>
    </row>
    <row r="3018" spans="1:9" x14ac:dyDescent="0.3">
      <c r="A3018">
        <v>3017</v>
      </c>
      <c r="B3018">
        <v>2020</v>
      </c>
      <c r="C3018">
        <v>2</v>
      </c>
      <c r="D3018">
        <v>6</v>
      </c>
      <c r="E3018" s="1">
        <v>-0.9880000000000001</v>
      </c>
      <c r="F3018" t="s">
        <v>26</v>
      </c>
      <c r="G3018" t="str">
        <f>_xlfn.XLOOKUP(transakcje[[#This Row],[podkategoria]],parametr[podkategoria],parametr[kategoria])</f>
        <v>życie</v>
      </c>
      <c r="H3018" t="str">
        <f>_xlfn.XLOOKUP(transakcje[[#This Row],[kategoria]],parametr[kategoria],parametr[typ])</f>
        <v>wydatki</v>
      </c>
      <c r="I3018" s="1">
        <f>ABS(transakcje[[#This Row],[kwota]])</f>
        <v>0.9880000000000001</v>
      </c>
    </row>
    <row r="3019" spans="1:9" x14ac:dyDescent="0.3">
      <c r="A3019">
        <v>3018</v>
      </c>
      <c r="B3019">
        <v>2020</v>
      </c>
      <c r="C3019">
        <v>2</v>
      </c>
      <c r="D3019">
        <v>6</v>
      </c>
      <c r="E3019" s="1">
        <v>-7.6560000000000006</v>
      </c>
      <c r="F3019" t="s">
        <v>26</v>
      </c>
      <c r="G3019" t="str">
        <f>_xlfn.XLOOKUP(transakcje[[#This Row],[podkategoria]],parametr[podkategoria],parametr[kategoria])</f>
        <v>życie</v>
      </c>
      <c r="H3019" t="str">
        <f>_xlfn.XLOOKUP(transakcje[[#This Row],[kategoria]],parametr[kategoria],parametr[typ])</f>
        <v>wydatki</v>
      </c>
      <c r="I3019" s="1">
        <f>ABS(transakcje[[#This Row],[kwota]])</f>
        <v>7.6560000000000006</v>
      </c>
    </row>
    <row r="3020" spans="1:9" x14ac:dyDescent="0.3">
      <c r="A3020">
        <v>3019</v>
      </c>
      <c r="B3020">
        <v>2020</v>
      </c>
      <c r="C3020">
        <v>2</v>
      </c>
      <c r="D3020">
        <v>11</v>
      </c>
      <c r="E3020" s="1">
        <v>-6.9540000000000006</v>
      </c>
      <c r="F3020" t="s">
        <v>26</v>
      </c>
      <c r="G3020" t="str">
        <f>_xlfn.XLOOKUP(transakcje[[#This Row],[podkategoria]],parametr[podkategoria],parametr[kategoria])</f>
        <v>życie</v>
      </c>
      <c r="H3020" t="str">
        <f>_xlfn.XLOOKUP(transakcje[[#This Row],[kategoria]],parametr[kategoria],parametr[typ])</f>
        <v>wydatki</v>
      </c>
      <c r="I3020" s="1">
        <f>ABS(transakcje[[#This Row],[kwota]])</f>
        <v>6.9540000000000006</v>
      </c>
    </row>
    <row r="3021" spans="1:9" x14ac:dyDescent="0.3">
      <c r="A3021">
        <v>3020</v>
      </c>
      <c r="B3021">
        <v>2020</v>
      </c>
      <c r="C3021">
        <v>2</v>
      </c>
      <c r="D3021">
        <v>11</v>
      </c>
      <c r="E3021" s="1">
        <v>-0.39800000000000002</v>
      </c>
      <c r="F3021" t="s">
        <v>14</v>
      </c>
      <c r="G3021" t="str">
        <f>_xlfn.XLOOKUP(transakcje[[#This Row],[podkategoria]],parametr[podkategoria],parametr[kategoria])</f>
        <v>opłaty stałe</v>
      </c>
      <c r="H3021" t="str">
        <f>_xlfn.XLOOKUP(transakcje[[#This Row],[kategoria]],parametr[kategoria],parametr[typ])</f>
        <v>wydatki</v>
      </c>
      <c r="I3021" s="1">
        <f>ABS(transakcje[[#This Row],[kwota]])</f>
        <v>0.39800000000000002</v>
      </c>
    </row>
    <row r="3022" spans="1:9" x14ac:dyDescent="0.3">
      <c r="A3022">
        <v>3021</v>
      </c>
      <c r="B3022">
        <v>2020</v>
      </c>
      <c r="C3022">
        <v>2</v>
      </c>
      <c r="D3022">
        <v>13</v>
      </c>
      <c r="E3022" s="1">
        <v>-0.32999999999999996</v>
      </c>
      <c r="F3022" t="s">
        <v>26</v>
      </c>
      <c r="G3022" t="str">
        <f>_xlfn.XLOOKUP(transakcje[[#This Row],[podkategoria]],parametr[podkategoria],parametr[kategoria])</f>
        <v>życie</v>
      </c>
      <c r="H3022" t="str">
        <f>_xlfn.XLOOKUP(transakcje[[#This Row],[kategoria]],parametr[kategoria],parametr[typ])</f>
        <v>wydatki</v>
      </c>
      <c r="I3022" s="1">
        <f>ABS(transakcje[[#This Row],[kwota]])</f>
        <v>0.32999999999999996</v>
      </c>
    </row>
    <row r="3023" spans="1:9" x14ac:dyDescent="0.3">
      <c r="A3023">
        <v>3022</v>
      </c>
      <c r="B3023">
        <v>2020</v>
      </c>
      <c r="C3023">
        <v>2</v>
      </c>
      <c r="D3023">
        <v>20</v>
      </c>
      <c r="E3023" s="1">
        <v>-12.548</v>
      </c>
      <c r="F3023" t="s">
        <v>26</v>
      </c>
      <c r="G3023" t="str">
        <f>_xlfn.XLOOKUP(transakcje[[#This Row],[podkategoria]],parametr[podkategoria],parametr[kategoria])</f>
        <v>życie</v>
      </c>
      <c r="H3023" t="str">
        <f>_xlfn.XLOOKUP(transakcje[[#This Row],[kategoria]],parametr[kategoria],parametr[typ])</f>
        <v>wydatki</v>
      </c>
      <c r="I3023" s="1">
        <f>ABS(transakcje[[#This Row],[kwota]])</f>
        <v>12.548</v>
      </c>
    </row>
    <row r="3024" spans="1:9" x14ac:dyDescent="0.3">
      <c r="A3024">
        <v>3023</v>
      </c>
      <c r="B3024">
        <v>2020</v>
      </c>
      <c r="C3024">
        <v>2</v>
      </c>
      <c r="D3024">
        <v>21</v>
      </c>
      <c r="E3024" s="1">
        <v>-0.65800000000000003</v>
      </c>
      <c r="F3024" t="s">
        <v>26</v>
      </c>
      <c r="G3024" t="str">
        <f>_xlfn.XLOOKUP(transakcje[[#This Row],[podkategoria]],parametr[podkategoria],parametr[kategoria])</f>
        <v>życie</v>
      </c>
      <c r="H3024" t="str">
        <f>_xlfn.XLOOKUP(transakcje[[#This Row],[kategoria]],parametr[kategoria],parametr[typ])</f>
        <v>wydatki</v>
      </c>
      <c r="I3024" s="1">
        <f>ABS(transakcje[[#This Row],[kwota]])</f>
        <v>0.65800000000000003</v>
      </c>
    </row>
    <row r="3025" spans="1:9" x14ac:dyDescent="0.3">
      <c r="A3025">
        <v>3024</v>
      </c>
      <c r="B3025">
        <v>2020</v>
      </c>
      <c r="C3025">
        <v>2</v>
      </c>
      <c r="D3025">
        <v>21</v>
      </c>
      <c r="E3025" s="1">
        <v>-0.41600000000000004</v>
      </c>
      <c r="F3025" t="s">
        <v>26</v>
      </c>
      <c r="G3025" t="str">
        <f>_xlfn.XLOOKUP(transakcje[[#This Row],[podkategoria]],parametr[podkategoria],parametr[kategoria])</f>
        <v>życie</v>
      </c>
      <c r="H3025" t="str">
        <f>_xlfn.XLOOKUP(transakcje[[#This Row],[kategoria]],parametr[kategoria],parametr[typ])</f>
        <v>wydatki</v>
      </c>
      <c r="I3025" s="1">
        <f>ABS(transakcje[[#This Row],[kwota]])</f>
        <v>0.41600000000000004</v>
      </c>
    </row>
    <row r="3026" spans="1:9" x14ac:dyDescent="0.3">
      <c r="A3026">
        <v>3025</v>
      </c>
      <c r="B3026">
        <v>2020</v>
      </c>
      <c r="C3026">
        <v>2</v>
      </c>
      <c r="D3026">
        <v>24</v>
      </c>
      <c r="E3026" s="1">
        <v>-19.8</v>
      </c>
      <c r="F3026" t="s">
        <v>32</v>
      </c>
      <c r="G3026" t="str">
        <f>_xlfn.XLOOKUP(transakcje[[#This Row],[podkategoria]],parametr[podkategoria],parametr[kategoria])</f>
        <v>opłaty stałe</v>
      </c>
      <c r="H3026" t="str">
        <f>_xlfn.XLOOKUP(transakcje[[#This Row],[kategoria]],parametr[kategoria],parametr[typ])</f>
        <v>wydatki</v>
      </c>
      <c r="I3026" s="1">
        <f>ABS(transakcje[[#This Row],[kwota]])</f>
        <v>19.8</v>
      </c>
    </row>
    <row r="3027" spans="1:9" x14ac:dyDescent="0.3">
      <c r="A3027">
        <v>3026</v>
      </c>
      <c r="B3027">
        <v>2020</v>
      </c>
      <c r="C3027">
        <v>2</v>
      </c>
      <c r="D3027">
        <v>25</v>
      </c>
      <c r="E3027" s="1">
        <v>-5.2299999999999995</v>
      </c>
      <c r="F3027" t="s">
        <v>26</v>
      </c>
      <c r="G3027" t="str">
        <f>_xlfn.XLOOKUP(transakcje[[#This Row],[podkategoria]],parametr[podkategoria],parametr[kategoria])</f>
        <v>życie</v>
      </c>
      <c r="H3027" t="str">
        <f>_xlfn.XLOOKUP(transakcje[[#This Row],[kategoria]],parametr[kategoria],parametr[typ])</f>
        <v>wydatki</v>
      </c>
      <c r="I3027" s="1">
        <f>ABS(transakcje[[#This Row],[kwota]])</f>
        <v>5.2299999999999995</v>
      </c>
    </row>
    <row r="3028" spans="1:9" x14ac:dyDescent="0.3">
      <c r="A3028">
        <v>3027</v>
      </c>
      <c r="B3028">
        <v>2020</v>
      </c>
      <c r="C3028">
        <v>2</v>
      </c>
      <c r="D3028">
        <v>26</v>
      </c>
      <c r="E3028" s="1">
        <v>735.55</v>
      </c>
      <c r="F3028" t="s">
        <v>8</v>
      </c>
      <c r="G3028" t="str">
        <f>_xlfn.XLOOKUP(transakcje[[#This Row],[podkategoria]],parametr[podkategoria],parametr[kategoria])</f>
        <v>dochody z pracy</v>
      </c>
      <c r="H3028" t="str">
        <f>_xlfn.XLOOKUP(transakcje[[#This Row],[kategoria]],parametr[kategoria],parametr[typ])</f>
        <v>dochody</v>
      </c>
      <c r="I3028" s="1">
        <f>ABS(transakcje[[#This Row],[kwota]])</f>
        <v>735.55</v>
      </c>
    </row>
    <row r="3029" spans="1:9" x14ac:dyDescent="0.3">
      <c r="A3029">
        <v>3028</v>
      </c>
      <c r="B3029">
        <v>2020</v>
      </c>
      <c r="C3029">
        <v>2</v>
      </c>
      <c r="D3029">
        <v>27</v>
      </c>
      <c r="E3029" s="1">
        <v>-1.198</v>
      </c>
      <c r="F3029" t="s">
        <v>14</v>
      </c>
      <c r="G3029" t="str">
        <f>_xlfn.XLOOKUP(transakcje[[#This Row],[podkategoria]],parametr[podkategoria],parametr[kategoria])</f>
        <v>opłaty stałe</v>
      </c>
      <c r="H3029" t="str">
        <f>_xlfn.XLOOKUP(transakcje[[#This Row],[kategoria]],parametr[kategoria],parametr[typ])</f>
        <v>wydatki</v>
      </c>
      <c r="I3029" s="1">
        <f>ABS(transakcje[[#This Row],[kwota]])</f>
        <v>1.198</v>
      </c>
    </row>
    <row r="3030" spans="1:9" x14ac:dyDescent="0.3">
      <c r="A3030">
        <v>3029</v>
      </c>
      <c r="B3030">
        <v>2020</v>
      </c>
      <c r="C3030">
        <v>2</v>
      </c>
      <c r="D3030">
        <v>27</v>
      </c>
      <c r="E3030" s="1">
        <v>-0.8</v>
      </c>
      <c r="F3030" t="s">
        <v>14</v>
      </c>
      <c r="G3030" t="str">
        <f>_xlfn.XLOOKUP(transakcje[[#This Row],[podkategoria]],parametr[podkategoria],parametr[kategoria])</f>
        <v>opłaty stałe</v>
      </c>
      <c r="H3030" t="str">
        <f>_xlfn.XLOOKUP(transakcje[[#This Row],[kategoria]],parametr[kategoria],parametr[typ])</f>
        <v>wydatki</v>
      </c>
      <c r="I3030" s="1">
        <f>ABS(transakcje[[#This Row],[kwota]])</f>
        <v>0.8</v>
      </c>
    </row>
    <row r="3031" spans="1:9" x14ac:dyDescent="0.3">
      <c r="A3031">
        <v>3030</v>
      </c>
      <c r="B3031">
        <v>2020</v>
      </c>
      <c r="C3031">
        <v>2</v>
      </c>
      <c r="D3031">
        <v>27</v>
      </c>
      <c r="E3031" s="1">
        <v>-2E-3</v>
      </c>
      <c r="F3031" t="s">
        <v>14</v>
      </c>
      <c r="G3031" t="str">
        <f>_xlfn.XLOOKUP(transakcje[[#This Row],[podkategoria]],parametr[podkategoria],parametr[kategoria])</f>
        <v>opłaty stałe</v>
      </c>
      <c r="H3031" t="str">
        <f>_xlfn.XLOOKUP(transakcje[[#This Row],[kategoria]],parametr[kategoria],parametr[typ])</f>
        <v>wydatki</v>
      </c>
      <c r="I3031" s="1">
        <f>ABS(transakcje[[#This Row],[kwota]])</f>
        <v>2E-3</v>
      </c>
    </row>
    <row r="3032" spans="1:9" x14ac:dyDescent="0.3">
      <c r="A3032">
        <v>3031</v>
      </c>
      <c r="B3032">
        <v>2020</v>
      </c>
      <c r="C3032">
        <v>2</v>
      </c>
      <c r="D3032">
        <v>27</v>
      </c>
      <c r="E3032" s="1">
        <v>-0.55999999999999994</v>
      </c>
      <c r="F3032" t="s">
        <v>14</v>
      </c>
      <c r="G3032" t="str">
        <f>_xlfn.XLOOKUP(transakcje[[#This Row],[podkategoria]],parametr[podkategoria],parametr[kategoria])</f>
        <v>opłaty stałe</v>
      </c>
      <c r="H3032" t="str">
        <f>_xlfn.XLOOKUP(transakcje[[#This Row],[kategoria]],parametr[kategoria],parametr[typ])</f>
        <v>wydatki</v>
      </c>
      <c r="I3032" s="1">
        <f>ABS(transakcje[[#This Row],[kwota]])</f>
        <v>0.55999999999999994</v>
      </c>
    </row>
    <row r="3033" spans="1:9" x14ac:dyDescent="0.3">
      <c r="A3033">
        <v>3032</v>
      </c>
      <c r="B3033">
        <v>2020</v>
      </c>
      <c r="C3033">
        <v>2</v>
      </c>
      <c r="D3033">
        <v>29</v>
      </c>
      <c r="E3033" s="1">
        <v>-4.9799999999999995</v>
      </c>
      <c r="F3033" t="s">
        <v>11</v>
      </c>
      <c r="G3033" t="str">
        <f>_xlfn.XLOOKUP(transakcje[[#This Row],[podkategoria]],parametr[podkategoria],parametr[kategoria])</f>
        <v>wydatki inne</v>
      </c>
      <c r="H3033" t="str">
        <f>_xlfn.XLOOKUP(transakcje[[#This Row],[kategoria]],parametr[kategoria],parametr[typ])</f>
        <v>wydatki</v>
      </c>
      <c r="I3033" s="1">
        <f>ABS(transakcje[[#This Row],[kwota]])</f>
        <v>4.9799999999999995</v>
      </c>
    </row>
    <row r="3034" spans="1:9" x14ac:dyDescent="0.3">
      <c r="A3034">
        <v>3033</v>
      </c>
      <c r="B3034">
        <v>2020</v>
      </c>
      <c r="C3034">
        <v>2</v>
      </c>
      <c r="D3034">
        <v>29</v>
      </c>
      <c r="E3034" s="1">
        <v>-800</v>
      </c>
      <c r="F3034" t="s">
        <v>11</v>
      </c>
      <c r="G3034" t="str">
        <f>_xlfn.XLOOKUP(transakcje[[#This Row],[podkategoria]],parametr[podkategoria],parametr[kategoria])</f>
        <v>wydatki inne</v>
      </c>
      <c r="H3034" t="str">
        <f>_xlfn.XLOOKUP(transakcje[[#This Row],[kategoria]],parametr[kategoria],parametr[typ])</f>
        <v>wydatki</v>
      </c>
      <c r="I3034" s="1">
        <f>ABS(transakcje[[#This Row],[kwota]])</f>
        <v>800</v>
      </c>
    </row>
    <row r="3035" spans="1:9" x14ac:dyDescent="0.3">
      <c r="A3035">
        <v>3034</v>
      </c>
      <c r="B3035">
        <v>2020</v>
      </c>
      <c r="C3035">
        <v>2</v>
      </c>
      <c r="D3035">
        <v>29</v>
      </c>
      <c r="E3035" s="1">
        <v>6.0000000000000001E-3</v>
      </c>
      <c r="F3035" t="s">
        <v>17</v>
      </c>
      <c r="G3035" t="str">
        <f>_xlfn.XLOOKUP(transakcje[[#This Row],[podkategoria]],parametr[podkategoria],parametr[kategoria])</f>
        <v>dochody pozostałe</v>
      </c>
      <c r="H3035" t="str">
        <f>_xlfn.XLOOKUP(transakcje[[#This Row],[kategoria]],parametr[kategoria],parametr[typ])</f>
        <v>dochody</v>
      </c>
      <c r="I3035" s="1">
        <f>ABS(transakcje[[#This Row],[kwota]])</f>
        <v>6.0000000000000001E-3</v>
      </c>
    </row>
    <row r="3036" spans="1:9" x14ac:dyDescent="0.3">
      <c r="A3036">
        <v>3035</v>
      </c>
      <c r="B3036">
        <v>2020</v>
      </c>
      <c r="C3036">
        <v>3</v>
      </c>
      <c r="D3036">
        <v>1</v>
      </c>
      <c r="E3036" s="1">
        <v>-7.38</v>
      </c>
      <c r="F3036" t="s">
        <v>23</v>
      </c>
      <c r="G3036" t="str">
        <f>_xlfn.XLOOKUP(transakcje[[#This Row],[podkategoria]],parametr[podkategoria],parametr[kategoria])</f>
        <v>opłaty stałe</v>
      </c>
      <c r="H3036" t="str">
        <f>_xlfn.XLOOKUP(transakcje[[#This Row],[kategoria]],parametr[kategoria],parametr[typ])</f>
        <v>wydatki</v>
      </c>
      <c r="I3036" s="1">
        <f>ABS(transakcje[[#This Row],[kwota]])</f>
        <v>7.38</v>
      </c>
    </row>
    <row r="3037" spans="1:9" x14ac:dyDescent="0.3">
      <c r="A3037">
        <v>3036</v>
      </c>
      <c r="B3037">
        <v>2020</v>
      </c>
      <c r="C3037">
        <v>3</v>
      </c>
      <c r="D3037">
        <v>1</v>
      </c>
      <c r="E3037" s="1">
        <v>-16.036000000000001</v>
      </c>
      <c r="F3037" t="s">
        <v>34</v>
      </c>
      <c r="G3037" t="str">
        <f>_xlfn.XLOOKUP(transakcje[[#This Row],[podkategoria]],parametr[podkategoria],parametr[kategoria])</f>
        <v>opłaty stałe</v>
      </c>
      <c r="H3037" t="str">
        <f>_xlfn.XLOOKUP(transakcje[[#This Row],[kategoria]],parametr[kategoria],parametr[typ])</f>
        <v>wydatki</v>
      </c>
      <c r="I3037" s="1">
        <f>ABS(transakcje[[#This Row],[kwota]])</f>
        <v>16.036000000000001</v>
      </c>
    </row>
    <row r="3038" spans="1:9" x14ac:dyDescent="0.3">
      <c r="A3038">
        <v>3037</v>
      </c>
      <c r="B3038">
        <v>2020</v>
      </c>
      <c r="C3038">
        <v>3</v>
      </c>
      <c r="D3038">
        <v>1</v>
      </c>
      <c r="E3038" s="1">
        <v>-5.7700000000000005</v>
      </c>
      <c r="F3038" t="s">
        <v>35</v>
      </c>
      <c r="G3038" t="str">
        <f>_xlfn.XLOOKUP(transakcje[[#This Row],[podkategoria]],parametr[podkategoria],parametr[kategoria])</f>
        <v>opłaty stałe</v>
      </c>
      <c r="H3038" t="str">
        <f>_xlfn.XLOOKUP(transakcje[[#This Row],[kategoria]],parametr[kategoria],parametr[typ])</f>
        <v>wydatki</v>
      </c>
      <c r="I3038" s="1">
        <f>ABS(transakcje[[#This Row],[kwota]])</f>
        <v>5.7700000000000005</v>
      </c>
    </row>
    <row r="3039" spans="1:9" x14ac:dyDescent="0.3">
      <c r="A3039">
        <v>3038</v>
      </c>
      <c r="B3039">
        <v>2020</v>
      </c>
      <c r="C3039">
        <v>3</v>
      </c>
      <c r="D3039">
        <v>1</v>
      </c>
      <c r="E3039" s="1">
        <v>-73.957999999999998</v>
      </c>
      <c r="F3039" t="s">
        <v>31</v>
      </c>
      <c r="G3039" t="str">
        <f>_xlfn.XLOOKUP(transakcje[[#This Row],[podkategoria]],parametr[podkategoria],parametr[kategoria])</f>
        <v>opłaty stałe</v>
      </c>
      <c r="H3039" t="str">
        <f>_xlfn.XLOOKUP(transakcje[[#This Row],[kategoria]],parametr[kategoria],parametr[typ])</f>
        <v>wydatki</v>
      </c>
      <c r="I3039" s="1">
        <f>ABS(transakcje[[#This Row],[kwota]])</f>
        <v>73.957999999999998</v>
      </c>
    </row>
    <row r="3040" spans="1:9" x14ac:dyDescent="0.3">
      <c r="A3040">
        <v>3039</v>
      </c>
      <c r="B3040">
        <v>2020</v>
      </c>
      <c r="C3040">
        <v>3</v>
      </c>
      <c r="D3040">
        <v>1</v>
      </c>
      <c r="E3040" s="1">
        <v>-5.8</v>
      </c>
      <c r="F3040" t="s">
        <v>25</v>
      </c>
      <c r="G3040" t="str">
        <f>_xlfn.XLOOKUP(transakcje[[#This Row],[podkategoria]],parametr[podkategoria],parametr[kategoria])</f>
        <v>opłaty stałe</v>
      </c>
      <c r="H3040" t="str">
        <f>_xlfn.XLOOKUP(transakcje[[#This Row],[kategoria]],parametr[kategoria],parametr[typ])</f>
        <v>wydatki</v>
      </c>
      <c r="I3040" s="1">
        <f>ABS(transakcje[[#This Row],[kwota]])</f>
        <v>5.8</v>
      </c>
    </row>
    <row r="3041" spans="1:9" x14ac:dyDescent="0.3">
      <c r="A3041">
        <v>3040</v>
      </c>
      <c r="B3041">
        <v>2020</v>
      </c>
      <c r="C3041">
        <v>3</v>
      </c>
      <c r="D3041">
        <v>1</v>
      </c>
      <c r="E3041" s="1">
        <v>-4.54</v>
      </c>
      <c r="F3041" t="s">
        <v>37</v>
      </c>
      <c r="G3041" t="str">
        <f>_xlfn.XLOOKUP(transakcje[[#This Row],[podkategoria]],parametr[podkategoria],parametr[kategoria])</f>
        <v>opłaty stałe</v>
      </c>
      <c r="H3041" t="str">
        <f>_xlfn.XLOOKUP(transakcje[[#This Row],[kategoria]],parametr[kategoria],parametr[typ])</f>
        <v>wydatki</v>
      </c>
      <c r="I3041" s="1">
        <f>ABS(transakcje[[#This Row],[kwota]])</f>
        <v>4.54</v>
      </c>
    </row>
    <row r="3042" spans="1:9" x14ac:dyDescent="0.3">
      <c r="A3042">
        <v>3041</v>
      </c>
      <c r="B3042">
        <v>2020</v>
      </c>
      <c r="C3042">
        <v>3</v>
      </c>
      <c r="D3042">
        <v>1</v>
      </c>
      <c r="E3042" s="1">
        <v>-44.654000000000003</v>
      </c>
      <c r="F3042" t="s">
        <v>11</v>
      </c>
      <c r="G3042" t="str">
        <f>_xlfn.XLOOKUP(transakcje[[#This Row],[podkategoria]],parametr[podkategoria],parametr[kategoria])</f>
        <v>wydatki inne</v>
      </c>
      <c r="H3042" t="str">
        <f>_xlfn.XLOOKUP(transakcje[[#This Row],[kategoria]],parametr[kategoria],parametr[typ])</f>
        <v>wydatki</v>
      </c>
      <c r="I3042" s="1">
        <f>ABS(transakcje[[#This Row],[kwota]])</f>
        <v>44.654000000000003</v>
      </c>
    </row>
    <row r="3043" spans="1:9" x14ac:dyDescent="0.3">
      <c r="A3043">
        <v>3042</v>
      </c>
      <c r="B3043">
        <v>2020</v>
      </c>
      <c r="C3043">
        <v>3</v>
      </c>
      <c r="D3043">
        <v>2</v>
      </c>
      <c r="E3043" s="1">
        <v>-15.818000000000001</v>
      </c>
      <c r="F3043" t="s">
        <v>26</v>
      </c>
      <c r="G3043" t="str">
        <f>_xlfn.XLOOKUP(transakcje[[#This Row],[podkategoria]],parametr[podkategoria],parametr[kategoria])</f>
        <v>życie</v>
      </c>
      <c r="H3043" t="str">
        <f>_xlfn.XLOOKUP(transakcje[[#This Row],[kategoria]],parametr[kategoria],parametr[typ])</f>
        <v>wydatki</v>
      </c>
      <c r="I3043" s="1">
        <f>ABS(transakcje[[#This Row],[kwota]])</f>
        <v>15.818000000000001</v>
      </c>
    </row>
    <row r="3044" spans="1:9" x14ac:dyDescent="0.3">
      <c r="A3044">
        <v>3043</v>
      </c>
      <c r="B3044">
        <v>2020</v>
      </c>
      <c r="C3044">
        <v>3</v>
      </c>
      <c r="D3044">
        <v>3</v>
      </c>
      <c r="E3044" s="1">
        <v>-8.5120000000000005</v>
      </c>
      <c r="F3044" t="s">
        <v>26</v>
      </c>
      <c r="G3044" t="str">
        <f>_xlfn.XLOOKUP(transakcje[[#This Row],[podkategoria]],parametr[podkategoria],parametr[kategoria])</f>
        <v>życie</v>
      </c>
      <c r="H3044" t="str">
        <f>_xlfn.XLOOKUP(transakcje[[#This Row],[kategoria]],parametr[kategoria],parametr[typ])</f>
        <v>wydatki</v>
      </c>
      <c r="I3044" s="1">
        <f>ABS(transakcje[[#This Row],[kwota]])</f>
        <v>8.5120000000000005</v>
      </c>
    </row>
    <row r="3045" spans="1:9" x14ac:dyDescent="0.3">
      <c r="A3045">
        <v>3044</v>
      </c>
      <c r="B3045">
        <v>2020</v>
      </c>
      <c r="C3045">
        <v>3</v>
      </c>
      <c r="D3045">
        <v>3</v>
      </c>
      <c r="E3045" s="1">
        <v>-3.5460000000000003</v>
      </c>
      <c r="F3045" t="s">
        <v>26</v>
      </c>
      <c r="G3045" t="str">
        <f>_xlfn.XLOOKUP(transakcje[[#This Row],[podkategoria]],parametr[podkategoria],parametr[kategoria])</f>
        <v>życie</v>
      </c>
      <c r="H3045" t="str">
        <f>_xlfn.XLOOKUP(transakcje[[#This Row],[kategoria]],parametr[kategoria],parametr[typ])</f>
        <v>wydatki</v>
      </c>
      <c r="I3045" s="1">
        <f>ABS(transakcje[[#This Row],[kwota]])</f>
        <v>3.5460000000000003</v>
      </c>
    </row>
    <row r="3046" spans="1:9" x14ac:dyDescent="0.3">
      <c r="A3046">
        <v>3045</v>
      </c>
      <c r="B3046">
        <v>2020</v>
      </c>
      <c r="C3046">
        <v>3</v>
      </c>
      <c r="D3046">
        <v>4</v>
      </c>
      <c r="E3046" s="1">
        <v>-5.5179999999999998</v>
      </c>
      <c r="F3046" t="s">
        <v>26</v>
      </c>
      <c r="G3046" t="str">
        <f>_xlfn.XLOOKUP(transakcje[[#This Row],[podkategoria]],parametr[podkategoria],parametr[kategoria])</f>
        <v>życie</v>
      </c>
      <c r="H3046" t="str">
        <f>_xlfn.XLOOKUP(transakcje[[#This Row],[kategoria]],parametr[kategoria],parametr[typ])</f>
        <v>wydatki</v>
      </c>
      <c r="I3046" s="1">
        <f>ABS(transakcje[[#This Row],[kwota]])</f>
        <v>5.5179999999999998</v>
      </c>
    </row>
    <row r="3047" spans="1:9" x14ac:dyDescent="0.3">
      <c r="A3047">
        <v>3046</v>
      </c>
      <c r="B3047">
        <v>2020</v>
      </c>
      <c r="C3047">
        <v>3</v>
      </c>
      <c r="D3047">
        <v>5</v>
      </c>
      <c r="E3047" s="1">
        <v>-20</v>
      </c>
      <c r="F3047" t="s">
        <v>26</v>
      </c>
      <c r="G3047" t="str">
        <f>_xlfn.XLOOKUP(transakcje[[#This Row],[podkategoria]],parametr[podkategoria],parametr[kategoria])</f>
        <v>życie</v>
      </c>
      <c r="H3047" t="str">
        <f>_xlfn.XLOOKUP(transakcje[[#This Row],[kategoria]],parametr[kategoria],parametr[typ])</f>
        <v>wydatki</v>
      </c>
      <c r="I3047" s="1">
        <f>ABS(transakcje[[#This Row],[kwota]])</f>
        <v>20</v>
      </c>
    </row>
    <row r="3048" spans="1:9" x14ac:dyDescent="0.3">
      <c r="A3048">
        <v>3047</v>
      </c>
      <c r="B3048">
        <v>2020</v>
      </c>
      <c r="C3048">
        <v>3</v>
      </c>
      <c r="D3048">
        <v>7</v>
      </c>
      <c r="E3048" s="1">
        <v>-3.4</v>
      </c>
      <c r="F3048" t="s">
        <v>26</v>
      </c>
      <c r="G3048" t="str">
        <f>_xlfn.XLOOKUP(transakcje[[#This Row],[podkategoria]],parametr[podkategoria],parametr[kategoria])</f>
        <v>życie</v>
      </c>
      <c r="H3048" t="str">
        <f>_xlfn.XLOOKUP(transakcje[[#This Row],[kategoria]],parametr[kategoria],parametr[typ])</f>
        <v>wydatki</v>
      </c>
      <c r="I3048" s="1">
        <f>ABS(transakcje[[#This Row],[kwota]])</f>
        <v>3.4</v>
      </c>
    </row>
    <row r="3049" spans="1:9" x14ac:dyDescent="0.3">
      <c r="A3049">
        <v>3048</v>
      </c>
      <c r="B3049">
        <v>2020</v>
      </c>
      <c r="C3049">
        <v>3</v>
      </c>
      <c r="D3049">
        <v>9</v>
      </c>
      <c r="E3049" s="1">
        <v>-1.444</v>
      </c>
      <c r="F3049" t="s">
        <v>26</v>
      </c>
      <c r="G3049" t="str">
        <f>_xlfn.XLOOKUP(transakcje[[#This Row],[podkategoria]],parametr[podkategoria],parametr[kategoria])</f>
        <v>życie</v>
      </c>
      <c r="H3049" t="str">
        <f>_xlfn.XLOOKUP(transakcje[[#This Row],[kategoria]],parametr[kategoria],parametr[typ])</f>
        <v>wydatki</v>
      </c>
      <c r="I3049" s="1">
        <f>ABS(transakcje[[#This Row],[kwota]])</f>
        <v>1.444</v>
      </c>
    </row>
    <row r="3050" spans="1:9" x14ac:dyDescent="0.3">
      <c r="A3050">
        <v>3049</v>
      </c>
      <c r="B3050">
        <v>2020</v>
      </c>
      <c r="C3050">
        <v>3</v>
      </c>
      <c r="D3050">
        <v>9</v>
      </c>
      <c r="E3050" s="1">
        <v>-10.09</v>
      </c>
      <c r="F3050" t="s">
        <v>26</v>
      </c>
      <c r="G3050" t="str">
        <f>_xlfn.XLOOKUP(transakcje[[#This Row],[podkategoria]],parametr[podkategoria],parametr[kategoria])</f>
        <v>życie</v>
      </c>
      <c r="H3050" t="str">
        <f>_xlfn.XLOOKUP(transakcje[[#This Row],[kategoria]],parametr[kategoria],parametr[typ])</f>
        <v>wydatki</v>
      </c>
      <c r="I3050" s="1">
        <f>ABS(transakcje[[#This Row],[kwota]])</f>
        <v>10.09</v>
      </c>
    </row>
    <row r="3051" spans="1:9" x14ac:dyDescent="0.3">
      <c r="A3051">
        <v>3050</v>
      </c>
      <c r="B3051">
        <v>2020</v>
      </c>
      <c r="C3051">
        <v>3</v>
      </c>
      <c r="D3051">
        <v>11</v>
      </c>
      <c r="E3051" s="1">
        <v>-25.2</v>
      </c>
      <c r="F3051" t="s">
        <v>11</v>
      </c>
      <c r="G3051" t="str">
        <f>_xlfn.XLOOKUP(transakcje[[#This Row],[podkategoria]],parametr[podkategoria],parametr[kategoria])</f>
        <v>wydatki inne</v>
      </c>
      <c r="H3051" t="str">
        <f>_xlfn.XLOOKUP(transakcje[[#This Row],[kategoria]],parametr[kategoria],parametr[typ])</f>
        <v>wydatki</v>
      </c>
      <c r="I3051" s="1">
        <f>ABS(transakcje[[#This Row],[kwota]])</f>
        <v>25.2</v>
      </c>
    </row>
    <row r="3052" spans="1:9" x14ac:dyDescent="0.3">
      <c r="A3052">
        <v>3051</v>
      </c>
      <c r="B3052">
        <v>2020</v>
      </c>
      <c r="C3052">
        <v>3</v>
      </c>
      <c r="D3052">
        <v>11</v>
      </c>
      <c r="E3052" s="1">
        <v>-12.446</v>
      </c>
      <c r="F3052" t="s">
        <v>26</v>
      </c>
      <c r="G3052" t="str">
        <f>_xlfn.XLOOKUP(transakcje[[#This Row],[podkategoria]],parametr[podkategoria],parametr[kategoria])</f>
        <v>życie</v>
      </c>
      <c r="H3052" t="str">
        <f>_xlfn.XLOOKUP(transakcje[[#This Row],[kategoria]],parametr[kategoria],parametr[typ])</f>
        <v>wydatki</v>
      </c>
      <c r="I3052" s="1">
        <f>ABS(transakcje[[#This Row],[kwota]])</f>
        <v>12.446</v>
      </c>
    </row>
    <row r="3053" spans="1:9" x14ac:dyDescent="0.3">
      <c r="A3053">
        <v>3052</v>
      </c>
      <c r="B3053">
        <v>2020</v>
      </c>
      <c r="C3053">
        <v>3</v>
      </c>
      <c r="D3053">
        <v>14</v>
      </c>
      <c r="E3053" s="1">
        <v>-1.954</v>
      </c>
      <c r="F3053" t="s">
        <v>26</v>
      </c>
      <c r="G3053" t="str">
        <f>_xlfn.XLOOKUP(transakcje[[#This Row],[podkategoria]],parametr[podkategoria],parametr[kategoria])</f>
        <v>życie</v>
      </c>
      <c r="H3053" t="str">
        <f>_xlfn.XLOOKUP(transakcje[[#This Row],[kategoria]],parametr[kategoria],parametr[typ])</f>
        <v>wydatki</v>
      </c>
      <c r="I3053" s="1">
        <f>ABS(transakcje[[#This Row],[kwota]])</f>
        <v>1.954</v>
      </c>
    </row>
    <row r="3054" spans="1:9" x14ac:dyDescent="0.3">
      <c r="A3054">
        <v>3053</v>
      </c>
      <c r="B3054">
        <v>2020</v>
      </c>
      <c r="C3054">
        <v>3</v>
      </c>
      <c r="D3054">
        <v>16</v>
      </c>
      <c r="E3054" s="1">
        <v>-0.65800000000000003</v>
      </c>
      <c r="F3054" t="s">
        <v>26</v>
      </c>
      <c r="G3054" t="str">
        <f>_xlfn.XLOOKUP(transakcje[[#This Row],[podkategoria]],parametr[podkategoria],parametr[kategoria])</f>
        <v>życie</v>
      </c>
      <c r="H3054" t="str">
        <f>_xlfn.XLOOKUP(transakcje[[#This Row],[kategoria]],parametr[kategoria],parametr[typ])</f>
        <v>wydatki</v>
      </c>
      <c r="I3054" s="1">
        <f>ABS(transakcje[[#This Row],[kwota]])</f>
        <v>0.65800000000000003</v>
      </c>
    </row>
    <row r="3055" spans="1:9" x14ac:dyDescent="0.3">
      <c r="A3055">
        <v>3054</v>
      </c>
      <c r="B3055">
        <v>2020</v>
      </c>
      <c r="C3055">
        <v>3</v>
      </c>
      <c r="D3055">
        <v>16</v>
      </c>
      <c r="E3055" s="1">
        <v>-3.4799999999999995</v>
      </c>
      <c r="F3055" t="s">
        <v>26</v>
      </c>
      <c r="G3055" t="str">
        <f>_xlfn.XLOOKUP(transakcje[[#This Row],[podkategoria]],parametr[podkategoria],parametr[kategoria])</f>
        <v>życie</v>
      </c>
      <c r="H3055" t="str">
        <f>_xlfn.XLOOKUP(transakcje[[#This Row],[kategoria]],parametr[kategoria],parametr[typ])</f>
        <v>wydatki</v>
      </c>
      <c r="I3055" s="1">
        <f>ABS(transakcje[[#This Row],[kwota]])</f>
        <v>3.4799999999999995</v>
      </c>
    </row>
    <row r="3056" spans="1:9" x14ac:dyDescent="0.3">
      <c r="A3056">
        <v>3055</v>
      </c>
      <c r="B3056">
        <v>2020</v>
      </c>
      <c r="C3056">
        <v>3</v>
      </c>
      <c r="D3056">
        <v>16</v>
      </c>
      <c r="E3056" s="1">
        <v>-12.58</v>
      </c>
      <c r="F3056" t="s">
        <v>26</v>
      </c>
      <c r="G3056" t="str">
        <f>_xlfn.XLOOKUP(transakcje[[#This Row],[podkategoria]],parametr[podkategoria],parametr[kategoria])</f>
        <v>życie</v>
      </c>
      <c r="H3056" t="str">
        <f>_xlfn.XLOOKUP(transakcje[[#This Row],[kategoria]],parametr[kategoria],parametr[typ])</f>
        <v>wydatki</v>
      </c>
      <c r="I3056" s="1">
        <f>ABS(transakcje[[#This Row],[kwota]])</f>
        <v>12.58</v>
      </c>
    </row>
    <row r="3057" spans="1:9" x14ac:dyDescent="0.3">
      <c r="A3057">
        <v>3056</v>
      </c>
      <c r="B3057">
        <v>2020</v>
      </c>
      <c r="C3057">
        <v>3</v>
      </c>
      <c r="D3057">
        <v>18</v>
      </c>
      <c r="E3057" s="1">
        <v>735.55</v>
      </c>
      <c r="F3057" t="s">
        <v>8</v>
      </c>
      <c r="G3057" t="str">
        <f>_xlfn.XLOOKUP(transakcje[[#This Row],[podkategoria]],parametr[podkategoria],parametr[kategoria])</f>
        <v>dochody z pracy</v>
      </c>
      <c r="H3057" t="str">
        <f>_xlfn.XLOOKUP(transakcje[[#This Row],[kategoria]],parametr[kategoria],parametr[typ])</f>
        <v>dochody</v>
      </c>
      <c r="I3057" s="1">
        <f>ABS(transakcje[[#This Row],[kwota]])</f>
        <v>735.55</v>
      </c>
    </row>
    <row r="3058" spans="1:9" x14ac:dyDescent="0.3">
      <c r="A3058">
        <v>3057</v>
      </c>
      <c r="B3058">
        <v>2020</v>
      </c>
      <c r="C3058">
        <v>3</v>
      </c>
      <c r="D3058">
        <v>18</v>
      </c>
      <c r="E3058" s="1">
        <v>-0.39800000000000002</v>
      </c>
      <c r="F3058" t="s">
        <v>14</v>
      </c>
      <c r="G3058" t="str">
        <f>_xlfn.XLOOKUP(transakcje[[#This Row],[podkategoria]],parametr[podkategoria],parametr[kategoria])</f>
        <v>opłaty stałe</v>
      </c>
      <c r="H3058" t="str">
        <f>_xlfn.XLOOKUP(transakcje[[#This Row],[kategoria]],parametr[kategoria],parametr[typ])</f>
        <v>wydatki</v>
      </c>
      <c r="I3058" s="1">
        <f>ABS(transakcje[[#This Row],[kwota]])</f>
        <v>0.39800000000000002</v>
      </c>
    </row>
    <row r="3059" spans="1:9" x14ac:dyDescent="0.3">
      <c r="A3059">
        <v>3058</v>
      </c>
      <c r="B3059">
        <v>2020</v>
      </c>
      <c r="C3059">
        <v>3</v>
      </c>
      <c r="D3059">
        <v>21</v>
      </c>
      <c r="E3059" s="1">
        <v>-9.9</v>
      </c>
      <c r="F3059" t="s">
        <v>26</v>
      </c>
      <c r="G3059" t="str">
        <f>_xlfn.XLOOKUP(transakcje[[#This Row],[podkategoria]],parametr[podkategoria],parametr[kategoria])</f>
        <v>życie</v>
      </c>
      <c r="H3059" t="str">
        <f>_xlfn.XLOOKUP(transakcje[[#This Row],[kategoria]],parametr[kategoria],parametr[typ])</f>
        <v>wydatki</v>
      </c>
      <c r="I3059" s="1">
        <f>ABS(transakcje[[#This Row],[kwota]])</f>
        <v>9.9</v>
      </c>
    </row>
    <row r="3060" spans="1:9" x14ac:dyDescent="0.3">
      <c r="A3060">
        <v>3059</v>
      </c>
      <c r="B3060">
        <v>2020</v>
      </c>
      <c r="C3060">
        <v>3</v>
      </c>
      <c r="D3060">
        <v>27</v>
      </c>
      <c r="E3060" s="1">
        <v>-9.8840000000000003</v>
      </c>
      <c r="F3060" t="s">
        <v>26</v>
      </c>
      <c r="G3060" t="str">
        <f>_xlfn.XLOOKUP(transakcje[[#This Row],[podkategoria]],parametr[podkategoria],parametr[kategoria])</f>
        <v>życie</v>
      </c>
      <c r="H3060" t="str">
        <f>_xlfn.XLOOKUP(transakcje[[#This Row],[kategoria]],parametr[kategoria],parametr[typ])</f>
        <v>wydatki</v>
      </c>
      <c r="I3060" s="1">
        <f>ABS(transakcje[[#This Row],[kwota]])</f>
        <v>9.8840000000000003</v>
      </c>
    </row>
    <row r="3061" spans="1:9" x14ac:dyDescent="0.3">
      <c r="A3061">
        <v>3060</v>
      </c>
      <c r="B3061">
        <v>2020</v>
      </c>
      <c r="C3061">
        <v>3</v>
      </c>
      <c r="D3061">
        <v>27</v>
      </c>
      <c r="E3061" s="1">
        <v>-0.32999999999999996</v>
      </c>
      <c r="F3061" t="s">
        <v>26</v>
      </c>
      <c r="G3061" t="str">
        <f>_xlfn.XLOOKUP(transakcje[[#This Row],[podkategoria]],parametr[podkategoria],parametr[kategoria])</f>
        <v>życie</v>
      </c>
      <c r="H3061" t="str">
        <f>_xlfn.XLOOKUP(transakcje[[#This Row],[kategoria]],parametr[kategoria],parametr[typ])</f>
        <v>wydatki</v>
      </c>
      <c r="I3061" s="1">
        <f>ABS(transakcje[[#This Row],[kwota]])</f>
        <v>0.32999999999999996</v>
      </c>
    </row>
    <row r="3062" spans="1:9" x14ac:dyDescent="0.3">
      <c r="A3062">
        <v>3061</v>
      </c>
      <c r="B3062">
        <v>2020</v>
      </c>
      <c r="C3062">
        <v>3</v>
      </c>
      <c r="D3062">
        <v>30</v>
      </c>
      <c r="E3062" s="1">
        <v>-19.8</v>
      </c>
      <c r="F3062" t="s">
        <v>32</v>
      </c>
      <c r="G3062" t="str">
        <f>_xlfn.XLOOKUP(transakcje[[#This Row],[podkategoria]],parametr[podkategoria],parametr[kategoria])</f>
        <v>opłaty stałe</v>
      </c>
      <c r="H3062" t="str">
        <f>_xlfn.XLOOKUP(transakcje[[#This Row],[kategoria]],parametr[kategoria],parametr[typ])</f>
        <v>wydatki</v>
      </c>
      <c r="I3062" s="1">
        <f>ABS(transakcje[[#This Row],[kwota]])</f>
        <v>19.8</v>
      </c>
    </row>
    <row r="3063" spans="1:9" x14ac:dyDescent="0.3">
      <c r="A3063">
        <v>3062</v>
      </c>
      <c r="B3063">
        <v>2020</v>
      </c>
      <c r="C3063">
        <v>3</v>
      </c>
      <c r="D3063">
        <v>31</v>
      </c>
      <c r="E3063" s="1">
        <v>4.0000000000000001E-3</v>
      </c>
      <c r="F3063" t="s">
        <v>17</v>
      </c>
      <c r="G3063" t="str">
        <f>_xlfn.XLOOKUP(transakcje[[#This Row],[podkategoria]],parametr[podkategoria],parametr[kategoria])</f>
        <v>dochody pozostałe</v>
      </c>
      <c r="H3063" t="str">
        <f>_xlfn.XLOOKUP(transakcje[[#This Row],[kategoria]],parametr[kategoria],parametr[typ])</f>
        <v>dochody</v>
      </c>
      <c r="I3063" s="1">
        <f>ABS(transakcje[[#This Row],[kwota]])</f>
        <v>4.0000000000000001E-3</v>
      </c>
    </row>
    <row r="3064" spans="1:9" x14ac:dyDescent="0.3">
      <c r="A3064">
        <v>3063</v>
      </c>
      <c r="B3064">
        <v>2020</v>
      </c>
      <c r="C3064">
        <v>3</v>
      </c>
      <c r="D3064">
        <v>31</v>
      </c>
      <c r="E3064" s="1">
        <v>-2E-3</v>
      </c>
      <c r="F3064" t="s">
        <v>14</v>
      </c>
      <c r="G3064" t="str">
        <f>_xlfn.XLOOKUP(transakcje[[#This Row],[podkategoria]],parametr[podkategoria],parametr[kategoria])</f>
        <v>opłaty stałe</v>
      </c>
      <c r="H3064" t="str">
        <f>_xlfn.XLOOKUP(transakcje[[#This Row],[kategoria]],parametr[kategoria],parametr[typ])</f>
        <v>wydatki</v>
      </c>
      <c r="I3064" s="1">
        <f>ABS(transakcje[[#This Row],[kwota]])</f>
        <v>2E-3</v>
      </c>
    </row>
    <row r="3065" spans="1:9" x14ac:dyDescent="0.3">
      <c r="A3065">
        <v>3064</v>
      </c>
      <c r="B3065">
        <v>2020</v>
      </c>
      <c r="C3065">
        <v>3</v>
      </c>
      <c r="D3065">
        <v>31</v>
      </c>
      <c r="E3065" s="1">
        <v>-0.1</v>
      </c>
      <c r="F3065" t="s">
        <v>14</v>
      </c>
      <c r="G3065" t="str">
        <f>_xlfn.XLOOKUP(transakcje[[#This Row],[podkategoria]],parametr[podkategoria],parametr[kategoria])</f>
        <v>opłaty stałe</v>
      </c>
      <c r="H3065" t="str">
        <f>_xlfn.XLOOKUP(transakcje[[#This Row],[kategoria]],parametr[kategoria],parametr[typ])</f>
        <v>wydatki</v>
      </c>
      <c r="I3065" s="1">
        <f>ABS(transakcje[[#This Row],[kwota]])</f>
        <v>0.1</v>
      </c>
    </row>
    <row r="3066" spans="1:9" x14ac:dyDescent="0.3">
      <c r="A3066">
        <v>3065</v>
      </c>
      <c r="B3066">
        <v>2020</v>
      </c>
      <c r="C3066">
        <v>3</v>
      </c>
      <c r="D3066">
        <v>31</v>
      </c>
      <c r="E3066" s="1">
        <v>-1.3980000000000001</v>
      </c>
      <c r="F3066" t="s">
        <v>14</v>
      </c>
      <c r="G3066" t="str">
        <f>_xlfn.XLOOKUP(transakcje[[#This Row],[podkategoria]],parametr[podkategoria],parametr[kategoria])</f>
        <v>opłaty stałe</v>
      </c>
      <c r="H3066" t="str">
        <f>_xlfn.XLOOKUP(transakcje[[#This Row],[kategoria]],parametr[kategoria],parametr[typ])</f>
        <v>wydatki</v>
      </c>
      <c r="I3066" s="1">
        <f>ABS(transakcje[[#This Row],[kwota]])</f>
        <v>1.3980000000000001</v>
      </c>
    </row>
    <row r="3067" spans="1:9" x14ac:dyDescent="0.3">
      <c r="A3067">
        <v>3066</v>
      </c>
      <c r="B3067">
        <v>2020</v>
      </c>
      <c r="C3067">
        <v>4</v>
      </c>
      <c r="D3067">
        <v>1</v>
      </c>
      <c r="E3067" s="1">
        <v>-4.54</v>
      </c>
      <c r="F3067" t="s">
        <v>37</v>
      </c>
      <c r="G3067" t="str">
        <f>_xlfn.XLOOKUP(transakcje[[#This Row],[podkategoria]],parametr[podkategoria],parametr[kategoria])</f>
        <v>opłaty stałe</v>
      </c>
      <c r="H3067" t="str">
        <f>_xlfn.XLOOKUP(transakcje[[#This Row],[kategoria]],parametr[kategoria],parametr[typ])</f>
        <v>wydatki</v>
      </c>
      <c r="I3067" s="1">
        <f>ABS(transakcje[[#This Row],[kwota]])</f>
        <v>4.54</v>
      </c>
    </row>
    <row r="3068" spans="1:9" x14ac:dyDescent="0.3">
      <c r="A3068">
        <v>3067</v>
      </c>
      <c r="B3068">
        <v>2020</v>
      </c>
      <c r="C3068">
        <v>4</v>
      </c>
      <c r="D3068">
        <v>1</v>
      </c>
      <c r="E3068" s="1">
        <v>-4.9799999999999995</v>
      </c>
      <c r="F3068" t="s">
        <v>26</v>
      </c>
      <c r="G3068" t="str">
        <f>_xlfn.XLOOKUP(transakcje[[#This Row],[podkategoria]],parametr[podkategoria],parametr[kategoria])</f>
        <v>życie</v>
      </c>
      <c r="H3068" t="str">
        <f>_xlfn.XLOOKUP(transakcje[[#This Row],[kategoria]],parametr[kategoria],parametr[typ])</f>
        <v>wydatki</v>
      </c>
      <c r="I3068" s="1">
        <f>ABS(transakcje[[#This Row],[kwota]])</f>
        <v>4.9799999999999995</v>
      </c>
    </row>
    <row r="3069" spans="1:9" x14ac:dyDescent="0.3">
      <c r="A3069">
        <v>3068</v>
      </c>
      <c r="B3069">
        <v>2020</v>
      </c>
      <c r="C3069">
        <v>4</v>
      </c>
      <c r="D3069">
        <v>1</v>
      </c>
      <c r="E3069" s="1">
        <v>-5.8</v>
      </c>
      <c r="F3069" t="s">
        <v>25</v>
      </c>
      <c r="G3069" t="str">
        <f>_xlfn.XLOOKUP(transakcje[[#This Row],[podkategoria]],parametr[podkategoria],parametr[kategoria])</f>
        <v>opłaty stałe</v>
      </c>
      <c r="H3069" t="str">
        <f>_xlfn.XLOOKUP(transakcje[[#This Row],[kategoria]],parametr[kategoria],parametr[typ])</f>
        <v>wydatki</v>
      </c>
      <c r="I3069" s="1">
        <f>ABS(transakcje[[#This Row],[kwota]])</f>
        <v>5.8</v>
      </c>
    </row>
    <row r="3070" spans="1:9" x14ac:dyDescent="0.3">
      <c r="A3070">
        <v>3069</v>
      </c>
      <c r="B3070">
        <v>2020</v>
      </c>
      <c r="C3070">
        <v>4</v>
      </c>
      <c r="D3070">
        <v>1</v>
      </c>
      <c r="E3070" s="1">
        <v>-7.38</v>
      </c>
      <c r="F3070" t="s">
        <v>23</v>
      </c>
      <c r="G3070" t="str">
        <f>_xlfn.XLOOKUP(transakcje[[#This Row],[podkategoria]],parametr[podkategoria],parametr[kategoria])</f>
        <v>opłaty stałe</v>
      </c>
      <c r="H3070" t="str">
        <f>_xlfn.XLOOKUP(transakcje[[#This Row],[kategoria]],parametr[kategoria],parametr[typ])</f>
        <v>wydatki</v>
      </c>
      <c r="I3070" s="1">
        <f>ABS(transakcje[[#This Row],[kwota]])</f>
        <v>7.38</v>
      </c>
    </row>
    <row r="3071" spans="1:9" x14ac:dyDescent="0.3">
      <c r="A3071">
        <v>3070</v>
      </c>
      <c r="B3071">
        <v>2020</v>
      </c>
      <c r="C3071">
        <v>4</v>
      </c>
      <c r="D3071">
        <v>1</v>
      </c>
      <c r="E3071" s="1">
        <v>-73.955999999999989</v>
      </c>
      <c r="F3071" t="s">
        <v>31</v>
      </c>
      <c r="G3071" t="str">
        <f>_xlfn.XLOOKUP(transakcje[[#This Row],[podkategoria]],parametr[podkategoria],parametr[kategoria])</f>
        <v>opłaty stałe</v>
      </c>
      <c r="H3071" t="str">
        <f>_xlfn.XLOOKUP(transakcje[[#This Row],[kategoria]],parametr[kategoria],parametr[typ])</f>
        <v>wydatki</v>
      </c>
      <c r="I3071" s="1">
        <f>ABS(transakcje[[#This Row],[kwota]])</f>
        <v>73.955999999999989</v>
      </c>
    </row>
    <row r="3072" spans="1:9" x14ac:dyDescent="0.3">
      <c r="A3072">
        <v>3071</v>
      </c>
      <c r="B3072">
        <v>2020</v>
      </c>
      <c r="C3072">
        <v>4</v>
      </c>
      <c r="D3072">
        <v>2</v>
      </c>
      <c r="E3072" s="1">
        <v>-0.2</v>
      </c>
      <c r="F3072" t="s">
        <v>14</v>
      </c>
      <c r="G3072" t="str">
        <f>_xlfn.XLOOKUP(transakcje[[#This Row],[podkategoria]],parametr[podkategoria],parametr[kategoria])</f>
        <v>opłaty stałe</v>
      </c>
      <c r="H3072" t="str">
        <f>_xlfn.XLOOKUP(transakcje[[#This Row],[kategoria]],parametr[kategoria],parametr[typ])</f>
        <v>wydatki</v>
      </c>
      <c r="I3072" s="1">
        <f>ABS(transakcje[[#This Row],[kwota]])</f>
        <v>0.2</v>
      </c>
    </row>
    <row r="3073" spans="1:9" x14ac:dyDescent="0.3">
      <c r="A3073">
        <v>3072</v>
      </c>
      <c r="B3073">
        <v>2020</v>
      </c>
      <c r="C3073">
        <v>4</v>
      </c>
      <c r="D3073">
        <v>6</v>
      </c>
      <c r="E3073" s="1">
        <v>-0.65800000000000003</v>
      </c>
      <c r="F3073" t="s">
        <v>26</v>
      </c>
      <c r="G3073" t="str">
        <f>_xlfn.XLOOKUP(transakcje[[#This Row],[podkategoria]],parametr[podkategoria],parametr[kategoria])</f>
        <v>życie</v>
      </c>
      <c r="H3073" t="str">
        <f>_xlfn.XLOOKUP(transakcje[[#This Row],[kategoria]],parametr[kategoria],parametr[typ])</f>
        <v>wydatki</v>
      </c>
      <c r="I3073" s="1">
        <f>ABS(transakcje[[#This Row],[kwota]])</f>
        <v>0.65800000000000003</v>
      </c>
    </row>
    <row r="3074" spans="1:9" x14ac:dyDescent="0.3">
      <c r="A3074">
        <v>3073</v>
      </c>
      <c r="B3074">
        <v>2020</v>
      </c>
      <c r="C3074">
        <v>4</v>
      </c>
      <c r="D3074">
        <v>6</v>
      </c>
      <c r="E3074" s="1">
        <v>-15.575999999999999</v>
      </c>
      <c r="F3074" t="s">
        <v>26</v>
      </c>
      <c r="G3074" t="str">
        <f>_xlfn.XLOOKUP(transakcje[[#This Row],[podkategoria]],parametr[podkategoria],parametr[kategoria])</f>
        <v>życie</v>
      </c>
      <c r="H3074" t="str">
        <f>_xlfn.XLOOKUP(transakcje[[#This Row],[kategoria]],parametr[kategoria],parametr[typ])</f>
        <v>wydatki</v>
      </c>
      <c r="I3074" s="1">
        <f>ABS(transakcje[[#This Row],[kwota]])</f>
        <v>15.575999999999999</v>
      </c>
    </row>
    <row r="3075" spans="1:9" x14ac:dyDescent="0.3">
      <c r="A3075">
        <v>3074</v>
      </c>
      <c r="B3075">
        <v>2020</v>
      </c>
      <c r="C3075">
        <v>4</v>
      </c>
      <c r="D3075">
        <v>15</v>
      </c>
      <c r="E3075" s="1">
        <v>-0.39800000000000002</v>
      </c>
      <c r="F3075" t="s">
        <v>14</v>
      </c>
      <c r="G3075" t="str">
        <f>_xlfn.XLOOKUP(transakcje[[#This Row],[podkategoria]],parametr[podkategoria],parametr[kategoria])</f>
        <v>opłaty stałe</v>
      </c>
      <c r="H3075" t="str">
        <f>_xlfn.XLOOKUP(transakcje[[#This Row],[kategoria]],parametr[kategoria],parametr[typ])</f>
        <v>wydatki</v>
      </c>
      <c r="I3075" s="1">
        <f>ABS(transakcje[[#This Row],[kwota]])</f>
        <v>0.39800000000000002</v>
      </c>
    </row>
    <row r="3076" spans="1:9" x14ac:dyDescent="0.3">
      <c r="A3076">
        <v>3075</v>
      </c>
      <c r="B3076">
        <v>2020</v>
      </c>
      <c r="C3076">
        <v>4</v>
      </c>
      <c r="D3076">
        <v>22</v>
      </c>
      <c r="E3076" s="1">
        <v>-19.8</v>
      </c>
      <c r="F3076" t="s">
        <v>32</v>
      </c>
      <c r="G3076" t="str">
        <f>_xlfn.XLOOKUP(transakcje[[#This Row],[podkategoria]],parametr[podkategoria],parametr[kategoria])</f>
        <v>opłaty stałe</v>
      </c>
      <c r="H3076" t="str">
        <f>_xlfn.XLOOKUP(transakcje[[#This Row],[kategoria]],parametr[kategoria],parametr[typ])</f>
        <v>wydatki</v>
      </c>
      <c r="I3076" s="1">
        <f>ABS(transakcje[[#This Row],[kwota]])</f>
        <v>19.8</v>
      </c>
    </row>
    <row r="3077" spans="1:9" x14ac:dyDescent="0.3">
      <c r="A3077">
        <v>3076</v>
      </c>
      <c r="B3077">
        <v>2020</v>
      </c>
      <c r="C3077">
        <v>4</v>
      </c>
      <c r="D3077">
        <v>24</v>
      </c>
      <c r="E3077" s="1">
        <v>735.55</v>
      </c>
      <c r="F3077" t="s">
        <v>8</v>
      </c>
      <c r="G3077" t="str">
        <f>_xlfn.XLOOKUP(transakcje[[#This Row],[podkategoria]],parametr[podkategoria],parametr[kategoria])</f>
        <v>dochody z pracy</v>
      </c>
      <c r="H3077" t="str">
        <f>_xlfn.XLOOKUP(transakcje[[#This Row],[kategoria]],parametr[kategoria],parametr[typ])</f>
        <v>dochody</v>
      </c>
      <c r="I3077" s="1">
        <f>ABS(transakcje[[#This Row],[kwota]])</f>
        <v>735.55</v>
      </c>
    </row>
    <row r="3078" spans="1:9" x14ac:dyDescent="0.3">
      <c r="A3078">
        <v>3077</v>
      </c>
      <c r="B3078">
        <v>2020</v>
      </c>
      <c r="C3078">
        <v>4</v>
      </c>
      <c r="D3078">
        <v>28</v>
      </c>
      <c r="E3078" s="1">
        <v>-5.4060000000000006</v>
      </c>
      <c r="F3078" t="s">
        <v>26</v>
      </c>
      <c r="G3078" t="str">
        <f>_xlfn.XLOOKUP(transakcje[[#This Row],[podkategoria]],parametr[podkategoria],parametr[kategoria])</f>
        <v>życie</v>
      </c>
      <c r="H3078" t="str">
        <f>_xlfn.XLOOKUP(transakcje[[#This Row],[kategoria]],parametr[kategoria],parametr[typ])</f>
        <v>wydatki</v>
      </c>
      <c r="I3078" s="1">
        <f>ABS(transakcje[[#This Row],[kwota]])</f>
        <v>5.4060000000000006</v>
      </c>
    </row>
    <row r="3079" spans="1:9" x14ac:dyDescent="0.3">
      <c r="A3079">
        <v>3078</v>
      </c>
      <c r="B3079">
        <v>2020</v>
      </c>
      <c r="C3079">
        <v>4</v>
      </c>
      <c r="D3079">
        <v>30</v>
      </c>
      <c r="E3079" s="1">
        <v>-0.3</v>
      </c>
      <c r="F3079" t="s">
        <v>14</v>
      </c>
      <c r="G3079" t="str">
        <f>_xlfn.XLOOKUP(transakcje[[#This Row],[podkategoria]],parametr[podkategoria],parametr[kategoria])</f>
        <v>opłaty stałe</v>
      </c>
      <c r="H3079" t="str">
        <f>_xlfn.XLOOKUP(transakcje[[#This Row],[kategoria]],parametr[kategoria],parametr[typ])</f>
        <v>wydatki</v>
      </c>
      <c r="I3079" s="1">
        <f>ABS(transakcje[[#This Row],[kwota]])</f>
        <v>0.3</v>
      </c>
    </row>
    <row r="3080" spans="1:9" x14ac:dyDescent="0.3">
      <c r="A3080">
        <v>3079</v>
      </c>
      <c r="B3080">
        <v>2020</v>
      </c>
      <c r="C3080">
        <v>4</v>
      </c>
      <c r="D3080">
        <v>30</v>
      </c>
      <c r="E3080" s="1">
        <v>-1.3980000000000001</v>
      </c>
      <c r="F3080" t="s">
        <v>14</v>
      </c>
      <c r="G3080" t="str">
        <f>_xlfn.XLOOKUP(transakcje[[#This Row],[podkategoria]],parametr[podkategoria],parametr[kategoria])</f>
        <v>opłaty stałe</v>
      </c>
      <c r="H3080" t="str">
        <f>_xlfn.XLOOKUP(transakcje[[#This Row],[kategoria]],parametr[kategoria],parametr[typ])</f>
        <v>wydatki</v>
      </c>
      <c r="I3080" s="1">
        <f>ABS(transakcje[[#This Row],[kwota]])</f>
        <v>1.3980000000000001</v>
      </c>
    </row>
    <row r="3081" spans="1:9" x14ac:dyDescent="0.3">
      <c r="A3081">
        <v>3080</v>
      </c>
      <c r="B3081">
        <v>2020</v>
      </c>
      <c r="C3081">
        <v>4</v>
      </c>
      <c r="D3081">
        <v>30</v>
      </c>
      <c r="E3081" s="1">
        <v>6.0000000000000001E-3</v>
      </c>
      <c r="F3081" t="s">
        <v>17</v>
      </c>
      <c r="G3081" t="str">
        <f>_xlfn.XLOOKUP(transakcje[[#This Row],[podkategoria]],parametr[podkategoria],parametr[kategoria])</f>
        <v>dochody pozostałe</v>
      </c>
      <c r="H3081" t="str">
        <f>_xlfn.XLOOKUP(transakcje[[#This Row],[kategoria]],parametr[kategoria],parametr[typ])</f>
        <v>dochody</v>
      </c>
      <c r="I3081" s="1">
        <f>ABS(transakcje[[#This Row],[kwota]])</f>
        <v>6.0000000000000001E-3</v>
      </c>
    </row>
    <row r="3082" spans="1:9" x14ac:dyDescent="0.3">
      <c r="A3082">
        <v>3081</v>
      </c>
      <c r="B3082">
        <v>2020</v>
      </c>
      <c r="C3082">
        <v>4</v>
      </c>
      <c r="D3082">
        <v>30</v>
      </c>
      <c r="E3082" s="1">
        <v>-2E-3</v>
      </c>
      <c r="F3082" t="s">
        <v>14</v>
      </c>
      <c r="G3082" t="str">
        <f>_xlfn.XLOOKUP(transakcje[[#This Row],[podkategoria]],parametr[podkategoria],parametr[kategoria])</f>
        <v>opłaty stałe</v>
      </c>
      <c r="H3082" t="str">
        <f>_xlfn.XLOOKUP(transakcje[[#This Row],[kategoria]],parametr[kategoria],parametr[typ])</f>
        <v>wydatki</v>
      </c>
      <c r="I3082" s="1">
        <f>ABS(transakcje[[#This Row],[kwota]])</f>
        <v>2E-3</v>
      </c>
    </row>
    <row r="3083" spans="1:9" x14ac:dyDescent="0.3">
      <c r="A3083">
        <v>3082</v>
      </c>
      <c r="B3083">
        <v>2020</v>
      </c>
      <c r="C3083">
        <v>5</v>
      </c>
      <c r="D3083">
        <v>1</v>
      </c>
      <c r="E3083" s="1">
        <v>-8.6</v>
      </c>
      <c r="F3083" t="s">
        <v>26</v>
      </c>
      <c r="G3083" t="str">
        <f>_xlfn.XLOOKUP(transakcje[[#This Row],[podkategoria]],parametr[podkategoria],parametr[kategoria])</f>
        <v>życie</v>
      </c>
      <c r="H3083" t="str">
        <f>_xlfn.XLOOKUP(transakcje[[#This Row],[kategoria]],parametr[kategoria],parametr[typ])</f>
        <v>wydatki</v>
      </c>
      <c r="I3083" s="1">
        <f>ABS(transakcje[[#This Row],[kwota]])</f>
        <v>8.6</v>
      </c>
    </row>
    <row r="3084" spans="1:9" x14ac:dyDescent="0.3">
      <c r="A3084">
        <v>3083</v>
      </c>
      <c r="B3084">
        <v>2020</v>
      </c>
      <c r="C3084">
        <v>5</v>
      </c>
      <c r="D3084">
        <v>1</v>
      </c>
      <c r="E3084" s="1">
        <v>-38</v>
      </c>
      <c r="F3084" t="s">
        <v>29</v>
      </c>
      <c r="G3084" t="str">
        <f>_xlfn.XLOOKUP(transakcje[[#This Row],[podkategoria]],parametr[podkategoria],parametr[kategoria])</f>
        <v>opłaty stałe</v>
      </c>
      <c r="H3084" t="str">
        <f>_xlfn.XLOOKUP(transakcje[[#This Row],[kategoria]],parametr[kategoria],parametr[typ])</f>
        <v>wydatki</v>
      </c>
      <c r="I3084" s="1">
        <f>ABS(transakcje[[#This Row],[kwota]])</f>
        <v>38</v>
      </c>
    </row>
    <row r="3085" spans="1:9" x14ac:dyDescent="0.3">
      <c r="A3085">
        <v>3084</v>
      </c>
      <c r="B3085">
        <v>2020</v>
      </c>
      <c r="C3085">
        <v>5</v>
      </c>
      <c r="D3085">
        <v>1</v>
      </c>
      <c r="E3085" s="1">
        <v>-46.4</v>
      </c>
      <c r="F3085" t="s">
        <v>30</v>
      </c>
      <c r="G3085" t="str">
        <f>_xlfn.XLOOKUP(transakcje[[#This Row],[podkategoria]],parametr[podkategoria],parametr[kategoria])</f>
        <v>opłaty stałe</v>
      </c>
      <c r="H3085" t="str">
        <f>_xlfn.XLOOKUP(transakcje[[#This Row],[kategoria]],parametr[kategoria],parametr[typ])</f>
        <v>wydatki</v>
      </c>
      <c r="I3085" s="1">
        <f>ABS(transakcje[[#This Row],[kwota]])</f>
        <v>46.4</v>
      </c>
    </row>
    <row r="3086" spans="1:9" x14ac:dyDescent="0.3">
      <c r="A3086">
        <v>3085</v>
      </c>
      <c r="B3086">
        <v>2020</v>
      </c>
      <c r="C3086">
        <v>5</v>
      </c>
      <c r="D3086">
        <v>1</v>
      </c>
      <c r="E3086" s="1">
        <v>-4.54</v>
      </c>
      <c r="F3086" t="s">
        <v>37</v>
      </c>
      <c r="G3086" t="str">
        <f>_xlfn.XLOOKUP(transakcje[[#This Row],[podkategoria]],parametr[podkategoria],parametr[kategoria])</f>
        <v>opłaty stałe</v>
      </c>
      <c r="H3086" t="str">
        <f>_xlfn.XLOOKUP(transakcje[[#This Row],[kategoria]],parametr[kategoria],parametr[typ])</f>
        <v>wydatki</v>
      </c>
      <c r="I3086" s="1">
        <f>ABS(transakcje[[#This Row],[kwota]])</f>
        <v>4.54</v>
      </c>
    </row>
    <row r="3087" spans="1:9" x14ac:dyDescent="0.3">
      <c r="A3087">
        <v>3086</v>
      </c>
      <c r="B3087">
        <v>2020</v>
      </c>
      <c r="C3087">
        <v>5</v>
      </c>
      <c r="D3087">
        <v>1</v>
      </c>
      <c r="E3087" s="1">
        <v>-5.7700000000000005</v>
      </c>
      <c r="F3087" t="s">
        <v>35</v>
      </c>
      <c r="G3087" t="str">
        <f>_xlfn.XLOOKUP(transakcje[[#This Row],[podkategoria]],parametr[podkategoria],parametr[kategoria])</f>
        <v>opłaty stałe</v>
      </c>
      <c r="H3087" t="str">
        <f>_xlfn.XLOOKUP(transakcje[[#This Row],[kategoria]],parametr[kategoria],parametr[typ])</f>
        <v>wydatki</v>
      </c>
      <c r="I3087" s="1">
        <f>ABS(transakcje[[#This Row],[kwota]])</f>
        <v>5.7700000000000005</v>
      </c>
    </row>
    <row r="3088" spans="1:9" x14ac:dyDescent="0.3">
      <c r="A3088">
        <v>3087</v>
      </c>
      <c r="B3088">
        <v>2020</v>
      </c>
      <c r="C3088">
        <v>5</v>
      </c>
      <c r="D3088">
        <v>1</v>
      </c>
      <c r="E3088" s="1">
        <v>-14.575999999999999</v>
      </c>
      <c r="F3088" t="s">
        <v>34</v>
      </c>
      <c r="G3088" t="str">
        <f>_xlfn.XLOOKUP(transakcje[[#This Row],[podkategoria]],parametr[podkategoria],parametr[kategoria])</f>
        <v>opłaty stałe</v>
      </c>
      <c r="H3088" t="str">
        <f>_xlfn.XLOOKUP(transakcje[[#This Row],[kategoria]],parametr[kategoria],parametr[typ])</f>
        <v>wydatki</v>
      </c>
      <c r="I3088" s="1">
        <f>ABS(transakcje[[#This Row],[kwota]])</f>
        <v>14.575999999999999</v>
      </c>
    </row>
    <row r="3089" spans="1:9" x14ac:dyDescent="0.3">
      <c r="A3089">
        <v>3088</v>
      </c>
      <c r="B3089">
        <v>2020</v>
      </c>
      <c r="C3089">
        <v>5</v>
      </c>
      <c r="D3089">
        <v>1</v>
      </c>
      <c r="E3089" s="1">
        <v>-5.8</v>
      </c>
      <c r="F3089" t="s">
        <v>25</v>
      </c>
      <c r="G3089" t="str">
        <f>_xlfn.XLOOKUP(transakcje[[#This Row],[podkategoria]],parametr[podkategoria],parametr[kategoria])</f>
        <v>opłaty stałe</v>
      </c>
      <c r="H3089" t="str">
        <f>_xlfn.XLOOKUP(transakcje[[#This Row],[kategoria]],parametr[kategoria],parametr[typ])</f>
        <v>wydatki</v>
      </c>
      <c r="I3089" s="1">
        <f>ABS(transakcje[[#This Row],[kwota]])</f>
        <v>5.8</v>
      </c>
    </row>
    <row r="3090" spans="1:9" x14ac:dyDescent="0.3">
      <c r="A3090">
        <v>3089</v>
      </c>
      <c r="B3090">
        <v>2020</v>
      </c>
      <c r="C3090">
        <v>5</v>
      </c>
      <c r="D3090">
        <v>1</v>
      </c>
      <c r="E3090" s="1">
        <v>-7.38</v>
      </c>
      <c r="F3090" t="s">
        <v>23</v>
      </c>
      <c r="G3090" t="str">
        <f>_xlfn.XLOOKUP(transakcje[[#This Row],[podkategoria]],parametr[podkategoria],parametr[kategoria])</f>
        <v>opłaty stałe</v>
      </c>
      <c r="H3090" t="str">
        <f>_xlfn.XLOOKUP(transakcje[[#This Row],[kategoria]],parametr[kategoria],parametr[typ])</f>
        <v>wydatki</v>
      </c>
      <c r="I3090" s="1">
        <f>ABS(transakcje[[#This Row],[kwota]])</f>
        <v>7.38</v>
      </c>
    </row>
    <row r="3091" spans="1:9" x14ac:dyDescent="0.3">
      <c r="A3091">
        <v>3090</v>
      </c>
      <c r="B3091">
        <v>2020</v>
      </c>
      <c r="C3091">
        <v>5</v>
      </c>
      <c r="D3091">
        <v>1</v>
      </c>
      <c r="E3091" s="1">
        <v>-73.955999999999989</v>
      </c>
      <c r="F3091" t="s">
        <v>31</v>
      </c>
      <c r="G3091" t="str">
        <f>_xlfn.XLOOKUP(transakcje[[#This Row],[podkategoria]],parametr[podkategoria],parametr[kategoria])</f>
        <v>opłaty stałe</v>
      </c>
      <c r="H3091" t="str">
        <f>_xlfn.XLOOKUP(transakcje[[#This Row],[kategoria]],parametr[kategoria],parametr[typ])</f>
        <v>wydatki</v>
      </c>
      <c r="I3091" s="1">
        <f>ABS(transakcje[[#This Row],[kwota]])</f>
        <v>73.955999999999989</v>
      </c>
    </row>
    <row r="3092" spans="1:9" x14ac:dyDescent="0.3">
      <c r="A3092">
        <v>3091</v>
      </c>
      <c r="B3092">
        <v>2020</v>
      </c>
      <c r="C3092">
        <v>5</v>
      </c>
      <c r="D3092">
        <v>4</v>
      </c>
      <c r="E3092" s="1">
        <v>-0.2</v>
      </c>
      <c r="F3092" t="s">
        <v>14</v>
      </c>
      <c r="G3092" t="str">
        <f>_xlfn.XLOOKUP(transakcje[[#This Row],[podkategoria]],parametr[podkategoria],parametr[kategoria])</f>
        <v>opłaty stałe</v>
      </c>
      <c r="H3092" t="str">
        <f>_xlfn.XLOOKUP(transakcje[[#This Row],[kategoria]],parametr[kategoria],parametr[typ])</f>
        <v>wydatki</v>
      </c>
      <c r="I3092" s="1">
        <f>ABS(transakcje[[#This Row],[kwota]])</f>
        <v>0.2</v>
      </c>
    </row>
    <row r="3093" spans="1:9" x14ac:dyDescent="0.3">
      <c r="A3093">
        <v>3092</v>
      </c>
      <c r="B3093">
        <v>2020</v>
      </c>
      <c r="C3093">
        <v>5</v>
      </c>
      <c r="D3093">
        <v>7</v>
      </c>
      <c r="E3093" s="1">
        <v>-1.556</v>
      </c>
      <c r="F3093" t="s">
        <v>26</v>
      </c>
      <c r="G3093" t="str">
        <f>_xlfn.XLOOKUP(transakcje[[#This Row],[podkategoria]],parametr[podkategoria],parametr[kategoria])</f>
        <v>życie</v>
      </c>
      <c r="H3093" t="str">
        <f>_xlfn.XLOOKUP(transakcje[[#This Row],[kategoria]],parametr[kategoria],parametr[typ])</f>
        <v>wydatki</v>
      </c>
      <c r="I3093" s="1">
        <f>ABS(transakcje[[#This Row],[kwota]])</f>
        <v>1.556</v>
      </c>
    </row>
    <row r="3094" spans="1:9" x14ac:dyDescent="0.3">
      <c r="A3094">
        <v>3093</v>
      </c>
      <c r="B3094">
        <v>2020</v>
      </c>
      <c r="C3094">
        <v>5</v>
      </c>
      <c r="D3094">
        <v>13</v>
      </c>
      <c r="E3094" s="1">
        <v>-13.63</v>
      </c>
      <c r="F3094" t="s">
        <v>26</v>
      </c>
      <c r="G3094" t="str">
        <f>_xlfn.XLOOKUP(transakcje[[#This Row],[podkategoria]],parametr[podkategoria],parametr[kategoria])</f>
        <v>życie</v>
      </c>
      <c r="H3094" t="str">
        <f>_xlfn.XLOOKUP(transakcje[[#This Row],[kategoria]],parametr[kategoria],parametr[typ])</f>
        <v>wydatki</v>
      </c>
      <c r="I3094" s="1">
        <f>ABS(transakcje[[#This Row],[kwota]])</f>
        <v>13.63</v>
      </c>
    </row>
    <row r="3095" spans="1:9" x14ac:dyDescent="0.3">
      <c r="A3095">
        <v>3094</v>
      </c>
      <c r="B3095">
        <v>2020</v>
      </c>
      <c r="C3095">
        <v>5</v>
      </c>
      <c r="D3095">
        <v>14</v>
      </c>
      <c r="E3095" s="1">
        <v>-0.65800000000000003</v>
      </c>
      <c r="F3095" t="s">
        <v>26</v>
      </c>
      <c r="G3095" t="str">
        <f>_xlfn.XLOOKUP(transakcje[[#This Row],[podkategoria]],parametr[podkategoria],parametr[kategoria])</f>
        <v>życie</v>
      </c>
      <c r="H3095" t="str">
        <f>_xlfn.XLOOKUP(transakcje[[#This Row],[kategoria]],parametr[kategoria],parametr[typ])</f>
        <v>wydatki</v>
      </c>
      <c r="I3095" s="1">
        <f>ABS(transakcje[[#This Row],[kwota]])</f>
        <v>0.65800000000000003</v>
      </c>
    </row>
    <row r="3096" spans="1:9" x14ac:dyDescent="0.3">
      <c r="A3096">
        <v>3095</v>
      </c>
      <c r="B3096">
        <v>2020</v>
      </c>
      <c r="C3096">
        <v>5</v>
      </c>
      <c r="D3096">
        <v>15</v>
      </c>
      <c r="E3096" s="1">
        <v>-0.32999999999999996</v>
      </c>
      <c r="F3096" t="s">
        <v>26</v>
      </c>
      <c r="G3096" t="str">
        <f>_xlfn.XLOOKUP(transakcje[[#This Row],[podkategoria]],parametr[podkategoria],parametr[kategoria])</f>
        <v>życie</v>
      </c>
      <c r="H3096" t="str">
        <f>_xlfn.XLOOKUP(transakcje[[#This Row],[kategoria]],parametr[kategoria],parametr[typ])</f>
        <v>wydatki</v>
      </c>
      <c r="I3096" s="1">
        <f>ABS(transakcje[[#This Row],[kwota]])</f>
        <v>0.32999999999999996</v>
      </c>
    </row>
    <row r="3097" spans="1:9" x14ac:dyDescent="0.3">
      <c r="A3097">
        <v>3096</v>
      </c>
      <c r="B3097">
        <v>2020</v>
      </c>
      <c r="C3097">
        <v>5</v>
      </c>
      <c r="D3097">
        <v>15</v>
      </c>
      <c r="E3097" s="1">
        <v>-0.45599999999999996</v>
      </c>
      <c r="F3097" t="s">
        <v>26</v>
      </c>
      <c r="G3097" t="str">
        <f>_xlfn.XLOOKUP(transakcje[[#This Row],[podkategoria]],parametr[podkategoria],parametr[kategoria])</f>
        <v>życie</v>
      </c>
      <c r="H3097" t="str">
        <f>_xlfn.XLOOKUP(transakcje[[#This Row],[kategoria]],parametr[kategoria],parametr[typ])</f>
        <v>wydatki</v>
      </c>
      <c r="I3097" s="1">
        <f>ABS(transakcje[[#This Row],[kwota]])</f>
        <v>0.45599999999999996</v>
      </c>
    </row>
    <row r="3098" spans="1:9" x14ac:dyDescent="0.3">
      <c r="A3098">
        <v>3097</v>
      </c>
      <c r="B3098">
        <v>2020</v>
      </c>
      <c r="C3098">
        <v>5</v>
      </c>
      <c r="D3098">
        <v>18</v>
      </c>
      <c r="E3098" s="1">
        <v>-8.1660000000000004</v>
      </c>
      <c r="F3098" t="s">
        <v>26</v>
      </c>
      <c r="G3098" t="str">
        <f>_xlfn.XLOOKUP(transakcje[[#This Row],[podkategoria]],parametr[podkategoria],parametr[kategoria])</f>
        <v>życie</v>
      </c>
      <c r="H3098" t="str">
        <f>_xlfn.XLOOKUP(transakcje[[#This Row],[kategoria]],parametr[kategoria],parametr[typ])</f>
        <v>wydatki</v>
      </c>
      <c r="I3098" s="1">
        <f>ABS(transakcje[[#This Row],[kwota]])</f>
        <v>8.1660000000000004</v>
      </c>
    </row>
    <row r="3099" spans="1:9" x14ac:dyDescent="0.3">
      <c r="A3099">
        <v>3098</v>
      </c>
      <c r="B3099">
        <v>2020</v>
      </c>
      <c r="C3099">
        <v>5</v>
      </c>
      <c r="D3099">
        <v>19</v>
      </c>
      <c r="E3099" s="1">
        <v>-19.8</v>
      </c>
      <c r="F3099" t="s">
        <v>32</v>
      </c>
      <c r="G3099" t="str">
        <f>_xlfn.XLOOKUP(transakcje[[#This Row],[podkategoria]],parametr[podkategoria],parametr[kategoria])</f>
        <v>opłaty stałe</v>
      </c>
      <c r="H3099" t="str">
        <f>_xlfn.XLOOKUP(transakcje[[#This Row],[kategoria]],parametr[kategoria],parametr[typ])</f>
        <v>wydatki</v>
      </c>
      <c r="I3099" s="1">
        <f>ABS(transakcje[[#This Row],[kwota]])</f>
        <v>19.8</v>
      </c>
    </row>
    <row r="3100" spans="1:9" x14ac:dyDescent="0.3">
      <c r="A3100">
        <v>3099</v>
      </c>
      <c r="B3100">
        <v>2020</v>
      </c>
      <c r="C3100">
        <v>5</v>
      </c>
      <c r="D3100">
        <v>19</v>
      </c>
      <c r="E3100" s="1">
        <v>-0.39800000000000002</v>
      </c>
      <c r="F3100" t="s">
        <v>14</v>
      </c>
      <c r="G3100" t="str">
        <f>_xlfn.XLOOKUP(transakcje[[#This Row],[podkategoria]],parametr[podkategoria],parametr[kategoria])</f>
        <v>opłaty stałe</v>
      </c>
      <c r="H3100" t="str">
        <f>_xlfn.XLOOKUP(transakcje[[#This Row],[kategoria]],parametr[kategoria],parametr[typ])</f>
        <v>wydatki</v>
      </c>
      <c r="I3100" s="1">
        <f>ABS(transakcje[[#This Row],[kwota]])</f>
        <v>0.39800000000000002</v>
      </c>
    </row>
    <row r="3101" spans="1:9" x14ac:dyDescent="0.3">
      <c r="A3101">
        <v>3100</v>
      </c>
      <c r="B3101">
        <v>2020</v>
      </c>
      <c r="C3101">
        <v>5</v>
      </c>
      <c r="D3101">
        <v>20</v>
      </c>
      <c r="E3101" s="1">
        <v>-1.046</v>
      </c>
      <c r="F3101" t="s">
        <v>26</v>
      </c>
      <c r="G3101" t="str">
        <f>_xlfn.XLOOKUP(transakcje[[#This Row],[podkategoria]],parametr[podkategoria],parametr[kategoria])</f>
        <v>życie</v>
      </c>
      <c r="H3101" t="str">
        <f>_xlfn.XLOOKUP(transakcje[[#This Row],[kategoria]],parametr[kategoria],parametr[typ])</f>
        <v>wydatki</v>
      </c>
      <c r="I3101" s="1">
        <f>ABS(transakcje[[#This Row],[kwota]])</f>
        <v>1.046</v>
      </c>
    </row>
    <row r="3102" spans="1:9" x14ac:dyDescent="0.3">
      <c r="A3102">
        <v>3101</v>
      </c>
      <c r="B3102">
        <v>2020</v>
      </c>
      <c r="C3102">
        <v>5</v>
      </c>
      <c r="D3102">
        <v>20</v>
      </c>
      <c r="E3102" s="1">
        <v>-0.43200000000000005</v>
      </c>
      <c r="F3102" t="s">
        <v>26</v>
      </c>
      <c r="G3102" t="str">
        <f>_xlfn.XLOOKUP(transakcje[[#This Row],[podkategoria]],parametr[podkategoria],parametr[kategoria])</f>
        <v>życie</v>
      </c>
      <c r="H3102" t="str">
        <f>_xlfn.XLOOKUP(transakcje[[#This Row],[kategoria]],parametr[kategoria],parametr[typ])</f>
        <v>wydatki</v>
      </c>
      <c r="I3102" s="1">
        <f>ABS(transakcje[[#This Row],[kwota]])</f>
        <v>0.43200000000000005</v>
      </c>
    </row>
    <row r="3103" spans="1:9" x14ac:dyDescent="0.3">
      <c r="A3103">
        <v>3102</v>
      </c>
      <c r="B3103">
        <v>2020</v>
      </c>
      <c r="C3103">
        <v>5</v>
      </c>
      <c r="D3103">
        <v>25</v>
      </c>
      <c r="E3103" s="1">
        <v>735.55</v>
      </c>
      <c r="F3103" t="s">
        <v>8</v>
      </c>
      <c r="G3103" t="str">
        <f>_xlfn.XLOOKUP(transakcje[[#This Row],[podkategoria]],parametr[podkategoria],parametr[kategoria])</f>
        <v>dochody z pracy</v>
      </c>
      <c r="H3103" t="str">
        <f>_xlfn.XLOOKUP(transakcje[[#This Row],[kategoria]],parametr[kategoria],parametr[typ])</f>
        <v>dochody</v>
      </c>
      <c r="I3103" s="1">
        <f>ABS(transakcje[[#This Row],[kwota]])</f>
        <v>735.55</v>
      </c>
    </row>
    <row r="3104" spans="1:9" x14ac:dyDescent="0.3">
      <c r="A3104">
        <v>3103</v>
      </c>
      <c r="B3104">
        <v>2020</v>
      </c>
      <c r="C3104">
        <v>5</v>
      </c>
      <c r="D3104">
        <v>29</v>
      </c>
      <c r="E3104" s="1">
        <v>-0.65800000000000003</v>
      </c>
      <c r="F3104" t="s">
        <v>26</v>
      </c>
      <c r="G3104" t="str">
        <f>_xlfn.XLOOKUP(transakcje[[#This Row],[podkategoria]],parametr[podkategoria],parametr[kategoria])</f>
        <v>życie</v>
      </c>
      <c r="H3104" t="str">
        <f>_xlfn.XLOOKUP(transakcje[[#This Row],[kategoria]],parametr[kategoria],parametr[typ])</f>
        <v>wydatki</v>
      </c>
      <c r="I3104" s="1">
        <f>ABS(transakcje[[#This Row],[kwota]])</f>
        <v>0.65800000000000003</v>
      </c>
    </row>
    <row r="3105" spans="1:9" x14ac:dyDescent="0.3">
      <c r="A3105">
        <v>3104</v>
      </c>
      <c r="B3105">
        <v>2020</v>
      </c>
      <c r="C3105">
        <v>5</v>
      </c>
      <c r="D3105">
        <v>29</v>
      </c>
      <c r="E3105" s="1">
        <v>-11.885999999999999</v>
      </c>
      <c r="F3105" t="s">
        <v>26</v>
      </c>
      <c r="G3105" t="str">
        <f>_xlfn.XLOOKUP(transakcje[[#This Row],[podkategoria]],parametr[podkategoria],parametr[kategoria])</f>
        <v>życie</v>
      </c>
      <c r="H3105" t="str">
        <f>_xlfn.XLOOKUP(transakcje[[#This Row],[kategoria]],parametr[kategoria],parametr[typ])</f>
        <v>wydatki</v>
      </c>
      <c r="I3105" s="1">
        <f>ABS(transakcje[[#This Row],[kwota]])</f>
        <v>11.885999999999999</v>
      </c>
    </row>
    <row r="3106" spans="1:9" x14ac:dyDescent="0.3">
      <c r="A3106">
        <v>3105</v>
      </c>
      <c r="B3106">
        <v>2020</v>
      </c>
      <c r="C3106">
        <v>5</v>
      </c>
      <c r="D3106">
        <v>30</v>
      </c>
      <c r="E3106" s="1">
        <v>-0.7</v>
      </c>
      <c r="F3106" t="s">
        <v>14</v>
      </c>
      <c r="G3106" t="str">
        <f>_xlfn.XLOOKUP(transakcje[[#This Row],[podkategoria]],parametr[podkategoria],parametr[kategoria])</f>
        <v>opłaty stałe</v>
      </c>
      <c r="H3106" t="str">
        <f>_xlfn.XLOOKUP(transakcje[[#This Row],[kategoria]],parametr[kategoria],parametr[typ])</f>
        <v>wydatki</v>
      </c>
      <c r="I3106" s="1">
        <f>ABS(transakcje[[#This Row],[kwota]])</f>
        <v>0.7</v>
      </c>
    </row>
    <row r="3107" spans="1:9" x14ac:dyDescent="0.3">
      <c r="A3107">
        <v>3106</v>
      </c>
      <c r="B3107">
        <v>2020</v>
      </c>
      <c r="C3107">
        <v>5</v>
      </c>
      <c r="D3107">
        <v>30</v>
      </c>
      <c r="E3107" s="1">
        <v>-1.3980000000000001</v>
      </c>
      <c r="F3107" t="s">
        <v>14</v>
      </c>
      <c r="G3107" t="str">
        <f>_xlfn.XLOOKUP(transakcje[[#This Row],[podkategoria]],parametr[podkategoria],parametr[kategoria])</f>
        <v>opłaty stałe</v>
      </c>
      <c r="H3107" t="str">
        <f>_xlfn.XLOOKUP(transakcje[[#This Row],[kategoria]],parametr[kategoria],parametr[typ])</f>
        <v>wydatki</v>
      </c>
      <c r="I3107" s="1">
        <f>ABS(transakcje[[#This Row],[kwota]])</f>
        <v>1.3980000000000001</v>
      </c>
    </row>
    <row r="3108" spans="1:9" x14ac:dyDescent="0.3">
      <c r="A3108">
        <v>3107</v>
      </c>
      <c r="B3108">
        <v>2020</v>
      </c>
      <c r="C3108">
        <v>5</v>
      </c>
      <c r="D3108">
        <v>30</v>
      </c>
      <c r="E3108" s="1">
        <v>2E-3</v>
      </c>
      <c r="F3108" t="s">
        <v>17</v>
      </c>
      <c r="G3108" t="str">
        <f>_xlfn.XLOOKUP(transakcje[[#This Row],[podkategoria]],parametr[podkategoria],parametr[kategoria])</f>
        <v>dochody pozostałe</v>
      </c>
      <c r="H3108" t="str">
        <f>_xlfn.XLOOKUP(transakcje[[#This Row],[kategoria]],parametr[kategoria],parametr[typ])</f>
        <v>dochody</v>
      </c>
      <c r="I3108" s="1">
        <f>ABS(transakcje[[#This Row],[kwota]])</f>
        <v>2E-3</v>
      </c>
    </row>
    <row r="3109" spans="1:9" x14ac:dyDescent="0.3">
      <c r="A3109">
        <v>3108</v>
      </c>
      <c r="B3109">
        <v>2020</v>
      </c>
      <c r="C3109">
        <v>5</v>
      </c>
      <c r="D3109">
        <v>30</v>
      </c>
      <c r="E3109" s="1">
        <v>-2E-3</v>
      </c>
      <c r="F3109" t="s">
        <v>14</v>
      </c>
      <c r="G3109" t="str">
        <f>_xlfn.XLOOKUP(transakcje[[#This Row],[podkategoria]],parametr[podkategoria],parametr[kategoria])</f>
        <v>opłaty stałe</v>
      </c>
      <c r="H3109" t="str">
        <f>_xlfn.XLOOKUP(transakcje[[#This Row],[kategoria]],parametr[kategoria],parametr[typ])</f>
        <v>wydatki</v>
      </c>
      <c r="I3109" s="1">
        <f>ABS(transakcje[[#This Row],[kwota]])</f>
        <v>2E-3</v>
      </c>
    </row>
    <row r="3110" spans="1:9" x14ac:dyDescent="0.3">
      <c r="A3110">
        <v>3109</v>
      </c>
      <c r="B3110">
        <v>2020</v>
      </c>
      <c r="C3110">
        <v>6</v>
      </c>
      <c r="D3110">
        <v>1</v>
      </c>
      <c r="E3110" s="1">
        <v>-4.54</v>
      </c>
      <c r="F3110" t="s">
        <v>37</v>
      </c>
      <c r="G3110" t="str">
        <f>_xlfn.XLOOKUP(transakcje[[#This Row],[podkategoria]],parametr[podkategoria],parametr[kategoria])</f>
        <v>opłaty stałe</v>
      </c>
      <c r="H3110" t="str">
        <f>_xlfn.XLOOKUP(transakcje[[#This Row],[kategoria]],parametr[kategoria],parametr[typ])</f>
        <v>wydatki</v>
      </c>
      <c r="I3110" s="1">
        <f>ABS(transakcje[[#This Row],[kwota]])</f>
        <v>4.54</v>
      </c>
    </row>
    <row r="3111" spans="1:9" x14ac:dyDescent="0.3">
      <c r="A3111">
        <v>3110</v>
      </c>
      <c r="B3111">
        <v>2020</v>
      </c>
      <c r="C3111">
        <v>6</v>
      </c>
      <c r="D3111">
        <v>1</v>
      </c>
      <c r="E3111" s="1">
        <v>-5.8</v>
      </c>
      <c r="F3111" t="s">
        <v>25</v>
      </c>
      <c r="G3111" t="str">
        <f>_xlfn.XLOOKUP(transakcje[[#This Row],[podkategoria]],parametr[podkategoria],parametr[kategoria])</f>
        <v>opłaty stałe</v>
      </c>
      <c r="H3111" t="str">
        <f>_xlfn.XLOOKUP(transakcje[[#This Row],[kategoria]],parametr[kategoria],parametr[typ])</f>
        <v>wydatki</v>
      </c>
      <c r="I3111" s="1">
        <f>ABS(transakcje[[#This Row],[kwota]])</f>
        <v>5.8</v>
      </c>
    </row>
    <row r="3112" spans="1:9" x14ac:dyDescent="0.3">
      <c r="A3112">
        <v>3111</v>
      </c>
      <c r="B3112">
        <v>2020</v>
      </c>
      <c r="C3112">
        <v>6</v>
      </c>
      <c r="D3112">
        <v>1</v>
      </c>
      <c r="E3112" s="1">
        <v>-7.38</v>
      </c>
      <c r="F3112" t="s">
        <v>23</v>
      </c>
      <c r="G3112" t="str">
        <f>_xlfn.XLOOKUP(transakcje[[#This Row],[podkategoria]],parametr[podkategoria],parametr[kategoria])</f>
        <v>opłaty stałe</v>
      </c>
      <c r="H3112" t="str">
        <f>_xlfn.XLOOKUP(transakcje[[#This Row],[kategoria]],parametr[kategoria],parametr[typ])</f>
        <v>wydatki</v>
      </c>
      <c r="I3112" s="1">
        <f>ABS(transakcje[[#This Row],[kwota]])</f>
        <v>7.38</v>
      </c>
    </row>
    <row r="3113" spans="1:9" x14ac:dyDescent="0.3">
      <c r="A3113">
        <v>3112</v>
      </c>
      <c r="B3113">
        <v>2020</v>
      </c>
      <c r="C3113">
        <v>6</v>
      </c>
      <c r="D3113">
        <v>1</v>
      </c>
      <c r="E3113" s="1">
        <v>-73.955999999999989</v>
      </c>
      <c r="F3113" t="s">
        <v>31</v>
      </c>
      <c r="G3113" t="str">
        <f>_xlfn.XLOOKUP(transakcje[[#This Row],[podkategoria]],parametr[podkategoria],parametr[kategoria])</f>
        <v>opłaty stałe</v>
      </c>
      <c r="H3113" t="str">
        <f>_xlfn.XLOOKUP(transakcje[[#This Row],[kategoria]],parametr[kategoria],parametr[typ])</f>
        <v>wydatki</v>
      </c>
      <c r="I3113" s="1">
        <f>ABS(transakcje[[#This Row],[kwota]])</f>
        <v>73.955999999999989</v>
      </c>
    </row>
    <row r="3114" spans="1:9" x14ac:dyDescent="0.3">
      <c r="A3114">
        <v>3113</v>
      </c>
      <c r="B3114">
        <v>2020</v>
      </c>
      <c r="C3114">
        <v>6</v>
      </c>
      <c r="D3114">
        <v>2</v>
      </c>
      <c r="E3114" s="1">
        <v>-0.16</v>
      </c>
      <c r="F3114" t="s">
        <v>14</v>
      </c>
      <c r="G3114" t="str">
        <f>_xlfn.XLOOKUP(transakcje[[#This Row],[podkategoria]],parametr[podkategoria],parametr[kategoria])</f>
        <v>opłaty stałe</v>
      </c>
      <c r="H3114" t="str">
        <f>_xlfn.XLOOKUP(transakcje[[#This Row],[kategoria]],parametr[kategoria],parametr[typ])</f>
        <v>wydatki</v>
      </c>
      <c r="I3114" s="1">
        <f>ABS(transakcje[[#This Row],[kwota]])</f>
        <v>0.16</v>
      </c>
    </row>
    <row r="3115" spans="1:9" x14ac:dyDescent="0.3">
      <c r="A3115">
        <v>3114</v>
      </c>
      <c r="B3115">
        <v>2020</v>
      </c>
      <c r="C3115">
        <v>6</v>
      </c>
      <c r="D3115">
        <v>3</v>
      </c>
      <c r="E3115" s="1">
        <v>-12.263999999999999</v>
      </c>
      <c r="F3115" t="s">
        <v>26</v>
      </c>
      <c r="G3115" t="str">
        <f>_xlfn.XLOOKUP(transakcje[[#This Row],[podkategoria]],parametr[podkategoria],parametr[kategoria])</f>
        <v>życie</v>
      </c>
      <c r="H3115" t="str">
        <f>_xlfn.XLOOKUP(transakcje[[#This Row],[kategoria]],parametr[kategoria],parametr[typ])</f>
        <v>wydatki</v>
      </c>
      <c r="I3115" s="1">
        <f>ABS(transakcje[[#This Row],[kwota]])</f>
        <v>12.263999999999999</v>
      </c>
    </row>
    <row r="3116" spans="1:9" x14ac:dyDescent="0.3">
      <c r="A3116">
        <v>3115</v>
      </c>
      <c r="B3116">
        <v>2020</v>
      </c>
      <c r="C3116">
        <v>6</v>
      </c>
      <c r="D3116">
        <v>3</v>
      </c>
      <c r="E3116" s="1">
        <v>-1.3160000000000001</v>
      </c>
      <c r="F3116" t="s">
        <v>26</v>
      </c>
      <c r="G3116" t="str">
        <f>_xlfn.XLOOKUP(transakcje[[#This Row],[podkategoria]],parametr[podkategoria],parametr[kategoria])</f>
        <v>życie</v>
      </c>
      <c r="H3116" t="str">
        <f>_xlfn.XLOOKUP(transakcje[[#This Row],[kategoria]],parametr[kategoria],parametr[typ])</f>
        <v>wydatki</v>
      </c>
      <c r="I3116" s="1">
        <f>ABS(transakcje[[#This Row],[kwota]])</f>
        <v>1.3160000000000001</v>
      </c>
    </row>
    <row r="3117" spans="1:9" x14ac:dyDescent="0.3">
      <c r="A3117">
        <v>3116</v>
      </c>
      <c r="B3117">
        <v>2020</v>
      </c>
      <c r="C3117">
        <v>6</v>
      </c>
      <c r="D3117">
        <v>7</v>
      </c>
      <c r="E3117" s="1">
        <v>-6.5959999999999992</v>
      </c>
      <c r="F3117" t="s">
        <v>26</v>
      </c>
      <c r="G3117" t="str">
        <f>_xlfn.XLOOKUP(transakcje[[#This Row],[podkategoria]],parametr[podkategoria],parametr[kategoria])</f>
        <v>życie</v>
      </c>
      <c r="H3117" t="str">
        <f>_xlfn.XLOOKUP(transakcje[[#This Row],[kategoria]],parametr[kategoria],parametr[typ])</f>
        <v>wydatki</v>
      </c>
      <c r="I3117" s="1">
        <f>ABS(transakcje[[#This Row],[kwota]])</f>
        <v>6.5959999999999992</v>
      </c>
    </row>
    <row r="3118" spans="1:9" x14ac:dyDescent="0.3">
      <c r="A3118">
        <v>3117</v>
      </c>
      <c r="B3118">
        <v>2020</v>
      </c>
      <c r="C3118">
        <v>6</v>
      </c>
      <c r="D3118">
        <v>8</v>
      </c>
      <c r="E3118" s="1">
        <v>-0.65800000000000003</v>
      </c>
      <c r="F3118" t="s">
        <v>26</v>
      </c>
      <c r="G3118" t="str">
        <f>_xlfn.XLOOKUP(transakcje[[#This Row],[podkategoria]],parametr[podkategoria],parametr[kategoria])</f>
        <v>życie</v>
      </c>
      <c r="H3118" t="str">
        <f>_xlfn.XLOOKUP(transakcje[[#This Row],[kategoria]],parametr[kategoria],parametr[typ])</f>
        <v>wydatki</v>
      </c>
      <c r="I3118" s="1">
        <f>ABS(transakcje[[#This Row],[kwota]])</f>
        <v>0.65800000000000003</v>
      </c>
    </row>
    <row r="3119" spans="1:9" x14ac:dyDescent="0.3">
      <c r="A3119">
        <v>3118</v>
      </c>
      <c r="B3119">
        <v>2020</v>
      </c>
      <c r="C3119">
        <v>6</v>
      </c>
      <c r="D3119">
        <v>10</v>
      </c>
      <c r="E3119" s="1">
        <v>735.55</v>
      </c>
      <c r="F3119" t="s">
        <v>8</v>
      </c>
      <c r="G3119" t="str">
        <f>_xlfn.XLOOKUP(transakcje[[#This Row],[podkategoria]],parametr[podkategoria],parametr[kategoria])</f>
        <v>dochody z pracy</v>
      </c>
      <c r="H3119" t="str">
        <f>_xlfn.XLOOKUP(transakcje[[#This Row],[kategoria]],parametr[kategoria],parametr[typ])</f>
        <v>dochody</v>
      </c>
      <c r="I3119" s="1">
        <f>ABS(transakcje[[#This Row],[kwota]])</f>
        <v>735.55</v>
      </c>
    </row>
    <row r="3120" spans="1:9" x14ac:dyDescent="0.3">
      <c r="A3120">
        <v>3119</v>
      </c>
      <c r="B3120">
        <v>2020</v>
      </c>
      <c r="C3120">
        <v>6</v>
      </c>
      <c r="D3120">
        <v>12</v>
      </c>
      <c r="E3120" s="1">
        <v>-3.3340000000000005</v>
      </c>
      <c r="F3120" t="s">
        <v>26</v>
      </c>
      <c r="G3120" t="str">
        <f>_xlfn.XLOOKUP(transakcje[[#This Row],[podkategoria]],parametr[podkategoria],parametr[kategoria])</f>
        <v>życie</v>
      </c>
      <c r="H3120" t="str">
        <f>_xlfn.XLOOKUP(transakcje[[#This Row],[kategoria]],parametr[kategoria],parametr[typ])</f>
        <v>wydatki</v>
      </c>
      <c r="I3120" s="1">
        <f>ABS(transakcje[[#This Row],[kwota]])</f>
        <v>3.3340000000000005</v>
      </c>
    </row>
    <row r="3121" spans="1:9" x14ac:dyDescent="0.3">
      <c r="A3121">
        <v>3120</v>
      </c>
      <c r="B3121">
        <v>2020</v>
      </c>
      <c r="C3121">
        <v>6</v>
      </c>
      <c r="D3121">
        <v>12</v>
      </c>
      <c r="E3121" s="1">
        <v>-4.6379999999999999</v>
      </c>
      <c r="F3121" t="s">
        <v>26</v>
      </c>
      <c r="G3121" t="str">
        <f>_xlfn.XLOOKUP(transakcje[[#This Row],[podkategoria]],parametr[podkategoria],parametr[kategoria])</f>
        <v>życie</v>
      </c>
      <c r="H3121" t="str">
        <f>_xlfn.XLOOKUP(transakcje[[#This Row],[kategoria]],parametr[kategoria],parametr[typ])</f>
        <v>wydatki</v>
      </c>
      <c r="I3121" s="1">
        <f>ABS(transakcje[[#This Row],[kwota]])</f>
        <v>4.6379999999999999</v>
      </c>
    </row>
    <row r="3122" spans="1:9" x14ac:dyDescent="0.3">
      <c r="A3122">
        <v>3121</v>
      </c>
      <c r="B3122">
        <v>2020</v>
      </c>
      <c r="C3122">
        <v>6</v>
      </c>
      <c r="D3122">
        <v>12</v>
      </c>
      <c r="E3122" s="1">
        <v>-0.65800000000000003</v>
      </c>
      <c r="F3122" t="s">
        <v>26</v>
      </c>
      <c r="G3122" t="str">
        <f>_xlfn.XLOOKUP(transakcje[[#This Row],[podkategoria]],parametr[podkategoria],parametr[kategoria])</f>
        <v>życie</v>
      </c>
      <c r="H3122" t="str">
        <f>_xlfn.XLOOKUP(transakcje[[#This Row],[kategoria]],parametr[kategoria],parametr[typ])</f>
        <v>wydatki</v>
      </c>
      <c r="I3122" s="1">
        <f>ABS(transakcje[[#This Row],[kwota]])</f>
        <v>0.65800000000000003</v>
      </c>
    </row>
    <row r="3123" spans="1:9" x14ac:dyDescent="0.3">
      <c r="A3123">
        <v>3122</v>
      </c>
      <c r="B3123">
        <v>2020</v>
      </c>
      <c r="C3123">
        <v>6</v>
      </c>
      <c r="D3123">
        <v>12</v>
      </c>
      <c r="E3123" s="1">
        <v>-11.45</v>
      </c>
      <c r="F3123" t="s">
        <v>26</v>
      </c>
      <c r="G3123" t="str">
        <f>_xlfn.XLOOKUP(transakcje[[#This Row],[podkategoria]],parametr[podkategoria],parametr[kategoria])</f>
        <v>życie</v>
      </c>
      <c r="H3123" t="str">
        <f>_xlfn.XLOOKUP(transakcje[[#This Row],[kategoria]],parametr[kategoria],parametr[typ])</f>
        <v>wydatki</v>
      </c>
      <c r="I3123" s="1">
        <f>ABS(transakcje[[#This Row],[kwota]])</f>
        <v>11.45</v>
      </c>
    </row>
    <row r="3124" spans="1:9" x14ac:dyDescent="0.3">
      <c r="A3124">
        <v>3123</v>
      </c>
      <c r="B3124">
        <v>2020</v>
      </c>
      <c r="C3124">
        <v>6</v>
      </c>
      <c r="D3124">
        <v>15</v>
      </c>
      <c r="E3124" s="1">
        <v>-2.4</v>
      </c>
      <c r="F3124" t="s">
        <v>26</v>
      </c>
      <c r="G3124" t="str">
        <f>_xlfn.XLOOKUP(transakcje[[#This Row],[podkategoria]],parametr[podkategoria],parametr[kategoria])</f>
        <v>życie</v>
      </c>
      <c r="H3124" t="str">
        <f>_xlfn.XLOOKUP(transakcje[[#This Row],[kategoria]],parametr[kategoria],parametr[typ])</f>
        <v>wydatki</v>
      </c>
      <c r="I3124" s="1">
        <f>ABS(transakcje[[#This Row],[kwota]])</f>
        <v>2.4</v>
      </c>
    </row>
    <row r="3125" spans="1:9" x14ac:dyDescent="0.3">
      <c r="A3125">
        <v>3124</v>
      </c>
      <c r="B3125">
        <v>2020</v>
      </c>
      <c r="C3125">
        <v>6</v>
      </c>
      <c r="D3125">
        <v>16</v>
      </c>
      <c r="E3125" s="1">
        <v>-6.9879999999999995</v>
      </c>
      <c r="F3125" t="s">
        <v>26</v>
      </c>
      <c r="G3125" t="str">
        <f>_xlfn.XLOOKUP(transakcje[[#This Row],[podkategoria]],parametr[podkategoria],parametr[kategoria])</f>
        <v>życie</v>
      </c>
      <c r="H3125" t="str">
        <f>_xlfn.XLOOKUP(transakcje[[#This Row],[kategoria]],parametr[kategoria],parametr[typ])</f>
        <v>wydatki</v>
      </c>
      <c r="I3125" s="1">
        <f>ABS(transakcje[[#This Row],[kwota]])</f>
        <v>6.9879999999999995</v>
      </c>
    </row>
    <row r="3126" spans="1:9" x14ac:dyDescent="0.3">
      <c r="A3126">
        <v>3125</v>
      </c>
      <c r="B3126">
        <v>2020</v>
      </c>
      <c r="C3126">
        <v>6</v>
      </c>
      <c r="D3126">
        <v>16</v>
      </c>
      <c r="E3126" s="1">
        <v>-0.65800000000000003</v>
      </c>
      <c r="F3126" t="s">
        <v>26</v>
      </c>
      <c r="G3126" t="str">
        <f>_xlfn.XLOOKUP(transakcje[[#This Row],[podkategoria]],parametr[podkategoria],parametr[kategoria])</f>
        <v>życie</v>
      </c>
      <c r="H3126" t="str">
        <f>_xlfn.XLOOKUP(transakcje[[#This Row],[kategoria]],parametr[kategoria],parametr[typ])</f>
        <v>wydatki</v>
      </c>
      <c r="I3126" s="1">
        <f>ABS(transakcje[[#This Row],[kwota]])</f>
        <v>0.65800000000000003</v>
      </c>
    </row>
    <row r="3127" spans="1:9" x14ac:dyDescent="0.3">
      <c r="A3127">
        <v>3126</v>
      </c>
      <c r="B3127">
        <v>2020</v>
      </c>
      <c r="C3127">
        <v>6</v>
      </c>
      <c r="D3127">
        <v>18</v>
      </c>
      <c r="E3127" s="1">
        <v>-9.5440000000000005</v>
      </c>
      <c r="F3127" t="s">
        <v>26</v>
      </c>
      <c r="G3127" t="str">
        <f>_xlfn.XLOOKUP(transakcje[[#This Row],[podkategoria]],parametr[podkategoria],parametr[kategoria])</f>
        <v>życie</v>
      </c>
      <c r="H3127" t="str">
        <f>_xlfn.XLOOKUP(transakcje[[#This Row],[kategoria]],parametr[kategoria],parametr[typ])</f>
        <v>wydatki</v>
      </c>
      <c r="I3127" s="1">
        <f>ABS(transakcje[[#This Row],[kwota]])</f>
        <v>9.5440000000000005</v>
      </c>
    </row>
    <row r="3128" spans="1:9" x14ac:dyDescent="0.3">
      <c r="A3128">
        <v>3127</v>
      </c>
      <c r="B3128">
        <v>2020</v>
      </c>
      <c r="C3128">
        <v>6</v>
      </c>
      <c r="D3128">
        <v>18</v>
      </c>
      <c r="E3128" s="1">
        <v>-0.39800000000000002</v>
      </c>
      <c r="F3128" t="s">
        <v>14</v>
      </c>
      <c r="G3128" t="str">
        <f>_xlfn.XLOOKUP(transakcje[[#This Row],[podkategoria]],parametr[podkategoria],parametr[kategoria])</f>
        <v>opłaty stałe</v>
      </c>
      <c r="H3128" t="str">
        <f>_xlfn.XLOOKUP(transakcje[[#This Row],[kategoria]],parametr[kategoria],parametr[typ])</f>
        <v>wydatki</v>
      </c>
      <c r="I3128" s="1">
        <f>ABS(transakcje[[#This Row],[kwota]])</f>
        <v>0.39800000000000002</v>
      </c>
    </row>
    <row r="3129" spans="1:9" x14ac:dyDescent="0.3">
      <c r="A3129">
        <v>3128</v>
      </c>
      <c r="B3129">
        <v>2020</v>
      </c>
      <c r="C3129">
        <v>6</v>
      </c>
      <c r="D3129">
        <v>19</v>
      </c>
      <c r="E3129" s="1">
        <v>-0.65800000000000003</v>
      </c>
      <c r="F3129" t="s">
        <v>26</v>
      </c>
      <c r="G3129" t="str">
        <f>_xlfn.XLOOKUP(transakcje[[#This Row],[podkategoria]],parametr[podkategoria],parametr[kategoria])</f>
        <v>życie</v>
      </c>
      <c r="H3129" t="str">
        <f>_xlfn.XLOOKUP(transakcje[[#This Row],[kategoria]],parametr[kategoria],parametr[typ])</f>
        <v>wydatki</v>
      </c>
      <c r="I3129" s="1">
        <f>ABS(transakcje[[#This Row],[kwota]])</f>
        <v>0.65800000000000003</v>
      </c>
    </row>
    <row r="3130" spans="1:9" x14ac:dyDescent="0.3">
      <c r="A3130">
        <v>3129</v>
      </c>
      <c r="B3130">
        <v>2020</v>
      </c>
      <c r="C3130">
        <v>6</v>
      </c>
      <c r="D3130">
        <v>20</v>
      </c>
      <c r="E3130" s="1">
        <v>-231.6</v>
      </c>
      <c r="F3130" t="s">
        <v>33</v>
      </c>
      <c r="G3130" t="str">
        <f>_xlfn.XLOOKUP(transakcje[[#This Row],[podkategoria]],parametr[podkategoria],parametr[kategoria])</f>
        <v>trwałe</v>
      </c>
      <c r="H3130" t="str">
        <f>_xlfn.XLOOKUP(transakcje[[#This Row],[kategoria]],parametr[kategoria],parametr[typ])</f>
        <v>wydatki</v>
      </c>
      <c r="I3130" s="1">
        <f>ABS(transakcje[[#This Row],[kwota]])</f>
        <v>231.6</v>
      </c>
    </row>
    <row r="3131" spans="1:9" x14ac:dyDescent="0.3">
      <c r="A3131">
        <v>3130</v>
      </c>
      <c r="B3131">
        <v>2020</v>
      </c>
      <c r="C3131">
        <v>6</v>
      </c>
      <c r="D3131">
        <v>22</v>
      </c>
      <c r="E3131" s="1">
        <v>-0.32999999999999996</v>
      </c>
      <c r="F3131" t="s">
        <v>26</v>
      </c>
      <c r="G3131" t="str">
        <f>_xlfn.XLOOKUP(transakcje[[#This Row],[podkategoria]],parametr[podkategoria],parametr[kategoria])</f>
        <v>życie</v>
      </c>
      <c r="H3131" t="str">
        <f>_xlfn.XLOOKUP(transakcje[[#This Row],[kategoria]],parametr[kategoria],parametr[typ])</f>
        <v>wydatki</v>
      </c>
      <c r="I3131" s="1">
        <f>ABS(transakcje[[#This Row],[kwota]])</f>
        <v>0.32999999999999996</v>
      </c>
    </row>
    <row r="3132" spans="1:9" x14ac:dyDescent="0.3">
      <c r="A3132">
        <v>3131</v>
      </c>
      <c r="B3132">
        <v>2020</v>
      </c>
      <c r="C3132">
        <v>6</v>
      </c>
      <c r="D3132">
        <v>24</v>
      </c>
      <c r="E3132" s="1">
        <v>-6.36</v>
      </c>
      <c r="F3132" t="s">
        <v>11</v>
      </c>
      <c r="G3132" t="str">
        <f>_xlfn.XLOOKUP(transakcje[[#This Row],[podkategoria]],parametr[podkategoria],parametr[kategoria])</f>
        <v>wydatki inne</v>
      </c>
      <c r="H3132" t="str">
        <f>_xlfn.XLOOKUP(transakcje[[#This Row],[kategoria]],parametr[kategoria],parametr[typ])</f>
        <v>wydatki</v>
      </c>
      <c r="I3132" s="1">
        <f>ABS(transakcje[[#This Row],[kwota]])</f>
        <v>6.36</v>
      </c>
    </row>
    <row r="3133" spans="1:9" x14ac:dyDescent="0.3">
      <c r="A3133">
        <v>3132</v>
      </c>
      <c r="B3133">
        <v>2020</v>
      </c>
      <c r="C3133">
        <v>6</v>
      </c>
      <c r="D3133">
        <v>25</v>
      </c>
      <c r="E3133" s="1">
        <v>-8.516</v>
      </c>
      <c r="F3133" t="s">
        <v>26</v>
      </c>
      <c r="G3133" t="str">
        <f>_xlfn.XLOOKUP(transakcje[[#This Row],[podkategoria]],parametr[podkategoria],parametr[kategoria])</f>
        <v>życie</v>
      </c>
      <c r="H3133" t="str">
        <f>_xlfn.XLOOKUP(transakcje[[#This Row],[kategoria]],parametr[kategoria],parametr[typ])</f>
        <v>wydatki</v>
      </c>
      <c r="I3133" s="1">
        <f>ABS(transakcje[[#This Row],[kwota]])</f>
        <v>8.516</v>
      </c>
    </row>
    <row r="3134" spans="1:9" x14ac:dyDescent="0.3">
      <c r="A3134">
        <v>3133</v>
      </c>
      <c r="B3134">
        <v>2020</v>
      </c>
      <c r="C3134">
        <v>6</v>
      </c>
      <c r="D3134">
        <v>26</v>
      </c>
      <c r="E3134" s="1">
        <v>-20</v>
      </c>
      <c r="F3134" t="s">
        <v>32</v>
      </c>
      <c r="G3134" t="str">
        <f>_xlfn.XLOOKUP(transakcje[[#This Row],[podkategoria]],parametr[podkategoria],parametr[kategoria])</f>
        <v>opłaty stałe</v>
      </c>
      <c r="H3134" t="str">
        <f>_xlfn.XLOOKUP(transakcje[[#This Row],[kategoria]],parametr[kategoria],parametr[typ])</f>
        <v>wydatki</v>
      </c>
      <c r="I3134" s="1">
        <f>ABS(transakcje[[#This Row],[kwota]])</f>
        <v>20</v>
      </c>
    </row>
    <row r="3135" spans="1:9" x14ac:dyDescent="0.3">
      <c r="A3135">
        <v>3134</v>
      </c>
      <c r="B3135">
        <v>2020</v>
      </c>
      <c r="C3135">
        <v>6</v>
      </c>
      <c r="D3135">
        <v>26</v>
      </c>
      <c r="E3135" s="1">
        <v>-0.65800000000000003</v>
      </c>
      <c r="F3135" t="s">
        <v>26</v>
      </c>
      <c r="G3135" t="str">
        <f>_xlfn.XLOOKUP(transakcje[[#This Row],[podkategoria]],parametr[podkategoria],parametr[kategoria])</f>
        <v>życie</v>
      </c>
      <c r="H3135" t="str">
        <f>_xlfn.XLOOKUP(transakcje[[#This Row],[kategoria]],parametr[kategoria],parametr[typ])</f>
        <v>wydatki</v>
      </c>
      <c r="I3135" s="1">
        <f>ABS(transakcje[[#This Row],[kwota]])</f>
        <v>0.65800000000000003</v>
      </c>
    </row>
    <row r="3136" spans="1:9" x14ac:dyDescent="0.3">
      <c r="A3136">
        <v>3135</v>
      </c>
      <c r="B3136">
        <v>2020</v>
      </c>
      <c r="C3136">
        <v>6</v>
      </c>
      <c r="D3136">
        <v>30</v>
      </c>
      <c r="E3136" s="1">
        <v>-2E-3</v>
      </c>
      <c r="F3136" t="s">
        <v>14</v>
      </c>
      <c r="G3136" t="str">
        <f>_xlfn.XLOOKUP(transakcje[[#This Row],[podkategoria]],parametr[podkategoria],parametr[kategoria])</f>
        <v>opłaty stałe</v>
      </c>
      <c r="H3136" t="str">
        <f>_xlfn.XLOOKUP(transakcje[[#This Row],[kategoria]],parametr[kategoria],parametr[typ])</f>
        <v>wydatki</v>
      </c>
      <c r="I3136" s="1">
        <f>ABS(transakcje[[#This Row],[kwota]])</f>
        <v>2E-3</v>
      </c>
    </row>
    <row r="3137" spans="1:9" x14ac:dyDescent="0.3">
      <c r="A3137">
        <v>3136</v>
      </c>
      <c r="B3137">
        <v>2020</v>
      </c>
      <c r="C3137">
        <v>6</v>
      </c>
      <c r="D3137">
        <v>30</v>
      </c>
      <c r="E3137" s="1">
        <v>-1.3980000000000001</v>
      </c>
      <c r="F3137" t="s">
        <v>14</v>
      </c>
      <c r="G3137" t="str">
        <f>_xlfn.XLOOKUP(transakcje[[#This Row],[podkategoria]],parametr[podkategoria],parametr[kategoria])</f>
        <v>opłaty stałe</v>
      </c>
      <c r="H3137" t="str">
        <f>_xlfn.XLOOKUP(transakcje[[#This Row],[kategoria]],parametr[kategoria],parametr[typ])</f>
        <v>wydatki</v>
      </c>
      <c r="I3137" s="1">
        <f>ABS(transakcje[[#This Row],[kwota]])</f>
        <v>1.3980000000000001</v>
      </c>
    </row>
    <row r="3138" spans="1:9" x14ac:dyDescent="0.3">
      <c r="A3138">
        <v>3137</v>
      </c>
      <c r="B3138">
        <v>2020</v>
      </c>
      <c r="C3138">
        <v>6</v>
      </c>
      <c r="D3138">
        <v>30</v>
      </c>
      <c r="E3138" s="1">
        <v>6.0000000000000001E-3</v>
      </c>
      <c r="F3138" t="s">
        <v>17</v>
      </c>
      <c r="G3138" t="str">
        <f>_xlfn.XLOOKUP(transakcje[[#This Row],[podkategoria]],parametr[podkategoria],parametr[kategoria])</f>
        <v>dochody pozostałe</v>
      </c>
      <c r="H3138" t="str">
        <f>_xlfn.XLOOKUP(transakcje[[#This Row],[kategoria]],parametr[kategoria],parametr[typ])</f>
        <v>dochody</v>
      </c>
      <c r="I3138" s="1">
        <f>ABS(transakcje[[#This Row],[kwota]])</f>
        <v>6.0000000000000001E-3</v>
      </c>
    </row>
    <row r="3139" spans="1:9" x14ac:dyDescent="0.3">
      <c r="A3139">
        <v>3138</v>
      </c>
      <c r="B3139">
        <v>2020</v>
      </c>
      <c r="C3139">
        <v>6</v>
      </c>
      <c r="D3139">
        <v>30</v>
      </c>
      <c r="E3139" s="1">
        <v>-0.4</v>
      </c>
      <c r="F3139" t="s">
        <v>14</v>
      </c>
      <c r="G3139" t="str">
        <f>_xlfn.XLOOKUP(transakcje[[#This Row],[podkategoria]],parametr[podkategoria],parametr[kategoria])</f>
        <v>opłaty stałe</v>
      </c>
      <c r="H3139" t="str">
        <f>_xlfn.XLOOKUP(transakcje[[#This Row],[kategoria]],parametr[kategoria],parametr[typ])</f>
        <v>wydatki</v>
      </c>
      <c r="I3139" s="1">
        <f>ABS(transakcje[[#This Row],[kwota]])</f>
        <v>0.4</v>
      </c>
    </row>
    <row r="3140" spans="1:9" x14ac:dyDescent="0.3">
      <c r="A3140">
        <v>3139</v>
      </c>
      <c r="B3140">
        <v>2020</v>
      </c>
      <c r="C3140">
        <v>7</v>
      </c>
      <c r="D3140">
        <v>1</v>
      </c>
      <c r="E3140" s="1">
        <v>-0.65800000000000003</v>
      </c>
      <c r="F3140" t="s">
        <v>26</v>
      </c>
      <c r="G3140" t="str">
        <f>_xlfn.XLOOKUP(transakcje[[#This Row],[podkategoria]],parametr[podkategoria],parametr[kategoria])</f>
        <v>życie</v>
      </c>
      <c r="H3140" t="str">
        <f>_xlfn.XLOOKUP(transakcje[[#This Row],[kategoria]],parametr[kategoria],parametr[typ])</f>
        <v>wydatki</v>
      </c>
      <c r="I3140" s="1">
        <f>ABS(transakcje[[#This Row],[kwota]])</f>
        <v>0.65800000000000003</v>
      </c>
    </row>
    <row r="3141" spans="1:9" x14ac:dyDescent="0.3">
      <c r="A3141">
        <v>3140</v>
      </c>
      <c r="B3141">
        <v>2020</v>
      </c>
      <c r="C3141">
        <v>7</v>
      </c>
      <c r="D3141">
        <v>1</v>
      </c>
      <c r="E3141" s="1">
        <v>-8.395999999999999</v>
      </c>
      <c r="F3141" t="s">
        <v>26</v>
      </c>
      <c r="G3141" t="str">
        <f>_xlfn.XLOOKUP(transakcje[[#This Row],[podkategoria]],parametr[podkategoria],parametr[kategoria])</f>
        <v>życie</v>
      </c>
      <c r="H3141" t="str">
        <f>_xlfn.XLOOKUP(transakcje[[#This Row],[kategoria]],parametr[kategoria],parametr[typ])</f>
        <v>wydatki</v>
      </c>
      <c r="I3141" s="1">
        <f>ABS(transakcje[[#This Row],[kwota]])</f>
        <v>8.395999999999999</v>
      </c>
    </row>
    <row r="3142" spans="1:9" x14ac:dyDescent="0.3">
      <c r="A3142">
        <v>3141</v>
      </c>
      <c r="B3142">
        <v>2020</v>
      </c>
      <c r="C3142">
        <v>7</v>
      </c>
      <c r="D3142">
        <v>2</v>
      </c>
      <c r="E3142" s="1">
        <v>-20</v>
      </c>
      <c r="F3142" t="s">
        <v>26</v>
      </c>
      <c r="G3142" t="str">
        <f>_xlfn.XLOOKUP(transakcje[[#This Row],[podkategoria]],parametr[podkategoria],parametr[kategoria])</f>
        <v>życie</v>
      </c>
      <c r="H3142" t="str">
        <f>_xlfn.XLOOKUP(transakcje[[#This Row],[kategoria]],parametr[kategoria],parametr[typ])</f>
        <v>wydatki</v>
      </c>
      <c r="I3142" s="1">
        <f>ABS(transakcje[[#This Row],[kwota]])</f>
        <v>20</v>
      </c>
    </row>
    <row r="3143" spans="1:9" x14ac:dyDescent="0.3">
      <c r="A3143">
        <v>3142</v>
      </c>
      <c r="B3143">
        <v>2020</v>
      </c>
      <c r="C3143">
        <v>7</v>
      </c>
      <c r="D3143">
        <v>2</v>
      </c>
      <c r="E3143" s="1">
        <v>-1.798</v>
      </c>
      <c r="F3143" t="s">
        <v>26</v>
      </c>
      <c r="G3143" t="str">
        <f>_xlfn.XLOOKUP(transakcje[[#This Row],[podkategoria]],parametr[podkategoria],parametr[kategoria])</f>
        <v>życie</v>
      </c>
      <c r="H3143" t="str">
        <f>_xlfn.XLOOKUP(transakcje[[#This Row],[kategoria]],parametr[kategoria],parametr[typ])</f>
        <v>wydatki</v>
      </c>
      <c r="I3143" s="1">
        <f>ABS(transakcje[[#This Row],[kwota]])</f>
        <v>1.798</v>
      </c>
    </row>
    <row r="3144" spans="1:9" x14ac:dyDescent="0.3">
      <c r="A3144">
        <v>3143</v>
      </c>
      <c r="B3144">
        <v>2020</v>
      </c>
      <c r="C3144">
        <v>7</v>
      </c>
      <c r="D3144">
        <v>3</v>
      </c>
      <c r="E3144" s="1">
        <v>-7.0640000000000001</v>
      </c>
      <c r="F3144" t="s">
        <v>35</v>
      </c>
      <c r="G3144" t="str">
        <f>_xlfn.XLOOKUP(transakcje[[#This Row],[podkategoria]],parametr[podkategoria],parametr[kategoria])</f>
        <v>opłaty stałe</v>
      </c>
      <c r="H3144" t="str">
        <f>_xlfn.XLOOKUP(transakcje[[#This Row],[kategoria]],parametr[kategoria],parametr[typ])</f>
        <v>wydatki</v>
      </c>
      <c r="I3144" s="1">
        <f>ABS(transakcje[[#This Row],[kwota]])</f>
        <v>7.0640000000000001</v>
      </c>
    </row>
    <row r="3145" spans="1:9" x14ac:dyDescent="0.3">
      <c r="A3145">
        <v>3144</v>
      </c>
      <c r="B3145">
        <v>2020</v>
      </c>
      <c r="C3145">
        <v>7</v>
      </c>
      <c r="D3145">
        <v>3</v>
      </c>
      <c r="E3145" s="1">
        <v>-16.330000000000002</v>
      </c>
      <c r="F3145" t="s">
        <v>34</v>
      </c>
      <c r="G3145" t="str">
        <f>_xlfn.XLOOKUP(transakcje[[#This Row],[podkategoria]],parametr[podkategoria],parametr[kategoria])</f>
        <v>opłaty stałe</v>
      </c>
      <c r="H3145" t="str">
        <f>_xlfn.XLOOKUP(transakcje[[#This Row],[kategoria]],parametr[kategoria],parametr[typ])</f>
        <v>wydatki</v>
      </c>
      <c r="I3145" s="1">
        <f>ABS(transakcje[[#This Row],[kwota]])</f>
        <v>16.330000000000002</v>
      </c>
    </row>
    <row r="3146" spans="1:9" x14ac:dyDescent="0.3">
      <c r="A3146">
        <v>3145</v>
      </c>
      <c r="B3146">
        <v>2020</v>
      </c>
      <c r="C3146">
        <v>7</v>
      </c>
      <c r="D3146">
        <v>3</v>
      </c>
      <c r="E3146" s="1">
        <v>-4.54</v>
      </c>
      <c r="F3146" t="s">
        <v>37</v>
      </c>
      <c r="G3146" t="str">
        <f>_xlfn.XLOOKUP(transakcje[[#This Row],[podkategoria]],parametr[podkategoria],parametr[kategoria])</f>
        <v>opłaty stałe</v>
      </c>
      <c r="H3146" t="str">
        <f>_xlfn.XLOOKUP(transakcje[[#This Row],[kategoria]],parametr[kategoria],parametr[typ])</f>
        <v>wydatki</v>
      </c>
      <c r="I3146" s="1">
        <f>ABS(transakcje[[#This Row],[kwota]])</f>
        <v>4.54</v>
      </c>
    </row>
    <row r="3147" spans="1:9" x14ac:dyDescent="0.3">
      <c r="A3147">
        <v>3146</v>
      </c>
      <c r="B3147">
        <v>2020</v>
      </c>
      <c r="C3147">
        <v>7</v>
      </c>
      <c r="D3147">
        <v>3</v>
      </c>
      <c r="E3147" s="1">
        <v>-5.8</v>
      </c>
      <c r="F3147" t="s">
        <v>25</v>
      </c>
      <c r="G3147" t="str">
        <f>_xlfn.XLOOKUP(transakcje[[#This Row],[podkategoria]],parametr[podkategoria],parametr[kategoria])</f>
        <v>opłaty stałe</v>
      </c>
      <c r="H3147" t="str">
        <f>_xlfn.XLOOKUP(transakcje[[#This Row],[kategoria]],parametr[kategoria],parametr[typ])</f>
        <v>wydatki</v>
      </c>
      <c r="I3147" s="1">
        <f>ABS(transakcje[[#This Row],[kwota]])</f>
        <v>5.8</v>
      </c>
    </row>
    <row r="3148" spans="1:9" x14ac:dyDescent="0.3">
      <c r="A3148">
        <v>3147</v>
      </c>
      <c r="B3148">
        <v>2020</v>
      </c>
      <c r="C3148">
        <v>7</v>
      </c>
      <c r="D3148">
        <v>3</v>
      </c>
      <c r="E3148" s="1">
        <v>-7.38</v>
      </c>
      <c r="F3148" t="s">
        <v>23</v>
      </c>
      <c r="G3148" t="str">
        <f>_xlfn.XLOOKUP(transakcje[[#This Row],[podkategoria]],parametr[podkategoria],parametr[kategoria])</f>
        <v>opłaty stałe</v>
      </c>
      <c r="H3148" t="str">
        <f>_xlfn.XLOOKUP(transakcje[[#This Row],[kategoria]],parametr[kategoria],parametr[typ])</f>
        <v>wydatki</v>
      </c>
      <c r="I3148" s="1">
        <f>ABS(transakcje[[#This Row],[kwota]])</f>
        <v>7.38</v>
      </c>
    </row>
    <row r="3149" spans="1:9" x14ac:dyDescent="0.3">
      <c r="A3149">
        <v>3148</v>
      </c>
      <c r="B3149">
        <v>2020</v>
      </c>
      <c r="C3149">
        <v>7</v>
      </c>
      <c r="D3149">
        <v>3</v>
      </c>
      <c r="E3149" s="1">
        <v>-73.955999999999989</v>
      </c>
      <c r="F3149" t="s">
        <v>31</v>
      </c>
      <c r="G3149" t="str">
        <f>_xlfn.XLOOKUP(transakcje[[#This Row],[podkategoria]],parametr[podkategoria],parametr[kategoria])</f>
        <v>opłaty stałe</v>
      </c>
      <c r="H3149" t="str">
        <f>_xlfn.XLOOKUP(transakcje[[#This Row],[kategoria]],parametr[kategoria],parametr[typ])</f>
        <v>wydatki</v>
      </c>
      <c r="I3149" s="1">
        <f>ABS(transakcje[[#This Row],[kwota]])</f>
        <v>73.955999999999989</v>
      </c>
    </row>
    <row r="3150" spans="1:9" x14ac:dyDescent="0.3">
      <c r="A3150">
        <v>3149</v>
      </c>
      <c r="B3150">
        <v>2020</v>
      </c>
      <c r="C3150">
        <v>7</v>
      </c>
      <c r="D3150">
        <v>3</v>
      </c>
      <c r="E3150" s="1">
        <v>-6</v>
      </c>
      <c r="F3150" t="s">
        <v>11</v>
      </c>
      <c r="G3150" t="str">
        <f>_xlfn.XLOOKUP(transakcje[[#This Row],[podkategoria]],parametr[podkategoria],parametr[kategoria])</f>
        <v>wydatki inne</v>
      </c>
      <c r="H3150" t="str">
        <f>_xlfn.XLOOKUP(transakcje[[#This Row],[kategoria]],parametr[kategoria],parametr[typ])</f>
        <v>wydatki</v>
      </c>
      <c r="I3150" s="1">
        <f>ABS(transakcje[[#This Row],[kwota]])</f>
        <v>6</v>
      </c>
    </row>
    <row r="3151" spans="1:9" x14ac:dyDescent="0.3">
      <c r="A3151">
        <v>3150</v>
      </c>
      <c r="B3151">
        <v>2020</v>
      </c>
      <c r="C3151">
        <v>7</v>
      </c>
      <c r="D3151">
        <v>4</v>
      </c>
      <c r="E3151" s="1">
        <v>-93.188000000000002</v>
      </c>
      <c r="F3151" t="s">
        <v>20</v>
      </c>
      <c r="G3151" t="str">
        <f>_xlfn.XLOOKUP(transakcje[[#This Row],[podkategoria]],parametr[podkategoria],parametr[kategoria])</f>
        <v>trwałe</v>
      </c>
      <c r="H3151" t="str">
        <f>_xlfn.XLOOKUP(transakcje[[#This Row],[kategoria]],parametr[kategoria],parametr[typ])</f>
        <v>wydatki</v>
      </c>
      <c r="I3151" s="1">
        <f>ABS(transakcje[[#This Row],[kwota]])</f>
        <v>93.188000000000002</v>
      </c>
    </row>
    <row r="3152" spans="1:9" x14ac:dyDescent="0.3">
      <c r="A3152">
        <v>3151</v>
      </c>
      <c r="B3152">
        <v>2020</v>
      </c>
      <c r="C3152">
        <v>7</v>
      </c>
      <c r="D3152">
        <v>6</v>
      </c>
      <c r="E3152" s="1">
        <v>-0.65800000000000003</v>
      </c>
      <c r="F3152" t="s">
        <v>26</v>
      </c>
      <c r="G3152" t="str">
        <f>_xlfn.XLOOKUP(transakcje[[#This Row],[podkategoria]],parametr[podkategoria],parametr[kategoria])</f>
        <v>życie</v>
      </c>
      <c r="H3152" t="str">
        <f>_xlfn.XLOOKUP(transakcje[[#This Row],[kategoria]],parametr[kategoria],parametr[typ])</f>
        <v>wydatki</v>
      </c>
      <c r="I3152" s="1">
        <f>ABS(transakcje[[#This Row],[kwota]])</f>
        <v>0.65800000000000003</v>
      </c>
    </row>
    <row r="3153" spans="1:9" x14ac:dyDescent="0.3">
      <c r="A3153">
        <v>3152</v>
      </c>
      <c r="B3153">
        <v>2020</v>
      </c>
      <c r="C3153">
        <v>7</v>
      </c>
      <c r="D3153">
        <v>9</v>
      </c>
      <c r="E3153" s="1">
        <v>-0.65800000000000003</v>
      </c>
      <c r="F3153" t="s">
        <v>26</v>
      </c>
      <c r="G3153" t="str">
        <f>_xlfn.XLOOKUP(transakcje[[#This Row],[podkategoria]],parametr[podkategoria],parametr[kategoria])</f>
        <v>życie</v>
      </c>
      <c r="H3153" t="str">
        <f>_xlfn.XLOOKUP(transakcje[[#This Row],[kategoria]],parametr[kategoria],parametr[typ])</f>
        <v>wydatki</v>
      </c>
      <c r="I3153" s="1">
        <f>ABS(transakcje[[#This Row],[kwota]])</f>
        <v>0.65800000000000003</v>
      </c>
    </row>
    <row r="3154" spans="1:9" x14ac:dyDescent="0.3">
      <c r="A3154">
        <v>3153</v>
      </c>
      <c r="B3154">
        <v>2020</v>
      </c>
      <c r="C3154">
        <v>7</v>
      </c>
      <c r="D3154">
        <v>9</v>
      </c>
      <c r="E3154" s="1">
        <v>-2.512</v>
      </c>
      <c r="F3154" t="s">
        <v>26</v>
      </c>
      <c r="G3154" t="str">
        <f>_xlfn.XLOOKUP(transakcje[[#This Row],[podkategoria]],parametr[podkategoria],parametr[kategoria])</f>
        <v>życie</v>
      </c>
      <c r="H3154" t="str">
        <f>_xlfn.XLOOKUP(transakcje[[#This Row],[kategoria]],parametr[kategoria],parametr[typ])</f>
        <v>wydatki</v>
      </c>
      <c r="I3154" s="1">
        <f>ABS(transakcje[[#This Row],[kwota]])</f>
        <v>2.512</v>
      </c>
    </row>
    <row r="3155" spans="1:9" x14ac:dyDescent="0.3">
      <c r="A3155">
        <v>3154</v>
      </c>
      <c r="B3155">
        <v>2020</v>
      </c>
      <c r="C3155">
        <v>7</v>
      </c>
      <c r="D3155">
        <v>10</v>
      </c>
      <c r="E3155" s="1">
        <v>-0.69800000000000006</v>
      </c>
      <c r="F3155" t="s">
        <v>26</v>
      </c>
      <c r="G3155" t="str">
        <f>_xlfn.XLOOKUP(transakcje[[#This Row],[podkategoria]],parametr[podkategoria],parametr[kategoria])</f>
        <v>życie</v>
      </c>
      <c r="H3155" t="str">
        <f>_xlfn.XLOOKUP(transakcje[[#This Row],[kategoria]],parametr[kategoria],parametr[typ])</f>
        <v>wydatki</v>
      </c>
      <c r="I3155" s="1">
        <f>ABS(transakcje[[#This Row],[kwota]])</f>
        <v>0.69800000000000006</v>
      </c>
    </row>
    <row r="3156" spans="1:9" x14ac:dyDescent="0.3">
      <c r="A3156">
        <v>3155</v>
      </c>
      <c r="B3156">
        <v>2020</v>
      </c>
      <c r="C3156">
        <v>7</v>
      </c>
      <c r="D3156">
        <v>10</v>
      </c>
      <c r="E3156" s="1">
        <v>-12.434000000000001</v>
      </c>
      <c r="F3156" t="s">
        <v>26</v>
      </c>
      <c r="G3156" t="str">
        <f>_xlfn.XLOOKUP(transakcje[[#This Row],[podkategoria]],parametr[podkategoria],parametr[kategoria])</f>
        <v>życie</v>
      </c>
      <c r="H3156" t="str">
        <f>_xlfn.XLOOKUP(transakcje[[#This Row],[kategoria]],parametr[kategoria],parametr[typ])</f>
        <v>wydatki</v>
      </c>
      <c r="I3156" s="1">
        <f>ABS(transakcje[[#This Row],[kwota]])</f>
        <v>12.434000000000001</v>
      </c>
    </row>
    <row r="3157" spans="1:9" x14ac:dyDescent="0.3">
      <c r="A3157">
        <v>3156</v>
      </c>
      <c r="B3157">
        <v>2020</v>
      </c>
      <c r="C3157">
        <v>7</v>
      </c>
      <c r="D3157">
        <v>13</v>
      </c>
      <c r="E3157" s="1">
        <v>-1.6</v>
      </c>
      <c r="F3157" t="s">
        <v>26</v>
      </c>
      <c r="G3157" t="str">
        <f>_xlfn.XLOOKUP(transakcje[[#This Row],[podkategoria]],parametr[podkategoria],parametr[kategoria])</f>
        <v>życie</v>
      </c>
      <c r="H3157" t="str">
        <f>_xlfn.XLOOKUP(transakcje[[#This Row],[kategoria]],parametr[kategoria],parametr[typ])</f>
        <v>wydatki</v>
      </c>
      <c r="I3157" s="1">
        <f>ABS(transakcje[[#This Row],[kwota]])</f>
        <v>1.6</v>
      </c>
    </row>
    <row r="3158" spans="1:9" x14ac:dyDescent="0.3">
      <c r="A3158">
        <v>3157</v>
      </c>
      <c r="B3158">
        <v>2020</v>
      </c>
      <c r="C3158">
        <v>7</v>
      </c>
      <c r="D3158">
        <v>13</v>
      </c>
      <c r="E3158" s="1">
        <v>-5.3140000000000001</v>
      </c>
      <c r="F3158" t="s">
        <v>26</v>
      </c>
      <c r="G3158" t="str">
        <f>_xlfn.XLOOKUP(transakcje[[#This Row],[podkategoria]],parametr[podkategoria],parametr[kategoria])</f>
        <v>życie</v>
      </c>
      <c r="H3158" t="str">
        <f>_xlfn.XLOOKUP(transakcje[[#This Row],[kategoria]],parametr[kategoria],parametr[typ])</f>
        <v>wydatki</v>
      </c>
      <c r="I3158" s="1">
        <f>ABS(transakcje[[#This Row],[kwota]])</f>
        <v>5.3140000000000001</v>
      </c>
    </row>
    <row r="3159" spans="1:9" x14ac:dyDescent="0.3">
      <c r="A3159">
        <v>3158</v>
      </c>
      <c r="B3159">
        <v>2020</v>
      </c>
      <c r="C3159">
        <v>7</v>
      </c>
      <c r="D3159">
        <v>14</v>
      </c>
      <c r="E3159" s="1">
        <v>-0.65800000000000003</v>
      </c>
      <c r="F3159" t="s">
        <v>26</v>
      </c>
      <c r="G3159" t="str">
        <f>_xlfn.XLOOKUP(transakcje[[#This Row],[podkategoria]],parametr[podkategoria],parametr[kategoria])</f>
        <v>życie</v>
      </c>
      <c r="H3159" t="str">
        <f>_xlfn.XLOOKUP(transakcje[[#This Row],[kategoria]],parametr[kategoria],parametr[typ])</f>
        <v>wydatki</v>
      </c>
      <c r="I3159" s="1">
        <f>ABS(transakcje[[#This Row],[kwota]])</f>
        <v>0.65800000000000003</v>
      </c>
    </row>
    <row r="3160" spans="1:9" x14ac:dyDescent="0.3">
      <c r="A3160">
        <v>3159</v>
      </c>
      <c r="B3160">
        <v>2020</v>
      </c>
      <c r="C3160">
        <v>7</v>
      </c>
      <c r="D3160">
        <v>14</v>
      </c>
      <c r="E3160" s="1">
        <v>-0.39800000000000002</v>
      </c>
      <c r="F3160" t="s">
        <v>14</v>
      </c>
      <c r="G3160" t="str">
        <f>_xlfn.XLOOKUP(transakcje[[#This Row],[podkategoria]],parametr[podkategoria],parametr[kategoria])</f>
        <v>opłaty stałe</v>
      </c>
      <c r="H3160" t="str">
        <f>_xlfn.XLOOKUP(transakcje[[#This Row],[kategoria]],parametr[kategoria],parametr[typ])</f>
        <v>wydatki</v>
      </c>
      <c r="I3160" s="1">
        <f>ABS(transakcje[[#This Row],[kwota]])</f>
        <v>0.39800000000000002</v>
      </c>
    </row>
    <row r="3161" spans="1:9" x14ac:dyDescent="0.3">
      <c r="A3161">
        <v>3160</v>
      </c>
      <c r="B3161">
        <v>2020</v>
      </c>
      <c r="C3161">
        <v>7</v>
      </c>
      <c r="D3161">
        <v>19</v>
      </c>
      <c r="E3161" s="1">
        <v>-56.184000000000005</v>
      </c>
      <c r="F3161" t="s">
        <v>11</v>
      </c>
      <c r="G3161" t="str">
        <f>_xlfn.XLOOKUP(transakcje[[#This Row],[podkategoria]],parametr[podkategoria],parametr[kategoria])</f>
        <v>wydatki inne</v>
      </c>
      <c r="H3161" t="str">
        <f>_xlfn.XLOOKUP(transakcje[[#This Row],[kategoria]],parametr[kategoria],parametr[typ])</f>
        <v>wydatki</v>
      </c>
      <c r="I3161" s="1">
        <f>ABS(transakcje[[#This Row],[kwota]])</f>
        <v>56.184000000000005</v>
      </c>
    </row>
    <row r="3162" spans="1:9" x14ac:dyDescent="0.3">
      <c r="A3162">
        <v>3161</v>
      </c>
      <c r="B3162">
        <v>2020</v>
      </c>
      <c r="C3162">
        <v>7</v>
      </c>
      <c r="D3162">
        <v>20</v>
      </c>
      <c r="E3162" s="1">
        <v>-0.65800000000000003</v>
      </c>
      <c r="F3162" t="s">
        <v>26</v>
      </c>
      <c r="G3162" t="str">
        <f>_xlfn.XLOOKUP(transakcje[[#This Row],[podkategoria]],parametr[podkategoria],parametr[kategoria])</f>
        <v>życie</v>
      </c>
      <c r="H3162" t="str">
        <f>_xlfn.XLOOKUP(transakcje[[#This Row],[kategoria]],parametr[kategoria],parametr[typ])</f>
        <v>wydatki</v>
      </c>
      <c r="I3162" s="1">
        <f>ABS(transakcje[[#This Row],[kwota]])</f>
        <v>0.65800000000000003</v>
      </c>
    </row>
    <row r="3163" spans="1:9" x14ac:dyDescent="0.3">
      <c r="A3163">
        <v>3162</v>
      </c>
      <c r="B3163">
        <v>2020</v>
      </c>
      <c r="C3163">
        <v>7</v>
      </c>
      <c r="D3163">
        <v>23</v>
      </c>
      <c r="E3163" s="1">
        <v>735.55</v>
      </c>
      <c r="F3163" t="s">
        <v>8</v>
      </c>
      <c r="G3163" t="str">
        <f>_xlfn.XLOOKUP(transakcje[[#This Row],[podkategoria]],parametr[podkategoria],parametr[kategoria])</f>
        <v>dochody z pracy</v>
      </c>
      <c r="H3163" t="str">
        <f>_xlfn.XLOOKUP(transakcje[[#This Row],[kategoria]],parametr[kategoria],parametr[typ])</f>
        <v>dochody</v>
      </c>
      <c r="I3163" s="1">
        <f>ABS(transakcje[[#This Row],[kwota]])</f>
        <v>735.55</v>
      </c>
    </row>
    <row r="3164" spans="1:9" x14ac:dyDescent="0.3">
      <c r="A3164">
        <v>3163</v>
      </c>
      <c r="B3164">
        <v>2020</v>
      </c>
      <c r="C3164">
        <v>7</v>
      </c>
      <c r="D3164">
        <v>23</v>
      </c>
      <c r="E3164" s="1">
        <v>-0.65800000000000003</v>
      </c>
      <c r="F3164" t="s">
        <v>26</v>
      </c>
      <c r="G3164" t="str">
        <f>_xlfn.XLOOKUP(transakcje[[#This Row],[podkategoria]],parametr[podkategoria],parametr[kategoria])</f>
        <v>życie</v>
      </c>
      <c r="H3164" t="str">
        <f>_xlfn.XLOOKUP(transakcje[[#This Row],[kategoria]],parametr[kategoria],parametr[typ])</f>
        <v>wydatki</v>
      </c>
      <c r="I3164" s="1">
        <f>ABS(transakcje[[#This Row],[kwota]])</f>
        <v>0.65800000000000003</v>
      </c>
    </row>
    <row r="3165" spans="1:9" x14ac:dyDescent="0.3">
      <c r="A3165">
        <v>3164</v>
      </c>
      <c r="B3165">
        <v>2020</v>
      </c>
      <c r="C3165">
        <v>7</v>
      </c>
      <c r="D3165">
        <v>23</v>
      </c>
      <c r="E3165" s="1">
        <v>-11.202</v>
      </c>
      <c r="F3165" t="s">
        <v>26</v>
      </c>
      <c r="G3165" t="str">
        <f>_xlfn.XLOOKUP(transakcje[[#This Row],[podkategoria]],parametr[podkategoria],parametr[kategoria])</f>
        <v>życie</v>
      </c>
      <c r="H3165" t="str">
        <f>_xlfn.XLOOKUP(transakcje[[#This Row],[kategoria]],parametr[kategoria],parametr[typ])</f>
        <v>wydatki</v>
      </c>
      <c r="I3165" s="1">
        <f>ABS(transakcje[[#This Row],[kwota]])</f>
        <v>11.202</v>
      </c>
    </row>
    <row r="3166" spans="1:9" x14ac:dyDescent="0.3">
      <c r="A3166">
        <v>3165</v>
      </c>
      <c r="B3166">
        <v>2020</v>
      </c>
      <c r="C3166">
        <v>7</v>
      </c>
      <c r="D3166">
        <v>25</v>
      </c>
      <c r="E3166" s="1">
        <v>-2.214</v>
      </c>
      <c r="F3166" t="s">
        <v>11</v>
      </c>
      <c r="G3166" t="str">
        <f>_xlfn.XLOOKUP(transakcje[[#This Row],[podkategoria]],parametr[podkategoria],parametr[kategoria])</f>
        <v>wydatki inne</v>
      </c>
      <c r="H3166" t="str">
        <f>_xlfn.XLOOKUP(transakcje[[#This Row],[kategoria]],parametr[kategoria],parametr[typ])</f>
        <v>wydatki</v>
      </c>
      <c r="I3166" s="1">
        <f>ABS(transakcje[[#This Row],[kwota]])</f>
        <v>2.214</v>
      </c>
    </row>
    <row r="3167" spans="1:9" x14ac:dyDescent="0.3">
      <c r="A3167">
        <v>3166</v>
      </c>
      <c r="B3167">
        <v>2020</v>
      </c>
      <c r="C3167">
        <v>7</v>
      </c>
      <c r="D3167">
        <v>25</v>
      </c>
      <c r="E3167" s="1">
        <v>-24.48</v>
      </c>
      <c r="F3167" t="s">
        <v>32</v>
      </c>
      <c r="G3167" t="str">
        <f>_xlfn.XLOOKUP(transakcje[[#This Row],[podkategoria]],parametr[podkategoria],parametr[kategoria])</f>
        <v>opłaty stałe</v>
      </c>
      <c r="H3167" t="str">
        <f>_xlfn.XLOOKUP(transakcje[[#This Row],[kategoria]],parametr[kategoria],parametr[typ])</f>
        <v>wydatki</v>
      </c>
      <c r="I3167" s="1">
        <f>ABS(transakcje[[#This Row],[kwota]])</f>
        <v>24.48</v>
      </c>
    </row>
    <row r="3168" spans="1:9" x14ac:dyDescent="0.3">
      <c r="A3168">
        <v>3167</v>
      </c>
      <c r="B3168">
        <v>2020</v>
      </c>
      <c r="C3168">
        <v>7</v>
      </c>
      <c r="D3168">
        <v>28</v>
      </c>
      <c r="E3168" s="1">
        <v>-9.2279999999999998</v>
      </c>
      <c r="F3168" t="s">
        <v>26</v>
      </c>
      <c r="G3168" t="str">
        <f>_xlfn.XLOOKUP(transakcje[[#This Row],[podkategoria]],parametr[podkategoria],parametr[kategoria])</f>
        <v>życie</v>
      </c>
      <c r="H3168" t="str">
        <f>_xlfn.XLOOKUP(transakcje[[#This Row],[kategoria]],parametr[kategoria],parametr[typ])</f>
        <v>wydatki</v>
      </c>
      <c r="I3168" s="1">
        <f>ABS(transakcje[[#This Row],[kwota]])</f>
        <v>9.2279999999999998</v>
      </c>
    </row>
    <row r="3169" spans="1:9" x14ac:dyDescent="0.3">
      <c r="A3169">
        <v>3168</v>
      </c>
      <c r="B3169">
        <v>2020</v>
      </c>
      <c r="C3169">
        <v>7</v>
      </c>
      <c r="D3169">
        <v>29</v>
      </c>
      <c r="E3169" s="1">
        <v>-0.32999999999999996</v>
      </c>
      <c r="F3169" t="s">
        <v>26</v>
      </c>
      <c r="G3169" t="str">
        <f>_xlfn.XLOOKUP(transakcje[[#This Row],[podkategoria]],parametr[podkategoria],parametr[kategoria])</f>
        <v>życie</v>
      </c>
      <c r="H3169" t="str">
        <f>_xlfn.XLOOKUP(transakcje[[#This Row],[kategoria]],parametr[kategoria],parametr[typ])</f>
        <v>wydatki</v>
      </c>
      <c r="I3169" s="1">
        <f>ABS(transakcje[[#This Row],[kwota]])</f>
        <v>0.32999999999999996</v>
      </c>
    </row>
    <row r="3170" spans="1:9" x14ac:dyDescent="0.3">
      <c r="A3170">
        <v>3169</v>
      </c>
      <c r="B3170">
        <v>2020</v>
      </c>
      <c r="C3170">
        <v>7</v>
      </c>
      <c r="D3170">
        <v>30</v>
      </c>
      <c r="E3170" s="1">
        <v>-2.1260000000000003</v>
      </c>
      <c r="F3170" t="s">
        <v>26</v>
      </c>
      <c r="G3170" t="str">
        <f>_xlfn.XLOOKUP(transakcje[[#This Row],[podkategoria]],parametr[podkategoria],parametr[kategoria])</f>
        <v>życie</v>
      </c>
      <c r="H3170" t="str">
        <f>_xlfn.XLOOKUP(transakcje[[#This Row],[kategoria]],parametr[kategoria],parametr[typ])</f>
        <v>wydatki</v>
      </c>
      <c r="I3170" s="1">
        <f>ABS(transakcje[[#This Row],[kwota]])</f>
        <v>2.1260000000000003</v>
      </c>
    </row>
    <row r="3171" spans="1:9" x14ac:dyDescent="0.3">
      <c r="A3171">
        <v>3170</v>
      </c>
      <c r="B3171">
        <v>2020</v>
      </c>
      <c r="C3171">
        <v>7</v>
      </c>
      <c r="D3171">
        <v>30</v>
      </c>
      <c r="E3171" s="1">
        <v>-9.8379999999999992</v>
      </c>
      <c r="F3171" t="s">
        <v>26</v>
      </c>
      <c r="G3171" t="str">
        <f>_xlfn.XLOOKUP(transakcje[[#This Row],[podkategoria]],parametr[podkategoria],parametr[kategoria])</f>
        <v>życie</v>
      </c>
      <c r="H3171" t="str">
        <f>_xlfn.XLOOKUP(transakcje[[#This Row],[kategoria]],parametr[kategoria],parametr[typ])</f>
        <v>wydatki</v>
      </c>
      <c r="I3171" s="1">
        <f>ABS(transakcje[[#This Row],[kwota]])</f>
        <v>9.8379999999999992</v>
      </c>
    </row>
    <row r="3172" spans="1:9" x14ac:dyDescent="0.3">
      <c r="A3172">
        <v>3171</v>
      </c>
      <c r="B3172">
        <v>2020</v>
      </c>
      <c r="C3172">
        <v>7</v>
      </c>
      <c r="D3172">
        <v>31</v>
      </c>
      <c r="E3172" s="1">
        <v>-0.5</v>
      </c>
      <c r="F3172" t="s">
        <v>14</v>
      </c>
      <c r="G3172" t="str">
        <f>_xlfn.XLOOKUP(transakcje[[#This Row],[podkategoria]],parametr[podkategoria],parametr[kategoria])</f>
        <v>opłaty stałe</v>
      </c>
      <c r="H3172" t="str">
        <f>_xlfn.XLOOKUP(transakcje[[#This Row],[kategoria]],parametr[kategoria],parametr[typ])</f>
        <v>wydatki</v>
      </c>
      <c r="I3172" s="1">
        <f>ABS(transakcje[[#This Row],[kwota]])</f>
        <v>0.5</v>
      </c>
    </row>
    <row r="3173" spans="1:9" x14ac:dyDescent="0.3">
      <c r="A3173">
        <v>3172</v>
      </c>
      <c r="B3173">
        <v>2020</v>
      </c>
      <c r="C3173">
        <v>7</v>
      </c>
      <c r="D3173">
        <v>31</v>
      </c>
      <c r="E3173" s="1">
        <v>-1.3980000000000001</v>
      </c>
      <c r="F3173" t="s">
        <v>14</v>
      </c>
      <c r="G3173" t="str">
        <f>_xlfn.XLOOKUP(transakcje[[#This Row],[podkategoria]],parametr[podkategoria],parametr[kategoria])</f>
        <v>opłaty stałe</v>
      </c>
      <c r="H3173" t="str">
        <f>_xlfn.XLOOKUP(transakcje[[#This Row],[kategoria]],parametr[kategoria],parametr[typ])</f>
        <v>wydatki</v>
      </c>
      <c r="I3173" s="1">
        <f>ABS(transakcje[[#This Row],[kwota]])</f>
        <v>1.3980000000000001</v>
      </c>
    </row>
    <row r="3174" spans="1:9" x14ac:dyDescent="0.3">
      <c r="A3174">
        <v>3173</v>
      </c>
      <c r="B3174">
        <v>2020</v>
      </c>
      <c r="C3174">
        <v>7</v>
      </c>
      <c r="D3174">
        <v>31</v>
      </c>
      <c r="E3174" s="1">
        <v>8.0000000000000002E-3</v>
      </c>
      <c r="F3174" t="s">
        <v>17</v>
      </c>
      <c r="G3174" t="str">
        <f>_xlfn.XLOOKUP(transakcje[[#This Row],[podkategoria]],parametr[podkategoria],parametr[kategoria])</f>
        <v>dochody pozostałe</v>
      </c>
      <c r="H3174" t="str">
        <f>_xlfn.XLOOKUP(transakcje[[#This Row],[kategoria]],parametr[kategoria],parametr[typ])</f>
        <v>dochody</v>
      </c>
      <c r="I3174" s="1">
        <f>ABS(transakcje[[#This Row],[kwota]])</f>
        <v>8.0000000000000002E-3</v>
      </c>
    </row>
    <row r="3175" spans="1:9" x14ac:dyDescent="0.3">
      <c r="A3175">
        <v>3174</v>
      </c>
      <c r="B3175">
        <v>2020</v>
      </c>
      <c r="C3175">
        <v>7</v>
      </c>
      <c r="D3175">
        <v>31</v>
      </c>
      <c r="E3175" s="1">
        <v>-2E-3</v>
      </c>
      <c r="F3175" t="s">
        <v>14</v>
      </c>
      <c r="G3175" t="str">
        <f>_xlfn.XLOOKUP(transakcje[[#This Row],[podkategoria]],parametr[podkategoria],parametr[kategoria])</f>
        <v>opłaty stałe</v>
      </c>
      <c r="H3175" t="str">
        <f>_xlfn.XLOOKUP(transakcje[[#This Row],[kategoria]],parametr[kategoria],parametr[typ])</f>
        <v>wydatki</v>
      </c>
      <c r="I3175" s="1">
        <f>ABS(transakcje[[#This Row],[kwota]])</f>
        <v>2E-3</v>
      </c>
    </row>
    <row r="3176" spans="1:9" x14ac:dyDescent="0.3">
      <c r="A3176">
        <v>3175</v>
      </c>
      <c r="B3176">
        <v>2020</v>
      </c>
      <c r="C3176">
        <v>7</v>
      </c>
      <c r="D3176">
        <v>31</v>
      </c>
      <c r="E3176" s="1">
        <v>-0.65800000000000003</v>
      </c>
      <c r="F3176" t="s">
        <v>26</v>
      </c>
      <c r="G3176" t="str">
        <f>_xlfn.XLOOKUP(transakcje[[#This Row],[podkategoria]],parametr[podkategoria],parametr[kategoria])</f>
        <v>życie</v>
      </c>
      <c r="H3176" t="str">
        <f>_xlfn.XLOOKUP(transakcje[[#This Row],[kategoria]],parametr[kategoria],parametr[typ])</f>
        <v>wydatki</v>
      </c>
      <c r="I3176" s="1">
        <f>ABS(transakcje[[#This Row],[kwota]])</f>
        <v>0.65800000000000003</v>
      </c>
    </row>
    <row r="3177" spans="1:9" x14ac:dyDescent="0.3">
      <c r="A3177">
        <v>3176</v>
      </c>
      <c r="B3177">
        <v>2020</v>
      </c>
      <c r="C3177">
        <v>8</v>
      </c>
      <c r="D3177">
        <v>1</v>
      </c>
      <c r="E3177" s="1">
        <v>-4.54</v>
      </c>
      <c r="F3177" t="s">
        <v>37</v>
      </c>
      <c r="G3177" t="str">
        <f>_xlfn.XLOOKUP(transakcje[[#This Row],[podkategoria]],parametr[podkategoria],parametr[kategoria])</f>
        <v>opłaty stałe</v>
      </c>
      <c r="H3177" t="str">
        <f>_xlfn.XLOOKUP(transakcje[[#This Row],[kategoria]],parametr[kategoria],parametr[typ])</f>
        <v>wydatki</v>
      </c>
      <c r="I3177" s="1">
        <f>ABS(transakcje[[#This Row],[kwota]])</f>
        <v>4.54</v>
      </c>
    </row>
    <row r="3178" spans="1:9" x14ac:dyDescent="0.3">
      <c r="A3178">
        <v>3177</v>
      </c>
      <c r="B3178">
        <v>2020</v>
      </c>
      <c r="C3178">
        <v>8</v>
      </c>
      <c r="D3178">
        <v>1</v>
      </c>
      <c r="E3178" s="1">
        <v>-5.8</v>
      </c>
      <c r="F3178" t="s">
        <v>25</v>
      </c>
      <c r="G3178" t="str">
        <f>_xlfn.XLOOKUP(transakcje[[#This Row],[podkategoria]],parametr[podkategoria],parametr[kategoria])</f>
        <v>opłaty stałe</v>
      </c>
      <c r="H3178" t="str">
        <f>_xlfn.XLOOKUP(transakcje[[#This Row],[kategoria]],parametr[kategoria],parametr[typ])</f>
        <v>wydatki</v>
      </c>
      <c r="I3178" s="1">
        <f>ABS(transakcje[[#This Row],[kwota]])</f>
        <v>5.8</v>
      </c>
    </row>
    <row r="3179" spans="1:9" x14ac:dyDescent="0.3">
      <c r="A3179">
        <v>3178</v>
      </c>
      <c r="B3179">
        <v>2020</v>
      </c>
      <c r="C3179">
        <v>8</v>
      </c>
      <c r="D3179">
        <v>1</v>
      </c>
      <c r="E3179" s="1">
        <v>-7.38</v>
      </c>
      <c r="F3179" t="s">
        <v>23</v>
      </c>
      <c r="G3179" t="str">
        <f>_xlfn.XLOOKUP(transakcje[[#This Row],[podkategoria]],parametr[podkategoria],parametr[kategoria])</f>
        <v>opłaty stałe</v>
      </c>
      <c r="H3179" t="str">
        <f>_xlfn.XLOOKUP(transakcje[[#This Row],[kategoria]],parametr[kategoria],parametr[typ])</f>
        <v>wydatki</v>
      </c>
      <c r="I3179" s="1">
        <f>ABS(transakcje[[#This Row],[kwota]])</f>
        <v>7.38</v>
      </c>
    </row>
    <row r="3180" spans="1:9" x14ac:dyDescent="0.3">
      <c r="A3180">
        <v>3179</v>
      </c>
      <c r="B3180">
        <v>2020</v>
      </c>
      <c r="C3180">
        <v>8</v>
      </c>
      <c r="D3180">
        <v>1</v>
      </c>
      <c r="E3180" s="1">
        <v>-66.355999999999995</v>
      </c>
      <c r="F3180" t="s">
        <v>31</v>
      </c>
      <c r="G3180" t="str">
        <f>_xlfn.XLOOKUP(transakcje[[#This Row],[podkategoria]],parametr[podkategoria],parametr[kategoria])</f>
        <v>opłaty stałe</v>
      </c>
      <c r="H3180" t="str">
        <f>_xlfn.XLOOKUP(transakcje[[#This Row],[kategoria]],parametr[kategoria],parametr[typ])</f>
        <v>wydatki</v>
      </c>
      <c r="I3180" s="1">
        <f>ABS(transakcje[[#This Row],[kwota]])</f>
        <v>66.355999999999995</v>
      </c>
    </row>
    <row r="3181" spans="1:9" x14ac:dyDescent="0.3">
      <c r="A3181">
        <v>3180</v>
      </c>
      <c r="B3181">
        <v>2020</v>
      </c>
      <c r="C3181">
        <v>8</v>
      </c>
      <c r="D3181">
        <v>3</v>
      </c>
      <c r="E3181" s="1">
        <v>-0.32999999999999996</v>
      </c>
      <c r="F3181" t="s">
        <v>26</v>
      </c>
      <c r="G3181" t="str">
        <f>_xlfn.XLOOKUP(transakcje[[#This Row],[podkategoria]],parametr[podkategoria],parametr[kategoria])</f>
        <v>życie</v>
      </c>
      <c r="H3181" t="str">
        <f>_xlfn.XLOOKUP(transakcje[[#This Row],[kategoria]],parametr[kategoria],parametr[typ])</f>
        <v>wydatki</v>
      </c>
      <c r="I3181" s="1">
        <f>ABS(transakcje[[#This Row],[kwota]])</f>
        <v>0.32999999999999996</v>
      </c>
    </row>
    <row r="3182" spans="1:9" x14ac:dyDescent="0.3">
      <c r="A3182">
        <v>3181</v>
      </c>
      <c r="B3182">
        <v>2020</v>
      </c>
      <c r="C3182">
        <v>8</v>
      </c>
      <c r="D3182">
        <v>5</v>
      </c>
      <c r="E3182" s="1">
        <v>-0.32999999999999996</v>
      </c>
      <c r="F3182" t="s">
        <v>26</v>
      </c>
      <c r="G3182" t="str">
        <f>_xlfn.XLOOKUP(transakcje[[#This Row],[podkategoria]],parametr[podkategoria],parametr[kategoria])</f>
        <v>życie</v>
      </c>
      <c r="H3182" t="str">
        <f>_xlfn.XLOOKUP(transakcje[[#This Row],[kategoria]],parametr[kategoria],parametr[typ])</f>
        <v>wydatki</v>
      </c>
      <c r="I3182" s="1">
        <f>ABS(transakcje[[#This Row],[kwota]])</f>
        <v>0.32999999999999996</v>
      </c>
    </row>
    <row r="3183" spans="1:9" x14ac:dyDescent="0.3">
      <c r="A3183">
        <v>3182</v>
      </c>
      <c r="B3183">
        <v>2020</v>
      </c>
      <c r="C3183">
        <v>8</v>
      </c>
      <c r="D3183">
        <v>6</v>
      </c>
      <c r="E3183" s="1">
        <v>205.89000000000001</v>
      </c>
      <c r="F3183" t="s">
        <v>19</v>
      </c>
      <c r="G3183" t="str">
        <f>_xlfn.XLOOKUP(transakcje[[#This Row],[podkategoria]],parametr[podkategoria],parametr[kategoria])</f>
        <v>dochody z pracy</v>
      </c>
      <c r="H3183" t="str">
        <f>_xlfn.XLOOKUP(transakcje[[#This Row],[kategoria]],parametr[kategoria],parametr[typ])</f>
        <v>dochody</v>
      </c>
      <c r="I3183" s="1">
        <f>ABS(transakcje[[#This Row],[kwota]])</f>
        <v>205.89000000000001</v>
      </c>
    </row>
    <row r="3184" spans="1:9" x14ac:dyDescent="0.3">
      <c r="A3184">
        <v>3183</v>
      </c>
      <c r="B3184">
        <v>2020</v>
      </c>
      <c r="C3184">
        <v>8</v>
      </c>
      <c r="D3184">
        <v>6</v>
      </c>
      <c r="E3184" s="1">
        <v>-3.3959999999999999</v>
      </c>
      <c r="F3184" t="s">
        <v>26</v>
      </c>
      <c r="G3184" t="str">
        <f>_xlfn.XLOOKUP(transakcje[[#This Row],[podkategoria]],parametr[podkategoria],parametr[kategoria])</f>
        <v>życie</v>
      </c>
      <c r="H3184" t="str">
        <f>_xlfn.XLOOKUP(transakcje[[#This Row],[kategoria]],parametr[kategoria],parametr[typ])</f>
        <v>wydatki</v>
      </c>
      <c r="I3184" s="1">
        <f>ABS(transakcje[[#This Row],[kwota]])</f>
        <v>3.3959999999999999</v>
      </c>
    </row>
    <row r="3185" spans="1:9" x14ac:dyDescent="0.3">
      <c r="A3185">
        <v>3184</v>
      </c>
      <c r="B3185">
        <v>2020</v>
      </c>
      <c r="C3185">
        <v>8</v>
      </c>
      <c r="D3185">
        <v>6</v>
      </c>
      <c r="E3185" s="1">
        <v>-12.651999999999999</v>
      </c>
      <c r="F3185" t="s">
        <v>26</v>
      </c>
      <c r="G3185" t="str">
        <f>_xlfn.XLOOKUP(transakcje[[#This Row],[podkategoria]],parametr[podkategoria],parametr[kategoria])</f>
        <v>życie</v>
      </c>
      <c r="H3185" t="str">
        <f>_xlfn.XLOOKUP(transakcje[[#This Row],[kategoria]],parametr[kategoria],parametr[typ])</f>
        <v>wydatki</v>
      </c>
      <c r="I3185" s="1">
        <f>ABS(transakcje[[#This Row],[kwota]])</f>
        <v>12.651999999999999</v>
      </c>
    </row>
    <row r="3186" spans="1:9" x14ac:dyDescent="0.3">
      <c r="A3186">
        <v>3185</v>
      </c>
      <c r="B3186">
        <v>2020</v>
      </c>
      <c r="C3186">
        <v>8</v>
      </c>
      <c r="D3186">
        <v>7</v>
      </c>
      <c r="E3186" s="1">
        <v>-2.6040000000000001</v>
      </c>
      <c r="F3186" t="s">
        <v>26</v>
      </c>
      <c r="G3186" t="str">
        <f>_xlfn.XLOOKUP(transakcje[[#This Row],[podkategoria]],parametr[podkategoria],parametr[kategoria])</f>
        <v>życie</v>
      </c>
      <c r="H3186" t="str">
        <f>_xlfn.XLOOKUP(transakcje[[#This Row],[kategoria]],parametr[kategoria],parametr[typ])</f>
        <v>wydatki</v>
      </c>
      <c r="I3186" s="1">
        <f>ABS(transakcje[[#This Row],[kwota]])</f>
        <v>2.6040000000000001</v>
      </c>
    </row>
    <row r="3187" spans="1:9" x14ac:dyDescent="0.3">
      <c r="A3187">
        <v>3186</v>
      </c>
      <c r="B3187">
        <v>2020</v>
      </c>
      <c r="C3187">
        <v>8</v>
      </c>
      <c r="D3187">
        <v>7</v>
      </c>
      <c r="E3187" s="1">
        <v>-0.65800000000000003</v>
      </c>
      <c r="F3187" t="s">
        <v>26</v>
      </c>
      <c r="G3187" t="str">
        <f>_xlfn.XLOOKUP(transakcje[[#This Row],[podkategoria]],parametr[podkategoria],parametr[kategoria])</f>
        <v>życie</v>
      </c>
      <c r="H3187" t="str">
        <f>_xlfn.XLOOKUP(transakcje[[#This Row],[kategoria]],parametr[kategoria],parametr[typ])</f>
        <v>wydatki</v>
      </c>
      <c r="I3187" s="1">
        <f>ABS(transakcje[[#This Row],[kwota]])</f>
        <v>0.65800000000000003</v>
      </c>
    </row>
    <row r="3188" spans="1:9" x14ac:dyDescent="0.3">
      <c r="A3188">
        <v>3187</v>
      </c>
      <c r="B3188">
        <v>2020</v>
      </c>
      <c r="C3188">
        <v>8</v>
      </c>
      <c r="D3188">
        <v>7</v>
      </c>
      <c r="E3188" s="1">
        <v>-1.996</v>
      </c>
      <c r="F3188" t="s">
        <v>26</v>
      </c>
      <c r="G3188" t="str">
        <f>_xlfn.XLOOKUP(transakcje[[#This Row],[podkategoria]],parametr[podkategoria],parametr[kategoria])</f>
        <v>życie</v>
      </c>
      <c r="H3188" t="str">
        <f>_xlfn.XLOOKUP(transakcje[[#This Row],[kategoria]],parametr[kategoria],parametr[typ])</f>
        <v>wydatki</v>
      </c>
      <c r="I3188" s="1">
        <f>ABS(transakcje[[#This Row],[kwota]])</f>
        <v>1.996</v>
      </c>
    </row>
    <row r="3189" spans="1:9" x14ac:dyDescent="0.3">
      <c r="A3189">
        <v>3188</v>
      </c>
      <c r="B3189">
        <v>2020</v>
      </c>
      <c r="C3189">
        <v>8</v>
      </c>
      <c r="D3189">
        <v>10</v>
      </c>
      <c r="E3189" s="1">
        <v>-1.496</v>
      </c>
      <c r="F3189" t="s">
        <v>26</v>
      </c>
      <c r="G3189" t="str">
        <f>_xlfn.XLOOKUP(transakcje[[#This Row],[podkategoria]],parametr[podkategoria],parametr[kategoria])</f>
        <v>życie</v>
      </c>
      <c r="H3189" t="str">
        <f>_xlfn.XLOOKUP(transakcje[[#This Row],[kategoria]],parametr[kategoria],parametr[typ])</f>
        <v>wydatki</v>
      </c>
      <c r="I3189" s="1">
        <f>ABS(transakcje[[#This Row],[kwota]])</f>
        <v>1.496</v>
      </c>
    </row>
    <row r="3190" spans="1:9" x14ac:dyDescent="0.3">
      <c r="A3190">
        <v>3189</v>
      </c>
      <c r="B3190">
        <v>2020</v>
      </c>
      <c r="C3190">
        <v>8</v>
      </c>
      <c r="D3190">
        <v>10</v>
      </c>
      <c r="E3190" s="1">
        <v>-0.65800000000000003</v>
      </c>
      <c r="F3190" t="s">
        <v>26</v>
      </c>
      <c r="G3190" t="str">
        <f>_xlfn.XLOOKUP(transakcje[[#This Row],[podkategoria]],parametr[podkategoria],parametr[kategoria])</f>
        <v>życie</v>
      </c>
      <c r="H3190" t="str">
        <f>_xlfn.XLOOKUP(transakcje[[#This Row],[kategoria]],parametr[kategoria],parametr[typ])</f>
        <v>wydatki</v>
      </c>
      <c r="I3190" s="1">
        <f>ABS(transakcje[[#This Row],[kwota]])</f>
        <v>0.65800000000000003</v>
      </c>
    </row>
    <row r="3191" spans="1:9" x14ac:dyDescent="0.3">
      <c r="A3191">
        <v>3190</v>
      </c>
      <c r="B3191">
        <v>2020</v>
      </c>
      <c r="C3191">
        <v>8</v>
      </c>
      <c r="D3191">
        <v>10</v>
      </c>
      <c r="E3191" s="1">
        <v>-15.234</v>
      </c>
      <c r="F3191" t="s">
        <v>26</v>
      </c>
      <c r="G3191" t="str">
        <f>_xlfn.XLOOKUP(transakcje[[#This Row],[podkategoria]],parametr[podkategoria],parametr[kategoria])</f>
        <v>życie</v>
      </c>
      <c r="H3191" t="str">
        <f>_xlfn.XLOOKUP(transakcje[[#This Row],[kategoria]],parametr[kategoria],parametr[typ])</f>
        <v>wydatki</v>
      </c>
      <c r="I3191" s="1">
        <f>ABS(transakcje[[#This Row],[kwota]])</f>
        <v>15.234</v>
      </c>
    </row>
    <row r="3192" spans="1:9" x14ac:dyDescent="0.3">
      <c r="A3192">
        <v>3191</v>
      </c>
      <c r="B3192">
        <v>2020</v>
      </c>
      <c r="C3192">
        <v>8</v>
      </c>
      <c r="D3192">
        <v>11</v>
      </c>
      <c r="E3192" s="1">
        <v>-12.656000000000001</v>
      </c>
      <c r="F3192" t="s">
        <v>26</v>
      </c>
      <c r="G3192" t="str">
        <f>_xlfn.XLOOKUP(transakcje[[#This Row],[podkategoria]],parametr[podkategoria],parametr[kategoria])</f>
        <v>życie</v>
      </c>
      <c r="H3192" t="str">
        <f>_xlfn.XLOOKUP(transakcje[[#This Row],[kategoria]],parametr[kategoria],parametr[typ])</f>
        <v>wydatki</v>
      </c>
      <c r="I3192" s="1">
        <f>ABS(transakcje[[#This Row],[kwota]])</f>
        <v>12.656000000000001</v>
      </c>
    </row>
    <row r="3193" spans="1:9" x14ac:dyDescent="0.3">
      <c r="A3193">
        <v>3192</v>
      </c>
      <c r="B3193">
        <v>2020</v>
      </c>
      <c r="C3193">
        <v>8</v>
      </c>
      <c r="D3193">
        <v>12</v>
      </c>
      <c r="E3193" s="1">
        <v>-17.356000000000002</v>
      </c>
      <c r="F3193" t="s">
        <v>11</v>
      </c>
      <c r="G3193" t="str">
        <f>_xlfn.XLOOKUP(transakcje[[#This Row],[podkategoria]],parametr[podkategoria],parametr[kategoria])</f>
        <v>wydatki inne</v>
      </c>
      <c r="H3193" t="str">
        <f>_xlfn.XLOOKUP(transakcje[[#This Row],[kategoria]],parametr[kategoria],parametr[typ])</f>
        <v>wydatki</v>
      </c>
      <c r="I3193" s="1">
        <f>ABS(transakcje[[#This Row],[kwota]])</f>
        <v>17.356000000000002</v>
      </c>
    </row>
    <row r="3194" spans="1:9" x14ac:dyDescent="0.3">
      <c r="A3194">
        <v>3193</v>
      </c>
      <c r="B3194">
        <v>2020</v>
      </c>
      <c r="C3194">
        <v>8</v>
      </c>
      <c r="D3194">
        <v>13</v>
      </c>
      <c r="E3194" s="1">
        <v>-3.9259999999999997</v>
      </c>
      <c r="F3194" t="s">
        <v>26</v>
      </c>
      <c r="G3194" t="str">
        <f>_xlfn.XLOOKUP(transakcje[[#This Row],[podkategoria]],parametr[podkategoria],parametr[kategoria])</f>
        <v>życie</v>
      </c>
      <c r="H3194" t="str">
        <f>_xlfn.XLOOKUP(transakcje[[#This Row],[kategoria]],parametr[kategoria],parametr[typ])</f>
        <v>wydatki</v>
      </c>
      <c r="I3194" s="1">
        <f>ABS(transakcje[[#This Row],[kwota]])</f>
        <v>3.9259999999999997</v>
      </c>
    </row>
    <row r="3195" spans="1:9" x14ac:dyDescent="0.3">
      <c r="A3195">
        <v>3194</v>
      </c>
      <c r="B3195">
        <v>2020</v>
      </c>
      <c r="C3195">
        <v>8</v>
      </c>
      <c r="D3195">
        <v>13</v>
      </c>
      <c r="E3195" s="1">
        <v>-0.65800000000000003</v>
      </c>
      <c r="F3195" t="s">
        <v>26</v>
      </c>
      <c r="G3195" t="str">
        <f>_xlfn.XLOOKUP(transakcje[[#This Row],[podkategoria]],parametr[podkategoria],parametr[kategoria])</f>
        <v>życie</v>
      </c>
      <c r="H3195" t="str">
        <f>_xlfn.XLOOKUP(transakcje[[#This Row],[kategoria]],parametr[kategoria],parametr[typ])</f>
        <v>wydatki</v>
      </c>
      <c r="I3195" s="1">
        <f>ABS(transakcje[[#This Row],[kwota]])</f>
        <v>0.65800000000000003</v>
      </c>
    </row>
    <row r="3196" spans="1:9" x14ac:dyDescent="0.3">
      <c r="A3196">
        <v>3195</v>
      </c>
      <c r="B3196">
        <v>2020</v>
      </c>
      <c r="C3196">
        <v>8</v>
      </c>
      <c r="D3196">
        <v>13</v>
      </c>
      <c r="E3196" s="1">
        <v>-1.798</v>
      </c>
      <c r="F3196" t="s">
        <v>26</v>
      </c>
      <c r="G3196" t="str">
        <f>_xlfn.XLOOKUP(transakcje[[#This Row],[podkategoria]],parametr[podkategoria],parametr[kategoria])</f>
        <v>życie</v>
      </c>
      <c r="H3196" t="str">
        <f>_xlfn.XLOOKUP(transakcje[[#This Row],[kategoria]],parametr[kategoria],parametr[typ])</f>
        <v>wydatki</v>
      </c>
      <c r="I3196" s="1">
        <f>ABS(transakcje[[#This Row],[kwota]])</f>
        <v>1.798</v>
      </c>
    </row>
    <row r="3197" spans="1:9" x14ac:dyDescent="0.3">
      <c r="A3197">
        <v>3196</v>
      </c>
      <c r="B3197">
        <v>2020</v>
      </c>
      <c r="C3197">
        <v>8</v>
      </c>
      <c r="D3197">
        <v>14</v>
      </c>
      <c r="E3197" s="1">
        <v>-0.39800000000000002</v>
      </c>
      <c r="F3197" t="s">
        <v>14</v>
      </c>
      <c r="G3197" t="str">
        <f>_xlfn.XLOOKUP(transakcje[[#This Row],[podkategoria]],parametr[podkategoria],parametr[kategoria])</f>
        <v>opłaty stałe</v>
      </c>
      <c r="H3197" t="str">
        <f>_xlfn.XLOOKUP(transakcje[[#This Row],[kategoria]],parametr[kategoria],parametr[typ])</f>
        <v>wydatki</v>
      </c>
      <c r="I3197" s="1">
        <f>ABS(transakcje[[#This Row],[kwota]])</f>
        <v>0.39800000000000002</v>
      </c>
    </row>
    <row r="3198" spans="1:9" x14ac:dyDescent="0.3">
      <c r="A3198">
        <v>3197</v>
      </c>
      <c r="B3198">
        <v>2020</v>
      </c>
      <c r="C3198">
        <v>8</v>
      </c>
      <c r="D3198">
        <v>15</v>
      </c>
      <c r="E3198" s="1">
        <v>-53.977999999999994</v>
      </c>
      <c r="F3198" t="s">
        <v>11</v>
      </c>
      <c r="G3198" t="str">
        <f>_xlfn.XLOOKUP(transakcje[[#This Row],[podkategoria]],parametr[podkategoria],parametr[kategoria])</f>
        <v>wydatki inne</v>
      </c>
      <c r="H3198" t="str">
        <f>_xlfn.XLOOKUP(transakcje[[#This Row],[kategoria]],parametr[kategoria],parametr[typ])</f>
        <v>wydatki</v>
      </c>
      <c r="I3198" s="1">
        <f>ABS(transakcje[[#This Row],[kwota]])</f>
        <v>53.977999999999994</v>
      </c>
    </row>
    <row r="3199" spans="1:9" x14ac:dyDescent="0.3">
      <c r="A3199">
        <v>3198</v>
      </c>
      <c r="B3199">
        <v>2020</v>
      </c>
      <c r="C3199">
        <v>8</v>
      </c>
      <c r="D3199">
        <v>16</v>
      </c>
      <c r="E3199" s="1">
        <v>-4.9799999999999995</v>
      </c>
      <c r="F3199" t="s">
        <v>11</v>
      </c>
      <c r="G3199" t="str">
        <f>_xlfn.XLOOKUP(transakcje[[#This Row],[podkategoria]],parametr[podkategoria],parametr[kategoria])</f>
        <v>wydatki inne</v>
      </c>
      <c r="H3199" t="str">
        <f>_xlfn.XLOOKUP(transakcje[[#This Row],[kategoria]],parametr[kategoria],parametr[typ])</f>
        <v>wydatki</v>
      </c>
      <c r="I3199" s="1">
        <f>ABS(transakcje[[#This Row],[kwota]])</f>
        <v>4.9799999999999995</v>
      </c>
    </row>
    <row r="3200" spans="1:9" x14ac:dyDescent="0.3">
      <c r="A3200">
        <v>3199</v>
      </c>
      <c r="B3200">
        <v>2020</v>
      </c>
      <c r="C3200">
        <v>8</v>
      </c>
      <c r="D3200">
        <v>17</v>
      </c>
      <c r="E3200" s="1">
        <v>-0.32999999999999996</v>
      </c>
      <c r="F3200" t="s">
        <v>26</v>
      </c>
      <c r="G3200" t="str">
        <f>_xlfn.XLOOKUP(transakcje[[#This Row],[podkategoria]],parametr[podkategoria],parametr[kategoria])</f>
        <v>życie</v>
      </c>
      <c r="H3200" t="str">
        <f>_xlfn.XLOOKUP(transakcje[[#This Row],[kategoria]],parametr[kategoria],parametr[typ])</f>
        <v>wydatki</v>
      </c>
      <c r="I3200" s="1">
        <f>ABS(transakcje[[#This Row],[kwota]])</f>
        <v>0.32999999999999996</v>
      </c>
    </row>
    <row r="3201" spans="1:9" x14ac:dyDescent="0.3">
      <c r="A3201">
        <v>3200</v>
      </c>
      <c r="B3201">
        <v>2020</v>
      </c>
      <c r="C3201">
        <v>8</v>
      </c>
      <c r="D3201">
        <v>18</v>
      </c>
      <c r="E3201" s="1">
        <v>-4.9799999999999995</v>
      </c>
      <c r="F3201" t="s">
        <v>11</v>
      </c>
      <c r="G3201" t="str">
        <f>_xlfn.XLOOKUP(transakcje[[#This Row],[podkategoria]],parametr[podkategoria],parametr[kategoria])</f>
        <v>wydatki inne</v>
      </c>
      <c r="H3201" t="str">
        <f>_xlfn.XLOOKUP(transakcje[[#This Row],[kategoria]],parametr[kategoria],parametr[typ])</f>
        <v>wydatki</v>
      </c>
      <c r="I3201" s="1">
        <f>ABS(transakcje[[#This Row],[kwota]])</f>
        <v>4.9799999999999995</v>
      </c>
    </row>
    <row r="3202" spans="1:9" x14ac:dyDescent="0.3">
      <c r="A3202">
        <v>3201</v>
      </c>
      <c r="B3202">
        <v>2020</v>
      </c>
      <c r="C3202">
        <v>8</v>
      </c>
      <c r="D3202">
        <v>20</v>
      </c>
      <c r="E3202" s="1">
        <v>-1.3160000000000001</v>
      </c>
      <c r="F3202" t="s">
        <v>26</v>
      </c>
      <c r="G3202" t="str">
        <f>_xlfn.XLOOKUP(transakcje[[#This Row],[podkategoria]],parametr[podkategoria],parametr[kategoria])</f>
        <v>życie</v>
      </c>
      <c r="H3202" t="str">
        <f>_xlfn.XLOOKUP(transakcje[[#This Row],[kategoria]],parametr[kategoria],parametr[typ])</f>
        <v>wydatki</v>
      </c>
      <c r="I3202" s="1">
        <f>ABS(transakcje[[#This Row],[kwota]])</f>
        <v>1.3160000000000001</v>
      </c>
    </row>
    <row r="3203" spans="1:9" x14ac:dyDescent="0.3">
      <c r="A3203">
        <v>3202</v>
      </c>
      <c r="B3203">
        <v>2020</v>
      </c>
      <c r="C3203">
        <v>8</v>
      </c>
      <c r="D3203">
        <v>20</v>
      </c>
      <c r="E3203" s="1">
        <v>-10.318000000000001</v>
      </c>
      <c r="F3203" t="s">
        <v>26</v>
      </c>
      <c r="G3203" t="str">
        <f>_xlfn.XLOOKUP(transakcje[[#This Row],[podkategoria]],parametr[podkategoria],parametr[kategoria])</f>
        <v>życie</v>
      </c>
      <c r="H3203" t="str">
        <f>_xlfn.XLOOKUP(transakcje[[#This Row],[kategoria]],parametr[kategoria],parametr[typ])</f>
        <v>wydatki</v>
      </c>
      <c r="I3203" s="1">
        <f>ABS(transakcje[[#This Row],[kwota]])</f>
        <v>10.318000000000001</v>
      </c>
    </row>
    <row r="3204" spans="1:9" x14ac:dyDescent="0.3">
      <c r="A3204">
        <v>3203</v>
      </c>
      <c r="B3204">
        <v>2020</v>
      </c>
      <c r="C3204">
        <v>8</v>
      </c>
      <c r="D3204">
        <v>23</v>
      </c>
      <c r="E3204" s="1">
        <v>-69.400000000000006</v>
      </c>
      <c r="F3204" t="s">
        <v>11</v>
      </c>
      <c r="G3204" t="str">
        <f>_xlfn.XLOOKUP(transakcje[[#This Row],[podkategoria]],parametr[podkategoria],parametr[kategoria])</f>
        <v>wydatki inne</v>
      </c>
      <c r="H3204" t="str">
        <f>_xlfn.XLOOKUP(transakcje[[#This Row],[kategoria]],parametr[kategoria],parametr[typ])</f>
        <v>wydatki</v>
      </c>
      <c r="I3204" s="1">
        <f>ABS(transakcje[[#This Row],[kwota]])</f>
        <v>69.400000000000006</v>
      </c>
    </row>
    <row r="3205" spans="1:9" x14ac:dyDescent="0.3">
      <c r="A3205">
        <v>3204</v>
      </c>
      <c r="B3205">
        <v>2020</v>
      </c>
      <c r="C3205">
        <v>8</v>
      </c>
      <c r="D3205">
        <v>23</v>
      </c>
      <c r="E3205" s="1">
        <v>-23.8</v>
      </c>
      <c r="F3205" t="s">
        <v>32</v>
      </c>
      <c r="G3205" t="str">
        <f>_xlfn.XLOOKUP(transakcje[[#This Row],[podkategoria]],parametr[podkategoria],parametr[kategoria])</f>
        <v>opłaty stałe</v>
      </c>
      <c r="H3205" t="str">
        <f>_xlfn.XLOOKUP(transakcje[[#This Row],[kategoria]],parametr[kategoria],parametr[typ])</f>
        <v>wydatki</v>
      </c>
      <c r="I3205" s="1">
        <f>ABS(transakcje[[#This Row],[kwota]])</f>
        <v>23.8</v>
      </c>
    </row>
    <row r="3206" spans="1:9" x14ac:dyDescent="0.3">
      <c r="A3206">
        <v>3205</v>
      </c>
      <c r="B3206">
        <v>2020</v>
      </c>
      <c r="C3206">
        <v>8</v>
      </c>
      <c r="D3206">
        <v>25</v>
      </c>
      <c r="E3206" s="1">
        <v>735.55</v>
      </c>
      <c r="F3206" t="s">
        <v>8</v>
      </c>
      <c r="G3206" t="str">
        <f>_xlfn.XLOOKUP(transakcje[[#This Row],[podkategoria]],parametr[podkategoria],parametr[kategoria])</f>
        <v>dochody z pracy</v>
      </c>
      <c r="H3206" t="str">
        <f>_xlfn.XLOOKUP(transakcje[[#This Row],[kategoria]],parametr[kategoria],parametr[typ])</f>
        <v>dochody</v>
      </c>
      <c r="I3206" s="1">
        <f>ABS(transakcje[[#This Row],[kwota]])</f>
        <v>735.55</v>
      </c>
    </row>
    <row r="3207" spans="1:9" x14ac:dyDescent="0.3">
      <c r="A3207">
        <v>3206</v>
      </c>
      <c r="B3207">
        <v>2020</v>
      </c>
      <c r="C3207">
        <v>8</v>
      </c>
      <c r="D3207">
        <v>26</v>
      </c>
      <c r="E3207" s="1">
        <v>-38.118000000000002</v>
      </c>
      <c r="F3207" t="s">
        <v>11</v>
      </c>
      <c r="G3207" t="str">
        <f>_xlfn.XLOOKUP(transakcje[[#This Row],[podkategoria]],parametr[podkategoria],parametr[kategoria])</f>
        <v>wydatki inne</v>
      </c>
      <c r="H3207" t="str">
        <f>_xlfn.XLOOKUP(transakcje[[#This Row],[kategoria]],parametr[kategoria],parametr[typ])</f>
        <v>wydatki</v>
      </c>
      <c r="I3207" s="1">
        <f>ABS(transakcje[[#This Row],[kwota]])</f>
        <v>38.118000000000002</v>
      </c>
    </row>
    <row r="3208" spans="1:9" x14ac:dyDescent="0.3">
      <c r="A3208">
        <v>3207</v>
      </c>
      <c r="B3208">
        <v>2020</v>
      </c>
      <c r="C3208">
        <v>8</v>
      </c>
      <c r="D3208">
        <v>26</v>
      </c>
      <c r="E3208" s="1">
        <v>1000</v>
      </c>
      <c r="F3208" t="s">
        <v>28</v>
      </c>
      <c r="G3208" t="str">
        <f>_xlfn.XLOOKUP(transakcje[[#This Row],[podkategoria]],parametr[podkategoria],parametr[kategoria])</f>
        <v>dochody pozostałe</v>
      </c>
      <c r="H3208" t="str">
        <f>_xlfn.XLOOKUP(transakcje[[#This Row],[kategoria]],parametr[kategoria],parametr[typ])</f>
        <v>dochody</v>
      </c>
      <c r="I3208" s="1">
        <f>ABS(transakcje[[#This Row],[kwota]])</f>
        <v>1000</v>
      </c>
    </row>
    <row r="3209" spans="1:9" x14ac:dyDescent="0.3">
      <c r="A3209">
        <v>3208</v>
      </c>
      <c r="B3209">
        <v>2020</v>
      </c>
      <c r="C3209">
        <v>8</v>
      </c>
      <c r="D3209">
        <v>26</v>
      </c>
      <c r="E3209" s="1">
        <v>-0.69800000000000006</v>
      </c>
      <c r="F3209" t="s">
        <v>26</v>
      </c>
      <c r="G3209" t="str">
        <f>_xlfn.XLOOKUP(transakcje[[#This Row],[podkategoria]],parametr[podkategoria],parametr[kategoria])</f>
        <v>życie</v>
      </c>
      <c r="H3209" t="str">
        <f>_xlfn.XLOOKUP(transakcje[[#This Row],[kategoria]],parametr[kategoria],parametr[typ])</f>
        <v>wydatki</v>
      </c>
      <c r="I3209" s="1">
        <f>ABS(transakcje[[#This Row],[kwota]])</f>
        <v>0.69800000000000006</v>
      </c>
    </row>
    <row r="3210" spans="1:9" x14ac:dyDescent="0.3">
      <c r="A3210">
        <v>3209</v>
      </c>
      <c r="B3210">
        <v>2020</v>
      </c>
      <c r="C3210">
        <v>8</v>
      </c>
      <c r="D3210">
        <v>27</v>
      </c>
      <c r="E3210" s="1">
        <v>-14.069999999999999</v>
      </c>
      <c r="F3210" t="s">
        <v>26</v>
      </c>
      <c r="G3210" t="str">
        <f>_xlfn.XLOOKUP(transakcje[[#This Row],[podkategoria]],parametr[podkategoria],parametr[kategoria])</f>
        <v>życie</v>
      </c>
      <c r="H3210" t="str">
        <f>_xlfn.XLOOKUP(transakcje[[#This Row],[kategoria]],parametr[kategoria],parametr[typ])</f>
        <v>wydatki</v>
      </c>
      <c r="I3210" s="1">
        <f>ABS(transakcje[[#This Row],[kwota]])</f>
        <v>14.069999999999999</v>
      </c>
    </row>
    <row r="3211" spans="1:9" x14ac:dyDescent="0.3">
      <c r="A3211">
        <v>3210</v>
      </c>
      <c r="B3211">
        <v>2020</v>
      </c>
      <c r="C3211">
        <v>8</v>
      </c>
      <c r="D3211">
        <v>28</v>
      </c>
      <c r="E3211" s="1">
        <v>-1.92</v>
      </c>
      <c r="F3211" t="s">
        <v>26</v>
      </c>
      <c r="G3211" t="str">
        <f>_xlfn.XLOOKUP(transakcje[[#This Row],[podkategoria]],parametr[podkategoria],parametr[kategoria])</f>
        <v>życie</v>
      </c>
      <c r="H3211" t="str">
        <f>_xlfn.XLOOKUP(transakcje[[#This Row],[kategoria]],parametr[kategoria],parametr[typ])</f>
        <v>wydatki</v>
      </c>
      <c r="I3211" s="1">
        <f>ABS(transakcje[[#This Row],[kwota]])</f>
        <v>1.92</v>
      </c>
    </row>
    <row r="3212" spans="1:9" x14ac:dyDescent="0.3">
      <c r="A3212">
        <v>3211</v>
      </c>
      <c r="B3212">
        <v>2020</v>
      </c>
      <c r="C3212">
        <v>8</v>
      </c>
      <c r="D3212">
        <v>28</v>
      </c>
      <c r="E3212" s="1">
        <v>-0.65800000000000003</v>
      </c>
      <c r="F3212" t="s">
        <v>26</v>
      </c>
      <c r="G3212" t="str">
        <f>_xlfn.XLOOKUP(transakcje[[#This Row],[podkategoria]],parametr[podkategoria],parametr[kategoria])</f>
        <v>życie</v>
      </c>
      <c r="H3212" t="str">
        <f>_xlfn.XLOOKUP(transakcje[[#This Row],[kategoria]],parametr[kategoria],parametr[typ])</f>
        <v>wydatki</v>
      </c>
      <c r="I3212" s="1">
        <f>ABS(transakcje[[#This Row],[kwota]])</f>
        <v>0.65800000000000003</v>
      </c>
    </row>
    <row r="3213" spans="1:9" x14ac:dyDescent="0.3">
      <c r="A3213">
        <v>3212</v>
      </c>
      <c r="B3213">
        <v>2020</v>
      </c>
      <c r="C3213">
        <v>8</v>
      </c>
      <c r="D3213">
        <v>28</v>
      </c>
      <c r="E3213" s="1">
        <v>-26.633999999999997</v>
      </c>
      <c r="F3213" t="s">
        <v>26</v>
      </c>
      <c r="G3213" t="str">
        <f>_xlfn.XLOOKUP(transakcje[[#This Row],[podkategoria]],parametr[podkategoria],parametr[kategoria])</f>
        <v>życie</v>
      </c>
      <c r="H3213" t="str">
        <f>_xlfn.XLOOKUP(transakcje[[#This Row],[kategoria]],parametr[kategoria],parametr[typ])</f>
        <v>wydatki</v>
      </c>
      <c r="I3213" s="1">
        <f>ABS(transakcje[[#This Row],[kwota]])</f>
        <v>26.633999999999997</v>
      </c>
    </row>
    <row r="3214" spans="1:9" x14ac:dyDescent="0.3">
      <c r="A3214">
        <v>3213</v>
      </c>
      <c r="B3214">
        <v>2020</v>
      </c>
      <c r="C3214">
        <v>8</v>
      </c>
      <c r="D3214">
        <v>31</v>
      </c>
      <c r="E3214" s="1">
        <v>-0.4</v>
      </c>
      <c r="F3214" t="s">
        <v>14</v>
      </c>
      <c r="G3214" t="str">
        <f>_xlfn.XLOOKUP(transakcje[[#This Row],[podkategoria]],parametr[podkategoria],parametr[kategoria])</f>
        <v>opłaty stałe</v>
      </c>
      <c r="H3214" t="str">
        <f>_xlfn.XLOOKUP(transakcje[[#This Row],[kategoria]],parametr[kategoria],parametr[typ])</f>
        <v>wydatki</v>
      </c>
      <c r="I3214" s="1">
        <f>ABS(transakcje[[#This Row],[kwota]])</f>
        <v>0.4</v>
      </c>
    </row>
    <row r="3215" spans="1:9" x14ac:dyDescent="0.3">
      <c r="A3215">
        <v>3214</v>
      </c>
      <c r="B3215">
        <v>2020</v>
      </c>
      <c r="C3215">
        <v>8</v>
      </c>
      <c r="D3215">
        <v>31</v>
      </c>
      <c r="E3215" s="1">
        <v>-1.3980000000000001</v>
      </c>
      <c r="F3215" t="s">
        <v>14</v>
      </c>
      <c r="G3215" t="str">
        <f>_xlfn.XLOOKUP(transakcje[[#This Row],[podkategoria]],parametr[podkategoria],parametr[kategoria])</f>
        <v>opłaty stałe</v>
      </c>
      <c r="H3215" t="str">
        <f>_xlfn.XLOOKUP(transakcje[[#This Row],[kategoria]],parametr[kategoria],parametr[typ])</f>
        <v>wydatki</v>
      </c>
      <c r="I3215" s="1">
        <f>ABS(transakcje[[#This Row],[kwota]])</f>
        <v>1.3980000000000001</v>
      </c>
    </row>
    <row r="3216" spans="1:9" x14ac:dyDescent="0.3">
      <c r="A3216">
        <v>3215</v>
      </c>
      <c r="B3216">
        <v>2020</v>
      </c>
      <c r="C3216">
        <v>8</v>
      </c>
      <c r="D3216">
        <v>31</v>
      </c>
      <c r="E3216" s="1">
        <v>4.0000000000000001E-3</v>
      </c>
      <c r="F3216" t="s">
        <v>17</v>
      </c>
      <c r="G3216" t="str">
        <f>_xlfn.XLOOKUP(transakcje[[#This Row],[podkategoria]],parametr[podkategoria],parametr[kategoria])</f>
        <v>dochody pozostałe</v>
      </c>
      <c r="H3216" t="str">
        <f>_xlfn.XLOOKUP(transakcje[[#This Row],[kategoria]],parametr[kategoria],parametr[typ])</f>
        <v>dochody</v>
      </c>
      <c r="I3216" s="1">
        <f>ABS(transakcje[[#This Row],[kwota]])</f>
        <v>4.0000000000000001E-3</v>
      </c>
    </row>
    <row r="3217" spans="1:9" x14ac:dyDescent="0.3">
      <c r="A3217">
        <v>3216</v>
      </c>
      <c r="B3217">
        <v>2020</v>
      </c>
      <c r="C3217">
        <v>8</v>
      </c>
      <c r="D3217">
        <v>31</v>
      </c>
      <c r="E3217" s="1">
        <v>-2E-3</v>
      </c>
      <c r="F3217" t="s">
        <v>14</v>
      </c>
      <c r="G3217" t="str">
        <f>_xlfn.XLOOKUP(transakcje[[#This Row],[podkategoria]],parametr[podkategoria],parametr[kategoria])</f>
        <v>opłaty stałe</v>
      </c>
      <c r="H3217" t="str">
        <f>_xlfn.XLOOKUP(transakcje[[#This Row],[kategoria]],parametr[kategoria],parametr[typ])</f>
        <v>wydatki</v>
      </c>
      <c r="I3217" s="1">
        <f>ABS(transakcje[[#This Row],[kwota]])</f>
        <v>2E-3</v>
      </c>
    </row>
    <row r="3218" spans="1:9" x14ac:dyDescent="0.3">
      <c r="A3218">
        <v>3217</v>
      </c>
      <c r="B3218">
        <v>2020</v>
      </c>
      <c r="C3218">
        <v>9</v>
      </c>
      <c r="D3218">
        <v>1</v>
      </c>
      <c r="E3218" s="1">
        <v>-55.017999999999994</v>
      </c>
      <c r="F3218" t="s">
        <v>24</v>
      </c>
      <c r="G3218" t="str">
        <f>_xlfn.XLOOKUP(transakcje[[#This Row],[podkategoria]],parametr[podkategoria],parametr[kategoria])</f>
        <v>trwałe</v>
      </c>
      <c r="H3218" t="str">
        <f>_xlfn.XLOOKUP(transakcje[[#This Row],[kategoria]],parametr[kategoria],parametr[typ])</f>
        <v>wydatki</v>
      </c>
      <c r="I3218" s="1">
        <f>ABS(transakcje[[#This Row],[kwota]])</f>
        <v>55.017999999999994</v>
      </c>
    </row>
    <row r="3219" spans="1:9" x14ac:dyDescent="0.3">
      <c r="A3219">
        <v>3218</v>
      </c>
      <c r="B3219">
        <v>2020</v>
      </c>
      <c r="C3219">
        <v>9</v>
      </c>
      <c r="D3219">
        <v>1</v>
      </c>
      <c r="E3219" s="1">
        <v>-13.872</v>
      </c>
      <c r="F3219" t="s">
        <v>34</v>
      </c>
      <c r="G3219" t="str">
        <f>_xlfn.XLOOKUP(transakcje[[#This Row],[podkategoria]],parametr[podkategoria],parametr[kategoria])</f>
        <v>opłaty stałe</v>
      </c>
      <c r="H3219" t="str">
        <f>_xlfn.XLOOKUP(transakcje[[#This Row],[kategoria]],parametr[kategoria],parametr[typ])</f>
        <v>wydatki</v>
      </c>
      <c r="I3219" s="1">
        <f>ABS(transakcje[[#This Row],[kwota]])</f>
        <v>13.872</v>
      </c>
    </row>
    <row r="3220" spans="1:9" x14ac:dyDescent="0.3">
      <c r="A3220">
        <v>3219</v>
      </c>
      <c r="B3220">
        <v>2020</v>
      </c>
      <c r="C3220">
        <v>9</v>
      </c>
      <c r="D3220">
        <v>1</v>
      </c>
      <c r="E3220" s="1">
        <v>-6.1979999999999995</v>
      </c>
      <c r="F3220" t="s">
        <v>35</v>
      </c>
      <c r="G3220" t="str">
        <f>_xlfn.XLOOKUP(transakcje[[#This Row],[podkategoria]],parametr[podkategoria],parametr[kategoria])</f>
        <v>opłaty stałe</v>
      </c>
      <c r="H3220" t="str">
        <f>_xlfn.XLOOKUP(transakcje[[#This Row],[kategoria]],parametr[kategoria],parametr[typ])</f>
        <v>wydatki</v>
      </c>
      <c r="I3220" s="1">
        <f>ABS(transakcje[[#This Row],[kwota]])</f>
        <v>6.1979999999999995</v>
      </c>
    </row>
    <row r="3221" spans="1:9" x14ac:dyDescent="0.3">
      <c r="A3221">
        <v>3220</v>
      </c>
      <c r="B3221">
        <v>2020</v>
      </c>
      <c r="C3221">
        <v>9</v>
      </c>
      <c r="D3221">
        <v>1</v>
      </c>
      <c r="E3221" s="1">
        <v>-46.4</v>
      </c>
      <c r="F3221" t="s">
        <v>30</v>
      </c>
      <c r="G3221" t="str">
        <f>_xlfn.XLOOKUP(transakcje[[#This Row],[podkategoria]],parametr[podkategoria],parametr[kategoria])</f>
        <v>opłaty stałe</v>
      </c>
      <c r="H3221" t="str">
        <f>_xlfn.XLOOKUP(transakcje[[#This Row],[kategoria]],parametr[kategoria],parametr[typ])</f>
        <v>wydatki</v>
      </c>
      <c r="I3221" s="1">
        <f>ABS(transakcje[[#This Row],[kwota]])</f>
        <v>46.4</v>
      </c>
    </row>
    <row r="3222" spans="1:9" x14ac:dyDescent="0.3">
      <c r="A3222">
        <v>3221</v>
      </c>
      <c r="B3222">
        <v>2020</v>
      </c>
      <c r="C3222">
        <v>9</v>
      </c>
      <c r="D3222">
        <v>1</v>
      </c>
      <c r="E3222" s="1">
        <v>-4.54</v>
      </c>
      <c r="F3222" t="s">
        <v>37</v>
      </c>
      <c r="G3222" t="str">
        <f>_xlfn.XLOOKUP(transakcje[[#This Row],[podkategoria]],parametr[podkategoria],parametr[kategoria])</f>
        <v>opłaty stałe</v>
      </c>
      <c r="H3222" t="str">
        <f>_xlfn.XLOOKUP(transakcje[[#This Row],[kategoria]],parametr[kategoria],parametr[typ])</f>
        <v>wydatki</v>
      </c>
      <c r="I3222" s="1">
        <f>ABS(transakcje[[#This Row],[kwota]])</f>
        <v>4.54</v>
      </c>
    </row>
    <row r="3223" spans="1:9" x14ac:dyDescent="0.3">
      <c r="A3223">
        <v>3222</v>
      </c>
      <c r="B3223">
        <v>2020</v>
      </c>
      <c r="C3223">
        <v>9</v>
      </c>
      <c r="D3223">
        <v>1</v>
      </c>
      <c r="E3223" s="1">
        <v>-5.8</v>
      </c>
      <c r="F3223" t="s">
        <v>25</v>
      </c>
      <c r="G3223" t="str">
        <f>_xlfn.XLOOKUP(transakcje[[#This Row],[podkategoria]],parametr[podkategoria],parametr[kategoria])</f>
        <v>opłaty stałe</v>
      </c>
      <c r="H3223" t="str">
        <f>_xlfn.XLOOKUP(transakcje[[#This Row],[kategoria]],parametr[kategoria],parametr[typ])</f>
        <v>wydatki</v>
      </c>
      <c r="I3223" s="1">
        <f>ABS(transakcje[[#This Row],[kwota]])</f>
        <v>5.8</v>
      </c>
    </row>
    <row r="3224" spans="1:9" x14ac:dyDescent="0.3">
      <c r="A3224">
        <v>3223</v>
      </c>
      <c r="B3224">
        <v>2020</v>
      </c>
      <c r="C3224">
        <v>9</v>
      </c>
      <c r="D3224">
        <v>1</v>
      </c>
      <c r="E3224" s="1">
        <v>-7.38</v>
      </c>
      <c r="F3224" t="s">
        <v>23</v>
      </c>
      <c r="G3224" t="str">
        <f>_xlfn.XLOOKUP(transakcje[[#This Row],[podkategoria]],parametr[podkategoria],parametr[kategoria])</f>
        <v>opłaty stałe</v>
      </c>
      <c r="H3224" t="str">
        <f>_xlfn.XLOOKUP(transakcje[[#This Row],[kategoria]],parametr[kategoria],parametr[typ])</f>
        <v>wydatki</v>
      </c>
      <c r="I3224" s="1">
        <f>ABS(transakcje[[#This Row],[kwota]])</f>
        <v>7.38</v>
      </c>
    </row>
    <row r="3225" spans="1:9" x14ac:dyDescent="0.3">
      <c r="A3225">
        <v>3224</v>
      </c>
      <c r="B3225">
        <v>2020</v>
      </c>
      <c r="C3225">
        <v>9</v>
      </c>
      <c r="D3225">
        <v>1</v>
      </c>
      <c r="E3225" s="1">
        <v>-66.355999999999995</v>
      </c>
      <c r="F3225" t="s">
        <v>31</v>
      </c>
      <c r="G3225" t="str">
        <f>_xlfn.XLOOKUP(transakcje[[#This Row],[podkategoria]],parametr[podkategoria],parametr[kategoria])</f>
        <v>opłaty stałe</v>
      </c>
      <c r="H3225" t="str">
        <f>_xlfn.XLOOKUP(transakcje[[#This Row],[kategoria]],parametr[kategoria],parametr[typ])</f>
        <v>wydatki</v>
      </c>
      <c r="I3225" s="1">
        <f>ABS(transakcje[[#This Row],[kwota]])</f>
        <v>66.355999999999995</v>
      </c>
    </row>
    <row r="3226" spans="1:9" x14ac:dyDescent="0.3">
      <c r="A3226">
        <v>3225</v>
      </c>
      <c r="B3226">
        <v>2020</v>
      </c>
      <c r="C3226">
        <v>9</v>
      </c>
      <c r="D3226">
        <v>1</v>
      </c>
      <c r="E3226" s="1">
        <v>-0.65800000000000003</v>
      </c>
      <c r="F3226" t="s">
        <v>26</v>
      </c>
      <c r="G3226" t="str">
        <f>_xlfn.XLOOKUP(transakcje[[#This Row],[podkategoria]],parametr[podkategoria],parametr[kategoria])</f>
        <v>życie</v>
      </c>
      <c r="H3226" t="str">
        <f>_xlfn.XLOOKUP(transakcje[[#This Row],[kategoria]],parametr[kategoria],parametr[typ])</f>
        <v>wydatki</v>
      </c>
      <c r="I3226" s="1">
        <f>ABS(transakcje[[#This Row],[kwota]])</f>
        <v>0.65800000000000003</v>
      </c>
    </row>
    <row r="3227" spans="1:9" x14ac:dyDescent="0.3">
      <c r="A3227">
        <v>3226</v>
      </c>
      <c r="B3227">
        <v>2020</v>
      </c>
      <c r="C3227">
        <v>9</v>
      </c>
      <c r="D3227">
        <v>2</v>
      </c>
      <c r="E3227" s="1">
        <v>-8.5500000000000007</v>
      </c>
      <c r="F3227" t="s">
        <v>26</v>
      </c>
      <c r="G3227" t="str">
        <f>_xlfn.XLOOKUP(transakcje[[#This Row],[podkategoria]],parametr[podkategoria],parametr[kategoria])</f>
        <v>życie</v>
      </c>
      <c r="H3227" t="str">
        <f>_xlfn.XLOOKUP(transakcje[[#This Row],[kategoria]],parametr[kategoria],parametr[typ])</f>
        <v>wydatki</v>
      </c>
      <c r="I3227" s="1">
        <f>ABS(transakcje[[#This Row],[kwota]])</f>
        <v>8.5500000000000007</v>
      </c>
    </row>
    <row r="3228" spans="1:9" x14ac:dyDescent="0.3">
      <c r="A3228">
        <v>3227</v>
      </c>
      <c r="B3228">
        <v>2020</v>
      </c>
      <c r="C3228">
        <v>9</v>
      </c>
      <c r="D3228">
        <v>3</v>
      </c>
      <c r="E3228" s="1">
        <v>-5.6719999999999997</v>
      </c>
      <c r="F3228" t="s">
        <v>26</v>
      </c>
      <c r="G3228" t="str">
        <f>_xlfn.XLOOKUP(transakcje[[#This Row],[podkategoria]],parametr[podkategoria],parametr[kategoria])</f>
        <v>życie</v>
      </c>
      <c r="H3228" t="str">
        <f>_xlfn.XLOOKUP(transakcje[[#This Row],[kategoria]],parametr[kategoria],parametr[typ])</f>
        <v>wydatki</v>
      </c>
      <c r="I3228" s="1">
        <f>ABS(transakcje[[#This Row],[kwota]])</f>
        <v>5.6719999999999997</v>
      </c>
    </row>
    <row r="3229" spans="1:9" x14ac:dyDescent="0.3">
      <c r="A3229">
        <v>3228</v>
      </c>
      <c r="B3229">
        <v>2020</v>
      </c>
      <c r="C3229">
        <v>9</v>
      </c>
      <c r="D3229">
        <v>3</v>
      </c>
      <c r="E3229" s="1">
        <v>-6.7760000000000007</v>
      </c>
      <c r="F3229" t="s">
        <v>26</v>
      </c>
      <c r="G3229" t="str">
        <f>_xlfn.XLOOKUP(transakcje[[#This Row],[podkategoria]],parametr[podkategoria],parametr[kategoria])</f>
        <v>życie</v>
      </c>
      <c r="H3229" t="str">
        <f>_xlfn.XLOOKUP(transakcje[[#This Row],[kategoria]],parametr[kategoria],parametr[typ])</f>
        <v>wydatki</v>
      </c>
      <c r="I3229" s="1">
        <f>ABS(transakcje[[#This Row],[kwota]])</f>
        <v>6.7760000000000007</v>
      </c>
    </row>
    <row r="3230" spans="1:9" x14ac:dyDescent="0.3">
      <c r="A3230">
        <v>3229</v>
      </c>
      <c r="B3230">
        <v>2020</v>
      </c>
      <c r="C3230">
        <v>9</v>
      </c>
      <c r="D3230">
        <v>4</v>
      </c>
      <c r="E3230" s="1">
        <v>-1.3160000000000001</v>
      </c>
      <c r="F3230" t="s">
        <v>26</v>
      </c>
      <c r="G3230" t="str">
        <f>_xlfn.XLOOKUP(transakcje[[#This Row],[podkategoria]],parametr[podkategoria],parametr[kategoria])</f>
        <v>życie</v>
      </c>
      <c r="H3230" t="str">
        <f>_xlfn.XLOOKUP(transakcje[[#This Row],[kategoria]],parametr[kategoria],parametr[typ])</f>
        <v>wydatki</v>
      </c>
      <c r="I3230" s="1">
        <f>ABS(transakcje[[#This Row],[kwota]])</f>
        <v>1.3160000000000001</v>
      </c>
    </row>
    <row r="3231" spans="1:9" x14ac:dyDescent="0.3">
      <c r="A3231">
        <v>3230</v>
      </c>
      <c r="B3231">
        <v>2020</v>
      </c>
      <c r="C3231">
        <v>9</v>
      </c>
      <c r="D3231">
        <v>4</v>
      </c>
      <c r="E3231" s="1">
        <v>-6.3579999999999997</v>
      </c>
      <c r="F3231" t="s">
        <v>26</v>
      </c>
      <c r="G3231" t="str">
        <f>_xlfn.XLOOKUP(transakcje[[#This Row],[podkategoria]],parametr[podkategoria],parametr[kategoria])</f>
        <v>życie</v>
      </c>
      <c r="H3231" t="str">
        <f>_xlfn.XLOOKUP(transakcje[[#This Row],[kategoria]],parametr[kategoria],parametr[typ])</f>
        <v>wydatki</v>
      </c>
      <c r="I3231" s="1">
        <f>ABS(transakcje[[#This Row],[kwota]])</f>
        <v>6.3579999999999997</v>
      </c>
    </row>
    <row r="3232" spans="1:9" x14ac:dyDescent="0.3">
      <c r="A3232">
        <v>3231</v>
      </c>
      <c r="B3232">
        <v>2020</v>
      </c>
      <c r="C3232">
        <v>9</v>
      </c>
      <c r="D3232">
        <v>5</v>
      </c>
      <c r="E3232" s="1">
        <v>-5</v>
      </c>
      <c r="F3232" t="s">
        <v>11</v>
      </c>
      <c r="G3232" t="str">
        <f>_xlfn.XLOOKUP(transakcje[[#This Row],[podkategoria]],parametr[podkategoria],parametr[kategoria])</f>
        <v>wydatki inne</v>
      </c>
      <c r="H3232" t="str">
        <f>_xlfn.XLOOKUP(transakcje[[#This Row],[kategoria]],parametr[kategoria],parametr[typ])</f>
        <v>wydatki</v>
      </c>
      <c r="I3232" s="1">
        <f>ABS(transakcje[[#This Row],[kwota]])</f>
        <v>5</v>
      </c>
    </row>
    <row r="3233" spans="1:9" x14ac:dyDescent="0.3">
      <c r="A3233">
        <v>3232</v>
      </c>
      <c r="B3233">
        <v>2020</v>
      </c>
      <c r="C3233">
        <v>9</v>
      </c>
      <c r="D3233">
        <v>11</v>
      </c>
      <c r="E3233" s="1">
        <v>-0.65800000000000003</v>
      </c>
      <c r="F3233" t="s">
        <v>26</v>
      </c>
      <c r="G3233" t="str">
        <f>_xlfn.XLOOKUP(transakcje[[#This Row],[podkategoria]],parametr[podkategoria],parametr[kategoria])</f>
        <v>życie</v>
      </c>
      <c r="H3233" t="str">
        <f>_xlfn.XLOOKUP(transakcje[[#This Row],[kategoria]],parametr[kategoria],parametr[typ])</f>
        <v>wydatki</v>
      </c>
      <c r="I3233" s="1">
        <f>ABS(transakcje[[#This Row],[kwota]])</f>
        <v>0.65800000000000003</v>
      </c>
    </row>
    <row r="3234" spans="1:9" x14ac:dyDescent="0.3">
      <c r="A3234">
        <v>3233</v>
      </c>
      <c r="B3234">
        <v>2020</v>
      </c>
      <c r="C3234">
        <v>9</v>
      </c>
      <c r="D3234">
        <v>12</v>
      </c>
      <c r="E3234" s="1">
        <v>-11.379999999999999</v>
      </c>
      <c r="F3234" t="s">
        <v>26</v>
      </c>
      <c r="G3234" t="str">
        <f>_xlfn.XLOOKUP(transakcje[[#This Row],[podkategoria]],parametr[podkategoria],parametr[kategoria])</f>
        <v>życie</v>
      </c>
      <c r="H3234" t="str">
        <f>_xlfn.XLOOKUP(transakcje[[#This Row],[kategoria]],parametr[kategoria],parametr[typ])</f>
        <v>wydatki</v>
      </c>
      <c r="I3234" s="1">
        <f>ABS(transakcje[[#This Row],[kwota]])</f>
        <v>11.379999999999999</v>
      </c>
    </row>
    <row r="3235" spans="1:9" x14ac:dyDescent="0.3">
      <c r="A3235">
        <v>3234</v>
      </c>
      <c r="B3235">
        <v>2020</v>
      </c>
      <c r="C3235">
        <v>9</v>
      </c>
      <c r="D3235">
        <v>12</v>
      </c>
      <c r="E3235" s="1">
        <v>-0.65800000000000003</v>
      </c>
      <c r="F3235" t="s">
        <v>26</v>
      </c>
      <c r="G3235" t="str">
        <f>_xlfn.XLOOKUP(transakcje[[#This Row],[podkategoria]],parametr[podkategoria],parametr[kategoria])</f>
        <v>życie</v>
      </c>
      <c r="H3235" t="str">
        <f>_xlfn.XLOOKUP(transakcje[[#This Row],[kategoria]],parametr[kategoria],parametr[typ])</f>
        <v>wydatki</v>
      </c>
      <c r="I3235" s="1">
        <f>ABS(transakcje[[#This Row],[kwota]])</f>
        <v>0.65800000000000003</v>
      </c>
    </row>
    <row r="3236" spans="1:9" x14ac:dyDescent="0.3">
      <c r="A3236">
        <v>3235</v>
      </c>
      <c r="B3236">
        <v>2020</v>
      </c>
      <c r="C3236">
        <v>9</v>
      </c>
      <c r="D3236">
        <v>12</v>
      </c>
      <c r="E3236" s="1">
        <v>-91.364000000000004</v>
      </c>
      <c r="F3236" t="s">
        <v>20</v>
      </c>
      <c r="G3236" t="str">
        <f>_xlfn.XLOOKUP(transakcje[[#This Row],[podkategoria]],parametr[podkategoria],parametr[kategoria])</f>
        <v>trwałe</v>
      </c>
      <c r="H3236" t="str">
        <f>_xlfn.XLOOKUP(transakcje[[#This Row],[kategoria]],parametr[kategoria],parametr[typ])</f>
        <v>wydatki</v>
      </c>
      <c r="I3236" s="1">
        <f>ABS(transakcje[[#This Row],[kwota]])</f>
        <v>91.364000000000004</v>
      </c>
    </row>
    <row r="3237" spans="1:9" x14ac:dyDescent="0.3">
      <c r="A3237">
        <v>3236</v>
      </c>
      <c r="B3237">
        <v>2020</v>
      </c>
      <c r="C3237">
        <v>9</v>
      </c>
      <c r="D3237">
        <v>14</v>
      </c>
      <c r="E3237" s="1">
        <v>-0.65800000000000003</v>
      </c>
      <c r="F3237" t="s">
        <v>26</v>
      </c>
      <c r="G3237" t="str">
        <f>_xlfn.XLOOKUP(transakcje[[#This Row],[podkategoria]],parametr[podkategoria],parametr[kategoria])</f>
        <v>życie</v>
      </c>
      <c r="H3237" t="str">
        <f>_xlfn.XLOOKUP(transakcje[[#This Row],[kategoria]],parametr[kategoria],parametr[typ])</f>
        <v>wydatki</v>
      </c>
      <c r="I3237" s="1">
        <f>ABS(transakcje[[#This Row],[kwota]])</f>
        <v>0.65800000000000003</v>
      </c>
    </row>
    <row r="3238" spans="1:9" x14ac:dyDescent="0.3">
      <c r="A3238">
        <v>3237</v>
      </c>
      <c r="B3238">
        <v>2020</v>
      </c>
      <c r="C3238">
        <v>9</v>
      </c>
      <c r="D3238">
        <v>14</v>
      </c>
      <c r="E3238" s="1">
        <v>-52.475999999999999</v>
      </c>
      <c r="F3238" t="s">
        <v>11</v>
      </c>
      <c r="G3238" t="str">
        <f>_xlfn.XLOOKUP(transakcje[[#This Row],[podkategoria]],parametr[podkategoria],parametr[kategoria])</f>
        <v>wydatki inne</v>
      </c>
      <c r="H3238" t="str">
        <f>_xlfn.XLOOKUP(transakcje[[#This Row],[kategoria]],parametr[kategoria],parametr[typ])</f>
        <v>wydatki</v>
      </c>
      <c r="I3238" s="1">
        <f>ABS(transakcje[[#This Row],[kwota]])</f>
        <v>52.475999999999999</v>
      </c>
    </row>
    <row r="3239" spans="1:9" x14ac:dyDescent="0.3">
      <c r="A3239">
        <v>3238</v>
      </c>
      <c r="B3239">
        <v>2020</v>
      </c>
      <c r="C3239">
        <v>9</v>
      </c>
      <c r="D3239">
        <v>14</v>
      </c>
      <c r="E3239" s="1">
        <v>-84.572000000000003</v>
      </c>
      <c r="F3239" t="s">
        <v>20</v>
      </c>
      <c r="G3239" t="str">
        <f>_xlfn.XLOOKUP(transakcje[[#This Row],[podkategoria]],parametr[podkategoria],parametr[kategoria])</f>
        <v>trwałe</v>
      </c>
      <c r="H3239" t="str">
        <f>_xlfn.XLOOKUP(transakcje[[#This Row],[kategoria]],parametr[kategoria],parametr[typ])</f>
        <v>wydatki</v>
      </c>
      <c r="I3239" s="1">
        <f>ABS(transakcje[[#This Row],[kwota]])</f>
        <v>84.572000000000003</v>
      </c>
    </row>
    <row r="3240" spans="1:9" x14ac:dyDescent="0.3">
      <c r="A3240">
        <v>3239</v>
      </c>
      <c r="B3240">
        <v>2020</v>
      </c>
      <c r="C3240">
        <v>9</v>
      </c>
      <c r="D3240">
        <v>15</v>
      </c>
      <c r="E3240" s="1">
        <v>-56.760000000000005</v>
      </c>
      <c r="F3240" t="s">
        <v>20</v>
      </c>
      <c r="G3240" t="str">
        <f>_xlfn.XLOOKUP(transakcje[[#This Row],[podkategoria]],parametr[podkategoria],parametr[kategoria])</f>
        <v>trwałe</v>
      </c>
      <c r="H3240" t="str">
        <f>_xlfn.XLOOKUP(transakcje[[#This Row],[kategoria]],parametr[kategoria],parametr[typ])</f>
        <v>wydatki</v>
      </c>
      <c r="I3240" s="1">
        <f>ABS(transakcje[[#This Row],[kwota]])</f>
        <v>56.760000000000005</v>
      </c>
    </row>
    <row r="3241" spans="1:9" x14ac:dyDescent="0.3">
      <c r="A3241">
        <v>3240</v>
      </c>
      <c r="B3241">
        <v>2020</v>
      </c>
      <c r="C3241">
        <v>9</v>
      </c>
      <c r="D3241">
        <v>15</v>
      </c>
      <c r="E3241" s="1">
        <v>-0.39800000000000002</v>
      </c>
      <c r="F3241" t="s">
        <v>14</v>
      </c>
      <c r="G3241" t="str">
        <f>_xlfn.XLOOKUP(transakcje[[#This Row],[podkategoria]],parametr[podkategoria],parametr[kategoria])</f>
        <v>opłaty stałe</v>
      </c>
      <c r="H3241" t="str">
        <f>_xlfn.XLOOKUP(transakcje[[#This Row],[kategoria]],parametr[kategoria],parametr[typ])</f>
        <v>wydatki</v>
      </c>
      <c r="I3241" s="1">
        <f>ABS(transakcje[[#This Row],[kwota]])</f>
        <v>0.39800000000000002</v>
      </c>
    </row>
    <row r="3242" spans="1:9" x14ac:dyDescent="0.3">
      <c r="A3242">
        <v>3241</v>
      </c>
      <c r="B3242">
        <v>2020</v>
      </c>
      <c r="C3242">
        <v>9</v>
      </c>
      <c r="D3242">
        <v>17</v>
      </c>
      <c r="E3242" s="1">
        <v>-37.128</v>
      </c>
      <c r="F3242" t="s">
        <v>26</v>
      </c>
      <c r="G3242" t="str">
        <f>_xlfn.XLOOKUP(transakcje[[#This Row],[podkategoria]],parametr[podkategoria],parametr[kategoria])</f>
        <v>życie</v>
      </c>
      <c r="H3242" t="str">
        <f>_xlfn.XLOOKUP(transakcje[[#This Row],[kategoria]],parametr[kategoria],parametr[typ])</f>
        <v>wydatki</v>
      </c>
      <c r="I3242" s="1">
        <f>ABS(transakcje[[#This Row],[kwota]])</f>
        <v>37.128</v>
      </c>
    </row>
    <row r="3243" spans="1:9" x14ac:dyDescent="0.3">
      <c r="A3243">
        <v>3242</v>
      </c>
      <c r="B3243">
        <v>2020</v>
      </c>
      <c r="C3243">
        <v>9</v>
      </c>
      <c r="D3243">
        <v>18</v>
      </c>
      <c r="E3243" s="1">
        <v>-3.5799999999999996</v>
      </c>
      <c r="F3243" t="s">
        <v>26</v>
      </c>
      <c r="G3243" t="str">
        <f>_xlfn.XLOOKUP(transakcje[[#This Row],[podkategoria]],parametr[podkategoria],parametr[kategoria])</f>
        <v>życie</v>
      </c>
      <c r="H3243" t="str">
        <f>_xlfn.XLOOKUP(transakcje[[#This Row],[kategoria]],parametr[kategoria],parametr[typ])</f>
        <v>wydatki</v>
      </c>
      <c r="I3243" s="1">
        <f>ABS(transakcje[[#This Row],[kwota]])</f>
        <v>3.5799999999999996</v>
      </c>
    </row>
    <row r="3244" spans="1:9" x14ac:dyDescent="0.3">
      <c r="A3244">
        <v>3243</v>
      </c>
      <c r="B3244">
        <v>2020</v>
      </c>
      <c r="C3244">
        <v>9</v>
      </c>
      <c r="D3244">
        <v>19</v>
      </c>
      <c r="E3244" s="1">
        <v>-0.65800000000000003</v>
      </c>
      <c r="F3244" t="s">
        <v>26</v>
      </c>
      <c r="G3244" t="str">
        <f>_xlfn.XLOOKUP(transakcje[[#This Row],[podkategoria]],parametr[podkategoria],parametr[kategoria])</f>
        <v>życie</v>
      </c>
      <c r="H3244" t="str">
        <f>_xlfn.XLOOKUP(transakcje[[#This Row],[kategoria]],parametr[kategoria],parametr[typ])</f>
        <v>wydatki</v>
      </c>
      <c r="I3244" s="1">
        <f>ABS(transakcje[[#This Row],[kwota]])</f>
        <v>0.65800000000000003</v>
      </c>
    </row>
    <row r="3245" spans="1:9" x14ac:dyDescent="0.3">
      <c r="A3245">
        <v>3244</v>
      </c>
      <c r="B3245">
        <v>2020</v>
      </c>
      <c r="C3245">
        <v>9</v>
      </c>
      <c r="D3245">
        <v>19</v>
      </c>
      <c r="E3245" s="1">
        <v>-6.0880000000000001</v>
      </c>
      <c r="F3245" t="s">
        <v>26</v>
      </c>
      <c r="G3245" t="str">
        <f>_xlfn.XLOOKUP(transakcje[[#This Row],[podkategoria]],parametr[podkategoria],parametr[kategoria])</f>
        <v>życie</v>
      </c>
      <c r="H3245" t="str">
        <f>_xlfn.XLOOKUP(transakcje[[#This Row],[kategoria]],parametr[kategoria],parametr[typ])</f>
        <v>wydatki</v>
      </c>
      <c r="I3245" s="1">
        <f>ABS(transakcje[[#This Row],[kwota]])</f>
        <v>6.0880000000000001</v>
      </c>
    </row>
    <row r="3246" spans="1:9" x14ac:dyDescent="0.3">
      <c r="A3246">
        <v>3245</v>
      </c>
      <c r="B3246">
        <v>2020</v>
      </c>
      <c r="C3246">
        <v>9</v>
      </c>
      <c r="D3246">
        <v>21</v>
      </c>
      <c r="E3246" s="1">
        <v>-6</v>
      </c>
      <c r="F3246" t="s">
        <v>11</v>
      </c>
      <c r="G3246" t="str">
        <f>_xlfn.XLOOKUP(transakcje[[#This Row],[podkategoria]],parametr[podkategoria],parametr[kategoria])</f>
        <v>wydatki inne</v>
      </c>
      <c r="H3246" t="str">
        <f>_xlfn.XLOOKUP(transakcje[[#This Row],[kategoria]],parametr[kategoria],parametr[typ])</f>
        <v>wydatki</v>
      </c>
      <c r="I3246" s="1">
        <f>ABS(transakcje[[#This Row],[kwota]])</f>
        <v>6</v>
      </c>
    </row>
    <row r="3247" spans="1:9" x14ac:dyDescent="0.3">
      <c r="A3247">
        <v>3246</v>
      </c>
      <c r="B3247">
        <v>2020</v>
      </c>
      <c r="C3247">
        <v>9</v>
      </c>
      <c r="D3247">
        <v>21</v>
      </c>
      <c r="E3247" s="1">
        <v>-13.978</v>
      </c>
      <c r="F3247" t="s">
        <v>20</v>
      </c>
      <c r="G3247" t="str">
        <f>_xlfn.XLOOKUP(transakcje[[#This Row],[podkategoria]],parametr[podkategoria],parametr[kategoria])</f>
        <v>trwałe</v>
      </c>
      <c r="H3247" t="str">
        <f>_xlfn.XLOOKUP(transakcje[[#This Row],[kategoria]],parametr[kategoria],parametr[typ])</f>
        <v>wydatki</v>
      </c>
      <c r="I3247" s="1">
        <f>ABS(transakcje[[#This Row],[kwota]])</f>
        <v>13.978</v>
      </c>
    </row>
    <row r="3248" spans="1:9" x14ac:dyDescent="0.3">
      <c r="A3248">
        <v>3247</v>
      </c>
      <c r="B3248">
        <v>2020</v>
      </c>
      <c r="C3248">
        <v>9</v>
      </c>
      <c r="D3248">
        <v>21</v>
      </c>
      <c r="E3248" s="1">
        <v>-2.516</v>
      </c>
      <c r="F3248" t="s">
        <v>26</v>
      </c>
      <c r="G3248" t="str">
        <f>_xlfn.XLOOKUP(transakcje[[#This Row],[podkategoria]],parametr[podkategoria],parametr[kategoria])</f>
        <v>życie</v>
      </c>
      <c r="H3248" t="str">
        <f>_xlfn.XLOOKUP(transakcje[[#This Row],[kategoria]],parametr[kategoria],parametr[typ])</f>
        <v>wydatki</v>
      </c>
      <c r="I3248" s="1">
        <f>ABS(transakcje[[#This Row],[kwota]])</f>
        <v>2.516</v>
      </c>
    </row>
    <row r="3249" spans="1:9" x14ac:dyDescent="0.3">
      <c r="A3249">
        <v>3248</v>
      </c>
      <c r="B3249">
        <v>2020</v>
      </c>
      <c r="C3249">
        <v>9</v>
      </c>
      <c r="D3249">
        <v>21</v>
      </c>
      <c r="E3249" s="1">
        <v>-0.65800000000000003</v>
      </c>
      <c r="F3249" t="s">
        <v>26</v>
      </c>
      <c r="G3249" t="str">
        <f>_xlfn.XLOOKUP(transakcje[[#This Row],[podkategoria]],parametr[podkategoria],parametr[kategoria])</f>
        <v>życie</v>
      </c>
      <c r="H3249" t="str">
        <f>_xlfn.XLOOKUP(transakcje[[#This Row],[kategoria]],parametr[kategoria],parametr[typ])</f>
        <v>wydatki</v>
      </c>
      <c r="I3249" s="1">
        <f>ABS(transakcje[[#This Row],[kwota]])</f>
        <v>0.65800000000000003</v>
      </c>
    </row>
    <row r="3250" spans="1:9" x14ac:dyDescent="0.3">
      <c r="A3250">
        <v>3249</v>
      </c>
      <c r="B3250">
        <v>2020</v>
      </c>
      <c r="C3250">
        <v>9</v>
      </c>
      <c r="D3250">
        <v>22</v>
      </c>
      <c r="E3250" s="1">
        <v>-5.9979999999999993</v>
      </c>
      <c r="F3250" t="s">
        <v>26</v>
      </c>
      <c r="G3250" t="str">
        <f>_xlfn.XLOOKUP(transakcje[[#This Row],[podkategoria]],parametr[podkategoria],parametr[kategoria])</f>
        <v>życie</v>
      </c>
      <c r="H3250" t="str">
        <f>_xlfn.XLOOKUP(transakcje[[#This Row],[kategoria]],parametr[kategoria],parametr[typ])</f>
        <v>wydatki</v>
      </c>
      <c r="I3250" s="1">
        <f>ABS(transakcje[[#This Row],[kwota]])</f>
        <v>5.9979999999999993</v>
      </c>
    </row>
    <row r="3251" spans="1:9" x14ac:dyDescent="0.3">
      <c r="A3251">
        <v>3250</v>
      </c>
      <c r="B3251">
        <v>2020</v>
      </c>
      <c r="C3251">
        <v>9</v>
      </c>
      <c r="D3251">
        <v>23</v>
      </c>
      <c r="E3251" s="1">
        <v>-24.48</v>
      </c>
      <c r="F3251" t="s">
        <v>32</v>
      </c>
      <c r="G3251" t="str">
        <f>_xlfn.XLOOKUP(transakcje[[#This Row],[podkategoria]],parametr[podkategoria],parametr[kategoria])</f>
        <v>opłaty stałe</v>
      </c>
      <c r="H3251" t="str">
        <f>_xlfn.XLOOKUP(transakcje[[#This Row],[kategoria]],parametr[kategoria],parametr[typ])</f>
        <v>wydatki</v>
      </c>
      <c r="I3251" s="1">
        <f>ABS(transakcje[[#This Row],[kwota]])</f>
        <v>24.48</v>
      </c>
    </row>
    <row r="3252" spans="1:9" x14ac:dyDescent="0.3">
      <c r="A3252">
        <v>3251</v>
      </c>
      <c r="B3252">
        <v>2020</v>
      </c>
      <c r="C3252">
        <v>9</v>
      </c>
      <c r="D3252">
        <v>24</v>
      </c>
      <c r="E3252" s="1">
        <v>735.55</v>
      </c>
      <c r="F3252" t="s">
        <v>8</v>
      </c>
      <c r="G3252" t="str">
        <f>_xlfn.XLOOKUP(transakcje[[#This Row],[podkategoria]],parametr[podkategoria],parametr[kategoria])</f>
        <v>dochody z pracy</v>
      </c>
      <c r="H3252" t="str">
        <f>_xlfn.XLOOKUP(transakcje[[#This Row],[kategoria]],parametr[kategoria],parametr[typ])</f>
        <v>dochody</v>
      </c>
      <c r="I3252" s="1">
        <f>ABS(transakcje[[#This Row],[kwota]])</f>
        <v>735.55</v>
      </c>
    </row>
    <row r="3253" spans="1:9" x14ac:dyDescent="0.3">
      <c r="A3253">
        <v>3252</v>
      </c>
      <c r="B3253">
        <v>2020</v>
      </c>
      <c r="C3253">
        <v>9</v>
      </c>
      <c r="D3253">
        <v>25</v>
      </c>
      <c r="E3253" s="1">
        <v>-5.62</v>
      </c>
      <c r="F3253" t="s">
        <v>26</v>
      </c>
      <c r="G3253" t="str">
        <f>_xlfn.XLOOKUP(transakcje[[#This Row],[podkategoria]],parametr[podkategoria],parametr[kategoria])</f>
        <v>życie</v>
      </c>
      <c r="H3253" t="str">
        <f>_xlfn.XLOOKUP(transakcje[[#This Row],[kategoria]],parametr[kategoria],parametr[typ])</f>
        <v>wydatki</v>
      </c>
      <c r="I3253" s="1">
        <f>ABS(transakcje[[#This Row],[kwota]])</f>
        <v>5.62</v>
      </c>
    </row>
    <row r="3254" spans="1:9" x14ac:dyDescent="0.3">
      <c r="A3254">
        <v>3253</v>
      </c>
      <c r="B3254">
        <v>2020</v>
      </c>
      <c r="C3254">
        <v>9</v>
      </c>
      <c r="D3254">
        <v>26</v>
      </c>
      <c r="E3254" s="1">
        <v>40</v>
      </c>
      <c r="F3254" t="s">
        <v>17</v>
      </c>
      <c r="G3254" t="str">
        <f>_xlfn.XLOOKUP(transakcje[[#This Row],[podkategoria]],parametr[podkategoria],parametr[kategoria])</f>
        <v>dochody pozostałe</v>
      </c>
      <c r="H3254" t="str">
        <f>_xlfn.XLOOKUP(transakcje[[#This Row],[kategoria]],parametr[kategoria],parametr[typ])</f>
        <v>dochody</v>
      </c>
      <c r="I3254" s="1">
        <f>ABS(transakcje[[#This Row],[kwota]])</f>
        <v>40</v>
      </c>
    </row>
    <row r="3255" spans="1:9" x14ac:dyDescent="0.3">
      <c r="A3255">
        <v>3254</v>
      </c>
      <c r="B3255">
        <v>2020</v>
      </c>
      <c r="C3255">
        <v>9</v>
      </c>
      <c r="D3255">
        <v>27</v>
      </c>
      <c r="E3255" s="1">
        <v>-1.3160000000000001</v>
      </c>
      <c r="F3255" t="s">
        <v>26</v>
      </c>
      <c r="G3255" t="str">
        <f>_xlfn.XLOOKUP(transakcje[[#This Row],[podkategoria]],parametr[podkategoria],parametr[kategoria])</f>
        <v>życie</v>
      </c>
      <c r="H3255" t="str">
        <f>_xlfn.XLOOKUP(transakcje[[#This Row],[kategoria]],parametr[kategoria],parametr[typ])</f>
        <v>wydatki</v>
      </c>
      <c r="I3255" s="1">
        <f>ABS(transakcje[[#This Row],[kwota]])</f>
        <v>1.3160000000000001</v>
      </c>
    </row>
    <row r="3256" spans="1:9" x14ac:dyDescent="0.3">
      <c r="A3256">
        <v>3255</v>
      </c>
      <c r="B3256">
        <v>2020</v>
      </c>
      <c r="C3256">
        <v>9</v>
      </c>
      <c r="D3256">
        <v>28</v>
      </c>
      <c r="E3256" s="1">
        <v>-9.5380000000000003</v>
      </c>
      <c r="F3256" t="s">
        <v>26</v>
      </c>
      <c r="G3256" t="str">
        <f>_xlfn.XLOOKUP(transakcje[[#This Row],[podkategoria]],parametr[podkategoria],parametr[kategoria])</f>
        <v>życie</v>
      </c>
      <c r="H3256" t="str">
        <f>_xlfn.XLOOKUP(transakcje[[#This Row],[kategoria]],parametr[kategoria],parametr[typ])</f>
        <v>wydatki</v>
      </c>
      <c r="I3256" s="1">
        <f>ABS(transakcje[[#This Row],[kwota]])</f>
        <v>9.5380000000000003</v>
      </c>
    </row>
    <row r="3257" spans="1:9" x14ac:dyDescent="0.3">
      <c r="A3257">
        <v>3256</v>
      </c>
      <c r="B3257">
        <v>2020</v>
      </c>
      <c r="C3257">
        <v>9</v>
      </c>
      <c r="D3257">
        <v>29</v>
      </c>
      <c r="E3257" s="1">
        <v>-12.42</v>
      </c>
      <c r="F3257" t="s">
        <v>26</v>
      </c>
      <c r="G3257" t="str">
        <f>_xlfn.XLOOKUP(transakcje[[#This Row],[podkategoria]],parametr[podkategoria],parametr[kategoria])</f>
        <v>życie</v>
      </c>
      <c r="H3257" t="str">
        <f>_xlfn.XLOOKUP(transakcje[[#This Row],[kategoria]],parametr[kategoria],parametr[typ])</f>
        <v>wydatki</v>
      </c>
      <c r="I3257" s="1">
        <f>ABS(transakcje[[#This Row],[kwota]])</f>
        <v>12.42</v>
      </c>
    </row>
    <row r="3258" spans="1:9" x14ac:dyDescent="0.3">
      <c r="A3258">
        <v>3257</v>
      </c>
      <c r="B3258">
        <v>2020</v>
      </c>
      <c r="C3258">
        <v>9</v>
      </c>
      <c r="D3258">
        <v>30</v>
      </c>
      <c r="E3258" s="1">
        <v>2E-3</v>
      </c>
      <c r="F3258" t="s">
        <v>17</v>
      </c>
      <c r="G3258" t="str">
        <f>_xlfn.XLOOKUP(transakcje[[#This Row],[podkategoria]],parametr[podkategoria],parametr[kategoria])</f>
        <v>dochody pozostałe</v>
      </c>
      <c r="H3258" t="str">
        <f>_xlfn.XLOOKUP(transakcje[[#This Row],[kategoria]],parametr[kategoria],parametr[typ])</f>
        <v>dochody</v>
      </c>
      <c r="I3258" s="1">
        <f>ABS(transakcje[[#This Row],[kwota]])</f>
        <v>2E-3</v>
      </c>
    </row>
    <row r="3259" spans="1:9" x14ac:dyDescent="0.3">
      <c r="A3259">
        <v>3258</v>
      </c>
      <c r="B3259">
        <v>2020</v>
      </c>
      <c r="C3259">
        <v>9</v>
      </c>
      <c r="D3259">
        <v>30</v>
      </c>
      <c r="E3259" s="1">
        <v>-2E-3</v>
      </c>
      <c r="F3259" t="s">
        <v>14</v>
      </c>
      <c r="G3259" t="str">
        <f>_xlfn.XLOOKUP(transakcje[[#This Row],[podkategoria]],parametr[podkategoria],parametr[kategoria])</f>
        <v>opłaty stałe</v>
      </c>
      <c r="H3259" t="str">
        <f>_xlfn.XLOOKUP(transakcje[[#This Row],[kategoria]],parametr[kategoria],parametr[typ])</f>
        <v>wydatki</v>
      </c>
      <c r="I3259" s="1">
        <f>ABS(transakcje[[#This Row],[kwota]])</f>
        <v>2E-3</v>
      </c>
    </row>
    <row r="3260" spans="1:9" x14ac:dyDescent="0.3">
      <c r="A3260">
        <v>3259</v>
      </c>
      <c r="B3260">
        <v>2020</v>
      </c>
      <c r="C3260">
        <v>9</v>
      </c>
      <c r="D3260">
        <v>30</v>
      </c>
      <c r="E3260" s="1">
        <v>-1.3980000000000001</v>
      </c>
      <c r="F3260" t="s">
        <v>14</v>
      </c>
      <c r="G3260" t="str">
        <f>_xlfn.XLOOKUP(transakcje[[#This Row],[podkategoria]],parametr[podkategoria],parametr[kategoria])</f>
        <v>opłaty stałe</v>
      </c>
      <c r="H3260" t="str">
        <f>_xlfn.XLOOKUP(transakcje[[#This Row],[kategoria]],parametr[kategoria],parametr[typ])</f>
        <v>wydatki</v>
      </c>
      <c r="I3260" s="1">
        <f>ABS(transakcje[[#This Row],[kwota]])</f>
        <v>1.3980000000000001</v>
      </c>
    </row>
    <row r="3261" spans="1:9" x14ac:dyDescent="0.3">
      <c r="A3261">
        <v>3260</v>
      </c>
      <c r="B3261">
        <v>2020</v>
      </c>
      <c r="C3261">
        <v>9</v>
      </c>
      <c r="D3261">
        <v>30</v>
      </c>
      <c r="E3261" s="1">
        <v>-1</v>
      </c>
      <c r="F3261" t="s">
        <v>14</v>
      </c>
      <c r="G3261" t="str">
        <f>_xlfn.XLOOKUP(transakcje[[#This Row],[podkategoria]],parametr[podkategoria],parametr[kategoria])</f>
        <v>opłaty stałe</v>
      </c>
      <c r="H3261" t="str">
        <f>_xlfn.XLOOKUP(transakcje[[#This Row],[kategoria]],parametr[kategoria],parametr[typ])</f>
        <v>wydatki</v>
      </c>
      <c r="I3261" s="1">
        <f>ABS(transakcje[[#This Row],[kwota]])</f>
        <v>1</v>
      </c>
    </row>
    <row r="3262" spans="1:9" x14ac:dyDescent="0.3">
      <c r="A3262">
        <v>3261</v>
      </c>
      <c r="B3262">
        <v>2020</v>
      </c>
      <c r="C3262">
        <v>10</v>
      </c>
      <c r="D3262">
        <v>1</v>
      </c>
      <c r="E3262" s="1">
        <v>-66.355999999999995</v>
      </c>
      <c r="F3262" t="s">
        <v>31</v>
      </c>
      <c r="G3262" t="str">
        <f>_xlfn.XLOOKUP(transakcje[[#This Row],[podkategoria]],parametr[podkategoria],parametr[kategoria])</f>
        <v>opłaty stałe</v>
      </c>
      <c r="H3262" t="str">
        <f>_xlfn.XLOOKUP(transakcje[[#This Row],[kategoria]],parametr[kategoria],parametr[typ])</f>
        <v>wydatki</v>
      </c>
      <c r="I3262" s="1">
        <f>ABS(transakcje[[#This Row],[kwota]])</f>
        <v>66.355999999999995</v>
      </c>
    </row>
    <row r="3263" spans="1:9" x14ac:dyDescent="0.3">
      <c r="A3263">
        <v>3262</v>
      </c>
      <c r="B3263">
        <v>2020</v>
      </c>
      <c r="C3263">
        <v>10</v>
      </c>
      <c r="D3263">
        <v>1</v>
      </c>
      <c r="E3263" s="1">
        <v>-7.38</v>
      </c>
      <c r="F3263" t="s">
        <v>23</v>
      </c>
      <c r="G3263" t="str">
        <f>_xlfn.XLOOKUP(transakcje[[#This Row],[podkategoria]],parametr[podkategoria],parametr[kategoria])</f>
        <v>opłaty stałe</v>
      </c>
      <c r="H3263" t="str">
        <f>_xlfn.XLOOKUP(transakcje[[#This Row],[kategoria]],parametr[kategoria],parametr[typ])</f>
        <v>wydatki</v>
      </c>
      <c r="I3263" s="1">
        <f>ABS(transakcje[[#This Row],[kwota]])</f>
        <v>7.38</v>
      </c>
    </row>
    <row r="3264" spans="1:9" x14ac:dyDescent="0.3">
      <c r="A3264">
        <v>3263</v>
      </c>
      <c r="B3264">
        <v>2020</v>
      </c>
      <c r="C3264">
        <v>10</v>
      </c>
      <c r="D3264">
        <v>1</v>
      </c>
      <c r="E3264" s="1">
        <v>-5.8</v>
      </c>
      <c r="F3264" t="s">
        <v>25</v>
      </c>
      <c r="G3264" t="str">
        <f>_xlfn.XLOOKUP(transakcje[[#This Row],[podkategoria]],parametr[podkategoria],parametr[kategoria])</f>
        <v>opłaty stałe</v>
      </c>
      <c r="H3264" t="str">
        <f>_xlfn.XLOOKUP(transakcje[[#This Row],[kategoria]],parametr[kategoria],parametr[typ])</f>
        <v>wydatki</v>
      </c>
      <c r="I3264" s="1">
        <f>ABS(transakcje[[#This Row],[kwota]])</f>
        <v>5.8</v>
      </c>
    </row>
    <row r="3265" spans="1:9" x14ac:dyDescent="0.3">
      <c r="A3265">
        <v>3264</v>
      </c>
      <c r="B3265">
        <v>2020</v>
      </c>
      <c r="C3265">
        <v>10</v>
      </c>
      <c r="D3265">
        <v>1</v>
      </c>
      <c r="E3265" s="1">
        <v>-4.54</v>
      </c>
      <c r="F3265" t="s">
        <v>37</v>
      </c>
      <c r="G3265" t="str">
        <f>_xlfn.XLOOKUP(transakcje[[#This Row],[podkategoria]],parametr[podkategoria],parametr[kategoria])</f>
        <v>opłaty stałe</v>
      </c>
      <c r="H3265" t="str">
        <f>_xlfn.XLOOKUP(transakcje[[#This Row],[kategoria]],parametr[kategoria],parametr[typ])</f>
        <v>wydatki</v>
      </c>
      <c r="I3265" s="1">
        <f>ABS(transakcje[[#This Row],[kwota]])</f>
        <v>4.54</v>
      </c>
    </row>
    <row r="3266" spans="1:9" x14ac:dyDescent="0.3">
      <c r="A3266">
        <v>3265</v>
      </c>
      <c r="B3266">
        <v>2020</v>
      </c>
      <c r="C3266">
        <v>10</v>
      </c>
      <c r="D3266">
        <v>2</v>
      </c>
      <c r="E3266" s="1">
        <v>-1.296</v>
      </c>
      <c r="F3266" t="s">
        <v>26</v>
      </c>
      <c r="G3266" t="str">
        <f>_xlfn.XLOOKUP(transakcje[[#This Row],[podkategoria]],parametr[podkategoria],parametr[kategoria])</f>
        <v>życie</v>
      </c>
      <c r="H3266" t="str">
        <f>_xlfn.XLOOKUP(transakcje[[#This Row],[kategoria]],parametr[kategoria],parametr[typ])</f>
        <v>wydatki</v>
      </c>
      <c r="I3266" s="1">
        <f>ABS(transakcje[[#This Row],[kwota]])</f>
        <v>1.296</v>
      </c>
    </row>
    <row r="3267" spans="1:9" x14ac:dyDescent="0.3">
      <c r="A3267">
        <v>3266</v>
      </c>
      <c r="B3267">
        <v>2020</v>
      </c>
      <c r="C3267">
        <v>10</v>
      </c>
      <c r="D3267">
        <v>4</v>
      </c>
      <c r="E3267" s="1">
        <v>-8.7840000000000007</v>
      </c>
      <c r="F3267" t="s">
        <v>26</v>
      </c>
      <c r="G3267" t="str">
        <f>_xlfn.XLOOKUP(transakcje[[#This Row],[podkategoria]],parametr[podkategoria],parametr[kategoria])</f>
        <v>życie</v>
      </c>
      <c r="H3267" t="str">
        <f>_xlfn.XLOOKUP(transakcje[[#This Row],[kategoria]],parametr[kategoria],parametr[typ])</f>
        <v>wydatki</v>
      </c>
      <c r="I3267" s="1">
        <f>ABS(transakcje[[#This Row],[kwota]])</f>
        <v>8.7840000000000007</v>
      </c>
    </row>
    <row r="3268" spans="1:9" x14ac:dyDescent="0.3">
      <c r="A3268">
        <v>3267</v>
      </c>
      <c r="B3268">
        <v>2020</v>
      </c>
      <c r="C3268">
        <v>10</v>
      </c>
      <c r="D3268">
        <v>5</v>
      </c>
      <c r="E3268" s="1">
        <v>-1.464</v>
      </c>
      <c r="F3268" t="s">
        <v>26</v>
      </c>
      <c r="G3268" t="str">
        <f>_xlfn.XLOOKUP(transakcje[[#This Row],[podkategoria]],parametr[podkategoria],parametr[kategoria])</f>
        <v>życie</v>
      </c>
      <c r="H3268" t="str">
        <f>_xlfn.XLOOKUP(transakcje[[#This Row],[kategoria]],parametr[kategoria],parametr[typ])</f>
        <v>wydatki</v>
      </c>
      <c r="I3268" s="1">
        <f>ABS(transakcje[[#This Row],[kwota]])</f>
        <v>1.464</v>
      </c>
    </row>
    <row r="3269" spans="1:9" x14ac:dyDescent="0.3">
      <c r="A3269">
        <v>3268</v>
      </c>
      <c r="B3269">
        <v>2020</v>
      </c>
      <c r="C3269">
        <v>10</v>
      </c>
      <c r="D3269">
        <v>6</v>
      </c>
      <c r="E3269" s="1">
        <v>-0.65800000000000003</v>
      </c>
      <c r="F3269" t="s">
        <v>26</v>
      </c>
      <c r="G3269" t="str">
        <f>_xlfn.XLOOKUP(transakcje[[#This Row],[podkategoria]],parametr[podkategoria],parametr[kategoria])</f>
        <v>życie</v>
      </c>
      <c r="H3269" t="str">
        <f>_xlfn.XLOOKUP(transakcje[[#This Row],[kategoria]],parametr[kategoria],parametr[typ])</f>
        <v>wydatki</v>
      </c>
      <c r="I3269" s="1">
        <f>ABS(transakcje[[#This Row],[kwota]])</f>
        <v>0.65800000000000003</v>
      </c>
    </row>
    <row r="3270" spans="1:9" x14ac:dyDescent="0.3">
      <c r="A3270">
        <v>3269</v>
      </c>
      <c r="B3270">
        <v>2020</v>
      </c>
      <c r="C3270">
        <v>10</v>
      </c>
      <c r="D3270">
        <v>7</v>
      </c>
      <c r="E3270" s="1">
        <v>-7.0120000000000005</v>
      </c>
      <c r="F3270" t="s">
        <v>26</v>
      </c>
      <c r="G3270" t="str">
        <f>_xlfn.XLOOKUP(transakcje[[#This Row],[podkategoria]],parametr[podkategoria],parametr[kategoria])</f>
        <v>życie</v>
      </c>
      <c r="H3270" t="str">
        <f>_xlfn.XLOOKUP(transakcje[[#This Row],[kategoria]],parametr[kategoria],parametr[typ])</f>
        <v>wydatki</v>
      </c>
      <c r="I3270" s="1">
        <f>ABS(transakcje[[#This Row],[kwota]])</f>
        <v>7.0120000000000005</v>
      </c>
    </row>
    <row r="3271" spans="1:9" x14ac:dyDescent="0.3">
      <c r="A3271">
        <v>3270</v>
      </c>
      <c r="B3271">
        <v>2020</v>
      </c>
      <c r="C3271">
        <v>10</v>
      </c>
      <c r="D3271">
        <v>8</v>
      </c>
      <c r="E3271" s="1">
        <v>-0.65800000000000003</v>
      </c>
      <c r="F3271" t="s">
        <v>26</v>
      </c>
      <c r="G3271" t="str">
        <f>_xlfn.XLOOKUP(transakcje[[#This Row],[podkategoria]],parametr[podkategoria],parametr[kategoria])</f>
        <v>życie</v>
      </c>
      <c r="H3271" t="str">
        <f>_xlfn.XLOOKUP(transakcje[[#This Row],[kategoria]],parametr[kategoria],parametr[typ])</f>
        <v>wydatki</v>
      </c>
      <c r="I3271" s="1">
        <f>ABS(transakcje[[#This Row],[kwota]])</f>
        <v>0.65800000000000003</v>
      </c>
    </row>
    <row r="3272" spans="1:9" x14ac:dyDescent="0.3">
      <c r="A3272">
        <v>3271</v>
      </c>
      <c r="B3272">
        <v>2020</v>
      </c>
      <c r="C3272">
        <v>10</v>
      </c>
      <c r="D3272">
        <v>9</v>
      </c>
      <c r="E3272" s="1">
        <v>-0.32999999999999996</v>
      </c>
      <c r="F3272" t="s">
        <v>26</v>
      </c>
      <c r="G3272" t="str">
        <f>_xlfn.XLOOKUP(transakcje[[#This Row],[podkategoria]],parametr[podkategoria],parametr[kategoria])</f>
        <v>życie</v>
      </c>
      <c r="H3272" t="str">
        <f>_xlfn.XLOOKUP(transakcje[[#This Row],[kategoria]],parametr[kategoria],parametr[typ])</f>
        <v>wydatki</v>
      </c>
      <c r="I3272" s="1">
        <f>ABS(transakcje[[#This Row],[kwota]])</f>
        <v>0.32999999999999996</v>
      </c>
    </row>
    <row r="3273" spans="1:9" x14ac:dyDescent="0.3">
      <c r="A3273">
        <v>3272</v>
      </c>
      <c r="B3273">
        <v>2020</v>
      </c>
      <c r="C3273">
        <v>10</v>
      </c>
      <c r="D3273">
        <v>10</v>
      </c>
      <c r="E3273" s="1">
        <v>-2.726</v>
      </c>
      <c r="F3273" t="s">
        <v>26</v>
      </c>
      <c r="G3273" t="str">
        <f>_xlfn.XLOOKUP(transakcje[[#This Row],[podkategoria]],parametr[podkategoria],parametr[kategoria])</f>
        <v>życie</v>
      </c>
      <c r="H3273" t="str">
        <f>_xlfn.XLOOKUP(transakcje[[#This Row],[kategoria]],parametr[kategoria],parametr[typ])</f>
        <v>wydatki</v>
      </c>
      <c r="I3273" s="1">
        <f>ABS(transakcje[[#This Row],[kwota]])</f>
        <v>2.726</v>
      </c>
    </row>
    <row r="3274" spans="1:9" x14ac:dyDescent="0.3">
      <c r="A3274">
        <v>3273</v>
      </c>
      <c r="B3274">
        <v>2020</v>
      </c>
      <c r="C3274">
        <v>10</v>
      </c>
      <c r="D3274">
        <v>11</v>
      </c>
      <c r="E3274" s="1">
        <v>-0.39800000000000002</v>
      </c>
      <c r="F3274" t="s">
        <v>14</v>
      </c>
      <c r="G3274" t="str">
        <f>_xlfn.XLOOKUP(transakcje[[#This Row],[podkategoria]],parametr[podkategoria],parametr[kategoria])</f>
        <v>opłaty stałe</v>
      </c>
      <c r="H3274" t="str">
        <f>_xlfn.XLOOKUP(transakcje[[#This Row],[kategoria]],parametr[kategoria],parametr[typ])</f>
        <v>wydatki</v>
      </c>
      <c r="I3274" s="1">
        <f>ABS(transakcje[[#This Row],[kwota]])</f>
        <v>0.39800000000000002</v>
      </c>
    </row>
    <row r="3275" spans="1:9" x14ac:dyDescent="0.3">
      <c r="A3275">
        <v>3274</v>
      </c>
      <c r="B3275">
        <v>2020</v>
      </c>
      <c r="C3275">
        <v>10</v>
      </c>
      <c r="D3275">
        <v>12</v>
      </c>
      <c r="E3275" s="1">
        <v>-0.65800000000000003</v>
      </c>
      <c r="F3275" t="s">
        <v>26</v>
      </c>
      <c r="G3275" t="str">
        <f>_xlfn.XLOOKUP(transakcje[[#This Row],[podkategoria]],parametr[podkategoria],parametr[kategoria])</f>
        <v>życie</v>
      </c>
      <c r="H3275" t="str">
        <f>_xlfn.XLOOKUP(transakcje[[#This Row],[kategoria]],parametr[kategoria],parametr[typ])</f>
        <v>wydatki</v>
      </c>
      <c r="I3275" s="1">
        <f>ABS(transakcje[[#This Row],[kwota]])</f>
        <v>0.65800000000000003</v>
      </c>
    </row>
    <row r="3276" spans="1:9" x14ac:dyDescent="0.3">
      <c r="A3276">
        <v>3275</v>
      </c>
      <c r="B3276">
        <v>2020</v>
      </c>
      <c r="C3276">
        <v>10</v>
      </c>
      <c r="D3276">
        <v>13</v>
      </c>
      <c r="E3276" s="1">
        <v>-2</v>
      </c>
      <c r="F3276" t="s">
        <v>26</v>
      </c>
      <c r="G3276" t="str">
        <f>_xlfn.XLOOKUP(transakcje[[#This Row],[podkategoria]],parametr[podkategoria],parametr[kategoria])</f>
        <v>życie</v>
      </c>
      <c r="H3276" t="str">
        <f>_xlfn.XLOOKUP(transakcje[[#This Row],[kategoria]],parametr[kategoria],parametr[typ])</f>
        <v>wydatki</v>
      </c>
      <c r="I3276" s="1">
        <f>ABS(transakcje[[#This Row],[kwota]])</f>
        <v>2</v>
      </c>
    </row>
    <row r="3277" spans="1:9" x14ac:dyDescent="0.3">
      <c r="A3277">
        <v>3276</v>
      </c>
      <c r="B3277">
        <v>2020</v>
      </c>
      <c r="C3277">
        <v>10</v>
      </c>
      <c r="D3277">
        <v>14</v>
      </c>
      <c r="E3277" s="1">
        <v>-10.666</v>
      </c>
      <c r="F3277" t="s">
        <v>26</v>
      </c>
      <c r="G3277" t="str">
        <f>_xlfn.XLOOKUP(transakcje[[#This Row],[podkategoria]],parametr[podkategoria],parametr[kategoria])</f>
        <v>życie</v>
      </c>
      <c r="H3277" t="str">
        <f>_xlfn.XLOOKUP(transakcje[[#This Row],[kategoria]],parametr[kategoria],parametr[typ])</f>
        <v>wydatki</v>
      </c>
      <c r="I3277" s="1">
        <f>ABS(transakcje[[#This Row],[kwota]])</f>
        <v>10.666</v>
      </c>
    </row>
    <row r="3278" spans="1:9" x14ac:dyDescent="0.3">
      <c r="A3278">
        <v>3277</v>
      </c>
      <c r="B3278">
        <v>2020</v>
      </c>
      <c r="C3278">
        <v>10</v>
      </c>
      <c r="D3278">
        <v>15</v>
      </c>
      <c r="E3278" s="1">
        <v>-0.32999999999999996</v>
      </c>
      <c r="F3278" t="s">
        <v>26</v>
      </c>
      <c r="G3278" t="str">
        <f>_xlfn.XLOOKUP(transakcje[[#This Row],[podkategoria]],parametr[podkategoria],parametr[kategoria])</f>
        <v>życie</v>
      </c>
      <c r="H3278" t="str">
        <f>_xlfn.XLOOKUP(transakcje[[#This Row],[kategoria]],parametr[kategoria],parametr[typ])</f>
        <v>wydatki</v>
      </c>
      <c r="I3278" s="1">
        <f>ABS(transakcje[[#This Row],[kwota]])</f>
        <v>0.32999999999999996</v>
      </c>
    </row>
    <row r="3279" spans="1:9" x14ac:dyDescent="0.3">
      <c r="A3279">
        <v>3278</v>
      </c>
      <c r="B3279">
        <v>2020</v>
      </c>
      <c r="C3279">
        <v>10</v>
      </c>
      <c r="D3279">
        <v>16</v>
      </c>
      <c r="E3279" s="1">
        <v>-120.83199999999999</v>
      </c>
      <c r="F3279" t="s">
        <v>24</v>
      </c>
      <c r="G3279" t="str">
        <f>_xlfn.XLOOKUP(transakcje[[#This Row],[podkategoria]],parametr[podkategoria],parametr[kategoria])</f>
        <v>trwałe</v>
      </c>
      <c r="H3279" t="str">
        <f>_xlfn.XLOOKUP(transakcje[[#This Row],[kategoria]],parametr[kategoria],parametr[typ])</f>
        <v>wydatki</v>
      </c>
      <c r="I3279" s="1">
        <f>ABS(transakcje[[#This Row],[kwota]])</f>
        <v>120.83199999999999</v>
      </c>
    </row>
    <row r="3280" spans="1:9" x14ac:dyDescent="0.3">
      <c r="A3280">
        <v>3279</v>
      </c>
      <c r="B3280">
        <v>2020</v>
      </c>
      <c r="C3280">
        <v>10</v>
      </c>
      <c r="D3280">
        <v>17</v>
      </c>
      <c r="E3280" s="1">
        <v>-0.32999999999999996</v>
      </c>
      <c r="F3280" t="s">
        <v>26</v>
      </c>
      <c r="G3280" t="str">
        <f>_xlfn.XLOOKUP(transakcje[[#This Row],[podkategoria]],parametr[podkategoria],parametr[kategoria])</f>
        <v>życie</v>
      </c>
      <c r="H3280" t="str">
        <f>_xlfn.XLOOKUP(transakcje[[#This Row],[kategoria]],parametr[kategoria],parametr[typ])</f>
        <v>wydatki</v>
      </c>
      <c r="I3280" s="1">
        <f>ABS(transakcje[[#This Row],[kwota]])</f>
        <v>0.32999999999999996</v>
      </c>
    </row>
    <row r="3281" spans="1:9" x14ac:dyDescent="0.3">
      <c r="A3281">
        <v>3280</v>
      </c>
      <c r="B3281">
        <v>2020</v>
      </c>
      <c r="C3281">
        <v>10</v>
      </c>
      <c r="D3281">
        <v>18</v>
      </c>
      <c r="E3281" s="1">
        <v>-1.3679999999999999</v>
      </c>
      <c r="F3281" t="s">
        <v>26</v>
      </c>
      <c r="G3281" t="str">
        <f>_xlfn.XLOOKUP(transakcje[[#This Row],[podkategoria]],parametr[podkategoria],parametr[kategoria])</f>
        <v>życie</v>
      </c>
      <c r="H3281" t="str">
        <f>_xlfn.XLOOKUP(transakcje[[#This Row],[kategoria]],parametr[kategoria],parametr[typ])</f>
        <v>wydatki</v>
      </c>
      <c r="I3281" s="1">
        <f>ABS(transakcje[[#This Row],[kwota]])</f>
        <v>1.3679999999999999</v>
      </c>
    </row>
    <row r="3282" spans="1:9" x14ac:dyDescent="0.3">
      <c r="A3282">
        <v>3281</v>
      </c>
      <c r="B3282">
        <v>2020</v>
      </c>
      <c r="C3282">
        <v>10</v>
      </c>
      <c r="D3282">
        <v>19</v>
      </c>
      <c r="E3282" s="1">
        <v>735.55</v>
      </c>
      <c r="F3282" t="s">
        <v>8</v>
      </c>
      <c r="G3282" t="str">
        <f>_xlfn.XLOOKUP(transakcje[[#This Row],[podkategoria]],parametr[podkategoria],parametr[kategoria])</f>
        <v>dochody z pracy</v>
      </c>
      <c r="H3282" t="str">
        <f>_xlfn.XLOOKUP(transakcje[[#This Row],[kategoria]],parametr[kategoria],parametr[typ])</f>
        <v>dochody</v>
      </c>
      <c r="I3282" s="1">
        <f>ABS(transakcje[[#This Row],[kwota]])</f>
        <v>735.55</v>
      </c>
    </row>
    <row r="3283" spans="1:9" x14ac:dyDescent="0.3">
      <c r="A3283">
        <v>3282</v>
      </c>
      <c r="B3283">
        <v>2020</v>
      </c>
      <c r="C3283">
        <v>10</v>
      </c>
      <c r="D3283">
        <v>20</v>
      </c>
      <c r="E3283" s="1">
        <v>140</v>
      </c>
      <c r="F3283" t="s">
        <v>16</v>
      </c>
      <c r="G3283" t="str">
        <f>_xlfn.XLOOKUP(transakcje[[#This Row],[podkategoria]],parametr[podkategoria],parametr[kategoria])</f>
        <v>dochody z pracy</v>
      </c>
      <c r="H3283" t="str">
        <f>_xlfn.XLOOKUP(transakcje[[#This Row],[kategoria]],parametr[kategoria],parametr[typ])</f>
        <v>dochody</v>
      </c>
      <c r="I3283" s="1">
        <f>ABS(transakcje[[#This Row],[kwota]])</f>
        <v>140</v>
      </c>
    </row>
    <row r="3284" spans="1:9" x14ac:dyDescent="0.3">
      <c r="A3284">
        <v>3283</v>
      </c>
      <c r="B3284">
        <v>2020</v>
      </c>
      <c r="C3284">
        <v>10</v>
      </c>
      <c r="D3284">
        <v>21</v>
      </c>
      <c r="E3284" s="1">
        <v>-0.65800000000000003</v>
      </c>
      <c r="F3284" t="s">
        <v>26</v>
      </c>
      <c r="G3284" t="str">
        <f>_xlfn.XLOOKUP(transakcje[[#This Row],[podkategoria]],parametr[podkategoria],parametr[kategoria])</f>
        <v>życie</v>
      </c>
      <c r="H3284" t="str">
        <f>_xlfn.XLOOKUP(transakcje[[#This Row],[kategoria]],parametr[kategoria],parametr[typ])</f>
        <v>wydatki</v>
      </c>
      <c r="I3284" s="1">
        <f>ABS(transakcje[[#This Row],[kwota]])</f>
        <v>0.65800000000000003</v>
      </c>
    </row>
    <row r="3285" spans="1:9" x14ac:dyDescent="0.3">
      <c r="A3285">
        <v>3284</v>
      </c>
      <c r="B3285">
        <v>2020</v>
      </c>
      <c r="C3285">
        <v>10</v>
      </c>
      <c r="D3285">
        <v>22</v>
      </c>
      <c r="E3285" s="1">
        <v>-23.8</v>
      </c>
      <c r="F3285" t="s">
        <v>32</v>
      </c>
      <c r="G3285" t="str">
        <f>_xlfn.XLOOKUP(transakcje[[#This Row],[podkategoria]],parametr[podkategoria],parametr[kategoria])</f>
        <v>opłaty stałe</v>
      </c>
      <c r="H3285" t="str">
        <f>_xlfn.XLOOKUP(transakcje[[#This Row],[kategoria]],parametr[kategoria],parametr[typ])</f>
        <v>wydatki</v>
      </c>
      <c r="I3285" s="1">
        <f>ABS(transakcje[[#This Row],[kwota]])</f>
        <v>23.8</v>
      </c>
    </row>
    <row r="3286" spans="1:9" x14ac:dyDescent="0.3">
      <c r="A3286">
        <v>3285</v>
      </c>
      <c r="B3286">
        <v>2020</v>
      </c>
      <c r="C3286">
        <v>10</v>
      </c>
      <c r="D3286">
        <v>23</v>
      </c>
      <c r="E3286" s="1">
        <v>-33.998000000000005</v>
      </c>
      <c r="F3286" t="s">
        <v>26</v>
      </c>
      <c r="G3286" t="str">
        <f>_xlfn.XLOOKUP(transakcje[[#This Row],[podkategoria]],parametr[podkategoria],parametr[kategoria])</f>
        <v>życie</v>
      </c>
      <c r="H3286" t="str">
        <f>_xlfn.XLOOKUP(transakcje[[#This Row],[kategoria]],parametr[kategoria],parametr[typ])</f>
        <v>wydatki</v>
      </c>
      <c r="I3286" s="1">
        <f>ABS(transakcje[[#This Row],[kwota]])</f>
        <v>33.998000000000005</v>
      </c>
    </row>
    <row r="3287" spans="1:9" x14ac:dyDescent="0.3">
      <c r="A3287">
        <v>3286</v>
      </c>
      <c r="B3287">
        <v>2020</v>
      </c>
      <c r="C3287">
        <v>10</v>
      </c>
      <c r="D3287">
        <v>27</v>
      </c>
      <c r="E3287" s="1">
        <v>-0.32999999999999996</v>
      </c>
      <c r="F3287" t="s">
        <v>26</v>
      </c>
      <c r="G3287" t="str">
        <f>_xlfn.XLOOKUP(transakcje[[#This Row],[podkategoria]],parametr[podkategoria],parametr[kategoria])</f>
        <v>życie</v>
      </c>
      <c r="H3287" t="str">
        <f>_xlfn.XLOOKUP(transakcje[[#This Row],[kategoria]],parametr[kategoria],parametr[typ])</f>
        <v>wydatki</v>
      </c>
      <c r="I3287" s="1">
        <f>ABS(transakcje[[#This Row],[kwota]])</f>
        <v>0.32999999999999996</v>
      </c>
    </row>
    <row r="3288" spans="1:9" x14ac:dyDescent="0.3">
      <c r="A3288">
        <v>3287</v>
      </c>
      <c r="B3288">
        <v>2020</v>
      </c>
      <c r="C3288">
        <v>10</v>
      </c>
      <c r="D3288">
        <v>27</v>
      </c>
      <c r="E3288" s="1">
        <v>-8.52</v>
      </c>
      <c r="F3288" t="s">
        <v>26</v>
      </c>
      <c r="G3288" t="str">
        <f>_xlfn.XLOOKUP(transakcje[[#This Row],[podkategoria]],parametr[podkategoria],parametr[kategoria])</f>
        <v>życie</v>
      </c>
      <c r="H3288" t="str">
        <f>_xlfn.XLOOKUP(transakcje[[#This Row],[kategoria]],parametr[kategoria],parametr[typ])</f>
        <v>wydatki</v>
      </c>
      <c r="I3288" s="1">
        <f>ABS(transakcje[[#This Row],[kwota]])</f>
        <v>8.52</v>
      </c>
    </row>
    <row r="3289" spans="1:9" x14ac:dyDescent="0.3">
      <c r="A3289">
        <v>3288</v>
      </c>
      <c r="B3289">
        <v>2020</v>
      </c>
      <c r="C3289">
        <v>10</v>
      </c>
      <c r="D3289">
        <v>29</v>
      </c>
      <c r="E3289" s="1">
        <v>-0.65800000000000003</v>
      </c>
      <c r="F3289" t="s">
        <v>26</v>
      </c>
      <c r="G3289" t="str">
        <f>_xlfn.XLOOKUP(transakcje[[#This Row],[podkategoria]],parametr[podkategoria],parametr[kategoria])</f>
        <v>życie</v>
      </c>
      <c r="H3289" t="str">
        <f>_xlfn.XLOOKUP(transakcje[[#This Row],[kategoria]],parametr[kategoria],parametr[typ])</f>
        <v>wydatki</v>
      </c>
      <c r="I3289" s="1">
        <f>ABS(transakcje[[#This Row],[kwota]])</f>
        <v>0.65800000000000003</v>
      </c>
    </row>
    <row r="3290" spans="1:9" x14ac:dyDescent="0.3">
      <c r="A3290">
        <v>3289</v>
      </c>
      <c r="B3290">
        <v>2020</v>
      </c>
      <c r="C3290">
        <v>10</v>
      </c>
      <c r="D3290">
        <v>29</v>
      </c>
      <c r="E3290" s="1">
        <v>-2.3820000000000001</v>
      </c>
      <c r="F3290" t="s">
        <v>26</v>
      </c>
      <c r="G3290" t="str">
        <f>_xlfn.XLOOKUP(transakcje[[#This Row],[podkategoria]],parametr[podkategoria],parametr[kategoria])</f>
        <v>życie</v>
      </c>
      <c r="H3290" t="str">
        <f>_xlfn.XLOOKUP(transakcje[[#This Row],[kategoria]],parametr[kategoria],parametr[typ])</f>
        <v>wydatki</v>
      </c>
      <c r="I3290" s="1">
        <f>ABS(transakcje[[#This Row],[kwota]])</f>
        <v>2.3820000000000001</v>
      </c>
    </row>
    <row r="3291" spans="1:9" x14ac:dyDescent="0.3">
      <c r="A3291">
        <v>3290</v>
      </c>
      <c r="B3291">
        <v>2020</v>
      </c>
      <c r="C3291">
        <v>10</v>
      </c>
      <c r="D3291">
        <v>30</v>
      </c>
      <c r="E3291" s="1">
        <v>-4.0119999999999996</v>
      </c>
      <c r="F3291" t="s">
        <v>26</v>
      </c>
      <c r="G3291" t="str">
        <f>_xlfn.XLOOKUP(transakcje[[#This Row],[podkategoria]],parametr[podkategoria],parametr[kategoria])</f>
        <v>życie</v>
      </c>
      <c r="H3291" t="str">
        <f>_xlfn.XLOOKUP(transakcje[[#This Row],[kategoria]],parametr[kategoria],parametr[typ])</f>
        <v>wydatki</v>
      </c>
      <c r="I3291" s="1">
        <f>ABS(transakcje[[#This Row],[kwota]])</f>
        <v>4.0119999999999996</v>
      </c>
    </row>
    <row r="3292" spans="1:9" x14ac:dyDescent="0.3">
      <c r="A3292">
        <v>3291</v>
      </c>
      <c r="B3292">
        <v>2020</v>
      </c>
      <c r="C3292">
        <v>10</v>
      </c>
      <c r="D3292">
        <v>30</v>
      </c>
      <c r="E3292" s="1">
        <v>-0.65800000000000003</v>
      </c>
      <c r="F3292" t="s">
        <v>26</v>
      </c>
      <c r="G3292" t="str">
        <f>_xlfn.XLOOKUP(transakcje[[#This Row],[podkategoria]],parametr[podkategoria],parametr[kategoria])</f>
        <v>życie</v>
      </c>
      <c r="H3292" t="str">
        <f>_xlfn.XLOOKUP(transakcje[[#This Row],[kategoria]],parametr[kategoria],parametr[typ])</f>
        <v>wydatki</v>
      </c>
      <c r="I3292" s="1">
        <f>ABS(transakcje[[#This Row],[kwota]])</f>
        <v>0.65800000000000003</v>
      </c>
    </row>
    <row r="3293" spans="1:9" x14ac:dyDescent="0.3">
      <c r="A3293">
        <v>3292</v>
      </c>
      <c r="B3293">
        <v>2020</v>
      </c>
      <c r="C3293">
        <v>10</v>
      </c>
      <c r="D3293">
        <v>31</v>
      </c>
      <c r="E3293" s="1">
        <v>-1.3980000000000001</v>
      </c>
      <c r="F3293" t="s">
        <v>14</v>
      </c>
      <c r="G3293" t="str">
        <f>_xlfn.XLOOKUP(transakcje[[#This Row],[podkategoria]],parametr[podkategoria],parametr[kategoria])</f>
        <v>opłaty stałe</v>
      </c>
      <c r="H3293" t="str">
        <f>_xlfn.XLOOKUP(transakcje[[#This Row],[kategoria]],parametr[kategoria],parametr[typ])</f>
        <v>wydatki</v>
      </c>
      <c r="I3293" s="1">
        <f>ABS(transakcje[[#This Row],[kwota]])</f>
        <v>1.3980000000000001</v>
      </c>
    </row>
    <row r="3294" spans="1:9" x14ac:dyDescent="0.3">
      <c r="A3294">
        <v>3293</v>
      </c>
      <c r="B3294">
        <v>2020</v>
      </c>
      <c r="C3294">
        <v>10</v>
      </c>
      <c r="D3294">
        <v>31</v>
      </c>
      <c r="E3294" s="1">
        <v>4.0000000000000001E-3</v>
      </c>
      <c r="F3294" t="s">
        <v>17</v>
      </c>
      <c r="G3294" t="str">
        <f>_xlfn.XLOOKUP(transakcje[[#This Row],[podkategoria]],parametr[podkategoria],parametr[kategoria])</f>
        <v>dochody pozostałe</v>
      </c>
      <c r="H3294" t="str">
        <f>_xlfn.XLOOKUP(transakcje[[#This Row],[kategoria]],parametr[kategoria],parametr[typ])</f>
        <v>dochody</v>
      </c>
      <c r="I3294" s="1">
        <f>ABS(transakcje[[#This Row],[kwota]])</f>
        <v>4.0000000000000001E-3</v>
      </c>
    </row>
    <row r="3295" spans="1:9" x14ac:dyDescent="0.3">
      <c r="A3295">
        <v>3294</v>
      </c>
      <c r="B3295">
        <v>2020</v>
      </c>
      <c r="C3295">
        <v>10</v>
      </c>
      <c r="D3295">
        <v>31</v>
      </c>
      <c r="E3295" s="1">
        <v>-2E-3</v>
      </c>
      <c r="F3295" t="s">
        <v>14</v>
      </c>
      <c r="G3295" t="str">
        <f>_xlfn.XLOOKUP(transakcje[[#This Row],[podkategoria]],parametr[podkategoria],parametr[kategoria])</f>
        <v>opłaty stałe</v>
      </c>
      <c r="H3295" t="str">
        <f>_xlfn.XLOOKUP(transakcje[[#This Row],[kategoria]],parametr[kategoria],parametr[typ])</f>
        <v>wydatki</v>
      </c>
      <c r="I3295" s="1">
        <f>ABS(transakcje[[#This Row],[kwota]])</f>
        <v>2E-3</v>
      </c>
    </row>
    <row r="3296" spans="1:9" x14ac:dyDescent="0.3">
      <c r="A3296">
        <v>3295</v>
      </c>
      <c r="B3296">
        <v>2020</v>
      </c>
      <c r="C3296">
        <v>11</v>
      </c>
      <c r="D3296">
        <v>2</v>
      </c>
      <c r="E3296" s="1">
        <v>-8.6</v>
      </c>
      <c r="F3296" t="s">
        <v>26</v>
      </c>
      <c r="G3296" t="str">
        <f>_xlfn.XLOOKUP(transakcje[[#This Row],[podkategoria]],parametr[podkategoria],parametr[kategoria])</f>
        <v>życie</v>
      </c>
      <c r="H3296" t="str">
        <f>_xlfn.XLOOKUP(transakcje[[#This Row],[kategoria]],parametr[kategoria],parametr[typ])</f>
        <v>wydatki</v>
      </c>
      <c r="I3296" s="1">
        <f>ABS(transakcje[[#This Row],[kwota]])</f>
        <v>8.6</v>
      </c>
    </row>
    <row r="3297" spans="1:9" x14ac:dyDescent="0.3">
      <c r="A3297">
        <v>3296</v>
      </c>
      <c r="B3297">
        <v>2020</v>
      </c>
      <c r="C3297">
        <v>11</v>
      </c>
      <c r="D3297">
        <v>2</v>
      </c>
      <c r="E3297" s="1">
        <v>-4.54</v>
      </c>
      <c r="F3297" t="s">
        <v>37</v>
      </c>
      <c r="G3297" t="str">
        <f>_xlfn.XLOOKUP(transakcje[[#This Row],[podkategoria]],parametr[podkategoria],parametr[kategoria])</f>
        <v>opłaty stałe</v>
      </c>
      <c r="H3297" t="str">
        <f>_xlfn.XLOOKUP(transakcje[[#This Row],[kategoria]],parametr[kategoria],parametr[typ])</f>
        <v>wydatki</v>
      </c>
      <c r="I3297" s="1">
        <f>ABS(transakcje[[#This Row],[kwota]])</f>
        <v>4.54</v>
      </c>
    </row>
    <row r="3298" spans="1:9" x14ac:dyDescent="0.3">
      <c r="A3298">
        <v>3297</v>
      </c>
      <c r="B3298">
        <v>2020</v>
      </c>
      <c r="C3298">
        <v>11</v>
      </c>
      <c r="D3298">
        <v>2</v>
      </c>
      <c r="E3298" s="1">
        <v>-5.8100000000000005</v>
      </c>
      <c r="F3298" t="s">
        <v>25</v>
      </c>
      <c r="G3298" t="str">
        <f>_xlfn.XLOOKUP(transakcje[[#This Row],[podkategoria]],parametr[podkategoria],parametr[kategoria])</f>
        <v>opłaty stałe</v>
      </c>
      <c r="H3298" t="str">
        <f>_xlfn.XLOOKUP(transakcje[[#This Row],[kategoria]],parametr[kategoria],parametr[typ])</f>
        <v>wydatki</v>
      </c>
      <c r="I3298" s="1">
        <f>ABS(transakcje[[#This Row],[kwota]])</f>
        <v>5.8100000000000005</v>
      </c>
    </row>
    <row r="3299" spans="1:9" x14ac:dyDescent="0.3">
      <c r="A3299">
        <v>3298</v>
      </c>
      <c r="B3299">
        <v>2020</v>
      </c>
      <c r="C3299">
        <v>11</v>
      </c>
      <c r="D3299">
        <v>2</v>
      </c>
      <c r="E3299" s="1">
        <v>-17.381999999999998</v>
      </c>
      <c r="F3299" t="s">
        <v>34</v>
      </c>
      <c r="G3299" t="str">
        <f>_xlfn.XLOOKUP(transakcje[[#This Row],[podkategoria]],parametr[podkategoria],parametr[kategoria])</f>
        <v>opłaty stałe</v>
      </c>
      <c r="H3299" t="str">
        <f>_xlfn.XLOOKUP(transakcje[[#This Row],[kategoria]],parametr[kategoria],parametr[typ])</f>
        <v>wydatki</v>
      </c>
      <c r="I3299" s="1">
        <f>ABS(transakcje[[#This Row],[kwota]])</f>
        <v>17.381999999999998</v>
      </c>
    </row>
    <row r="3300" spans="1:9" x14ac:dyDescent="0.3">
      <c r="A3300">
        <v>3299</v>
      </c>
      <c r="B3300">
        <v>2020</v>
      </c>
      <c r="C3300">
        <v>11</v>
      </c>
      <c r="D3300">
        <v>2</v>
      </c>
      <c r="E3300" s="1">
        <v>-5.88</v>
      </c>
      <c r="F3300" t="s">
        <v>35</v>
      </c>
      <c r="G3300" t="str">
        <f>_xlfn.XLOOKUP(transakcje[[#This Row],[podkategoria]],parametr[podkategoria],parametr[kategoria])</f>
        <v>opłaty stałe</v>
      </c>
      <c r="H3300" t="str">
        <f>_xlfn.XLOOKUP(transakcje[[#This Row],[kategoria]],parametr[kategoria],parametr[typ])</f>
        <v>wydatki</v>
      </c>
      <c r="I3300" s="1">
        <f>ABS(transakcje[[#This Row],[kwota]])</f>
        <v>5.88</v>
      </c>
    </row>
    <row r="3301" spans="1:9" x14ac:dyDescent="0.3">
      <c r="A3301">
        <v>3300</v>
      </c>
      <c r="B3301">
        <v>2020</v>
      </c>
      <c r="C3301">
        <v>11</v>
      </c>
      <c r="D3301">
        <v>2</v>
      </c>
      <c r="E3301" s="1">
        <v>-7.38</v>
      </c>
      <c r="F3301" t="s">
        <v>23</v>
      </c>
      <c r="G3301" t="str">
        <f>_xlfn.XLOOKUP(transakcje[[#This Row],[podkategoria]],parametr[podkategoria],parametr[kategoria])</f>
        <v>opłaty stałe</v>
      </c>
      <c r="H3301" t="str">
        <f>_xlfn.XLOOKUP(transakcje[[#This Row],[kategoria]],parametr[kategoria],parametr[typ])</f>
        <v>wydatki</v>
      </c>
      <c r="I3301" s="1">
        <f>ABS(transakcje[[#This Row],[kwota]])</f>
        <v>7.38</v>
      </c>
    </row>
    <row r="3302" spans="1:9" x14ac:dyDescent="0.3">
      <c r="A3302">
        <v>3301</v>
      </c>
      <c r="B3302">
        <v>2020</v>
      </c>
      <c r="C3302">
        <v>11</v>
      </c>
      <c r="D3302">
        <v>2</v>
      </c>
      <c r="E3302" s="1">
        <v>-66.355999999999995</v>
      </c>
      <c r="F3302" t="s">
        <v>31</v>
      </c>
      <c r="G3302" t="str">
        <f>_xlfn.XLOOKUP(transakcje[[#This Row],[podkategoria]],parametr[podkategoria],parametr[kategoria])</f>
        <v>opłaty stałe</v>
      </c>
      <c r="H3302" t="str">
        <f>_xlfn.XLOOKUP(transakcje[[#This Row],[kategoria]],parametr[kategoria],parametr[typ])</f>
        <v>wydatki</v>
      </c>
      <c r="I3302" s="1">
        <f>ABS(transakcje[[#This Row],[kwota]])</f>
        <v>66.355999999999995</v>
      </c>
    </row>
    <row r="3303" spans="1:9" x14ac:dyDescent="0.3">
      <c r="A3303">
        <v>3302</v>
      </c>
      <c r="B3303">
        <v>2020</v>
      </c>
      <c r="C3303">
        <v>11</v>
      </c>
      <c r="D3303">
        <v>2</v>
      </c>
      <c r="E3303" s="1">
        <v>-0.32999999999999996</v>
      </c>
      <c r="F3303" t="s">
        <v>26</v>
      </c>
      <c r="G3303" t="str">
        <f>_xlfn.XLOOKUP(transakcje[[#This Row],[podkategoria]],parametr[podkategoria],parametr[kategoria])</f>
        <v>życie</v>
      </c>
      <c r="H3303" t="str">
        <f>_xlfn.XLOOKUP(transakcje[[#This Row],[kategoria]],parametr[kategoria],parametr[typ])</f>
        <v>wydatki</v>
      </c>
      <c r="I3303" s="1">
        <f>ABS(transakcje[[#This Row],[kwota]])</f>
        <v>0.32999999999999996</v>
      </c>
    </row>
    <row r="3304" spans="1:9" x14ac:dyDescent="0.3">
      <c r="A3304">
        <v>3303</v>
      </c>
      <c r="B3304">
        <v>2020</v>
      </c>
      <c r="C3304">
        <v>11</v>
      </c>
      <c r="D3304">
        <v>2</v>
      </c>
      <c r="E3304" s="1">
        <v>-0.08</v>
      </c>
      <c r="F3304" t="s">
        <v>14</v>
      </c>
      <c r="G3304" t="str">
        <f>_xlfn.XLOOKUP(transakcje[[#This Row],[podkategoria]],parametr[podkategoria],parametr[kategoria])</f>
        <v>opłaty stałe</v>
      </c>
      <c r="H3304" t="str">
        <f>_xlfn.XLOOKUP(transakcje[[#This Row],[kategoria]],parametr[kategoria],parametr[typ])</f>
        <v>wydatki</v>
      </c>
      <c r="I3304" s="1">
        <f>ABS(transakcje[[#This Row],[kwota]])</f>
        <v>0.08</v>
      </c>
    </row>
    <row r="3305" spans="1:9" x14ac:dyDescent="0.3">
      <c r="A3305">
        <v>3304</v>
      </c>
      <c r="B3305">
        <v>2020</v>
      </c>
      <c r="C3305">
        <v>11</v>
      </c>
      <c r="D3305">
        <v>4</v>
      </c>
      <c r="E3305" s="1">
        <v>236.56599999999997</v>
      </c>
      <c r="F3305" t="s">
        <v>19</v>
      </c>
      <c r="G3305" t="str">
        <f>_xlfn.XLOOKUP(transakcje[[#This Row],[podkategoria]],parametr[podkategoria],parametr[kategoria])</f>
        <v>dochody z pracy</v>
      </c>
      <c r="H3305" t="str">
        <f>_xlfn.XLOOKUP(transakcje[[#This Row],[kategoria]],parametr[kategoria],parametr[typ])</f>
        <v>dochody</v>
      </c>
      <c r="I3305" s="1">
        <f>ABS(transakcje[[#This Row],[kwota]])</f>
        <v>236.56599999999997</v>
      </c>
    </row>
    <row r="3306" spans="1:9" x14ac:dyDescent="0.3">
      <c r="A3306">
        <v>3305</v>
      </c>
      <c r="B3306">
        <v>2020</v>
      </c>
      <c r="C3306">
        <v>11</v>
      </c>
      <c r="D3306">
        <v>4</v>
      </c>
      <c r="E3306" s="1">
        <v>141.048</v>
      </c>
      <c r="F3306" t="s">
        <v>19</v>
      </c>
      <c r="G3306" t="str">
        <f>_xlfn.XLOOKUP(transakcje[[#This Row],[podkategoria]],parametr[podkategoria],parametr[kategoria])</f>
        <v>dochody z pracy</v>
      </c>
      <c r="H3306" t="str">
        <f>_xlfn.XLOOKUP(transakcje[[#This Row],[kategoria]],parametr[kategoria],parametr[typ])</f>
        <v>dochody</v>
      </c>
      <c r="I3306" s="1">
        <f>ABS(transakcje[[#This Row],[kwota]])</f>
        <v>141.048</v>
      </c>
    </row>
    <row r="3307" spans="1:9" x14ac:dyDescent="0.3">
      <c r="A3307">
        <v>3306</v>
      </c>
      <c r="B3307">
        <v>2020</v>
      </c>
      <c r="C3307">
        <v>11</v>
      </c>
      <c r="D3307">
        <v>5</v>
      </c>
      <c r="E3307" s="1">
        <v>-0.65800000000000003</v>
      </c>
      <c r="F3307" t="s">
        <v>26</v>
      </c>
      <c r="G3307" t="str">
        <f>_xlfn.XLOOKUP(transakcje[[#This Row],[podkategoria]],parametr[podkategoria],parametr[kategoria])</f>
        <v>życie</v>
      </c>
      <c r="H3307" t="str">
        <f>_xlfn.XLOOKUP(transakcje[[#This Row],[kategoria]],parametr[kategoria],parametr[typ])</f>
        <v>wydatki</v>
      </c>
      <c r="I3307" s="1">
        <f>ABS(transakcje[[#This Row],[kwota]])</f>
        <v>0.65800000000000003</v>
      </c>
    </row>
    <row r="3308" spans="1:9" x14ac:dyDescent="0.3">
      <c r="A3308">
        <v>3307</v>
      </c>
      <c r="B3308">
        <v>2020</v>
      </c>
      <c r="C3308">
        <v>11</v>
      </c>
      <c r="D3308">
        <v>5</v>
      </c>
      <c r="E3308" s="1">
        <v>-23.462</v>
      </c>
      <c r="F3308" t="s">
        <v>26</v>
      </c>
      <c r="G3308" t="str">
        <f>_xlfn.XLOOKUP(transakcje[[#This Row],[podkategoria]],parametr[podkategoria],parametr[kategoria])</f>
        <v>życie</v>
      </c>
      <c r="H3308" t="str">
        <f>_xlfn.XLOOKUP(transakcje[[#This Row],[kategoria]],parametr[kategoria],parametr[typ])</f>
        <v>wydatki</v>
      </c>
      <c r="I3308" s="1">
        <f>ABS(transakcje[[#This Row],[kwota]])</f>
        <v>23.462</v>
      </c>
    </row>
    <row r="3309" spans="1:9" x14ac:dyDescent="0.3">
      <c r="A3309">
        <v>3308</v>
      </c>
      <c r="B3309">
        <v>2020</v>
      </c>
      <c r="C3309">
        <v>11</v>
      </c>
      <c r="D3309">
        <v>9</v>
      </c>
      <c r="E3309" s="1">
        <v>-0.69800000000000006</v>
      </c>
      <c r="F3309" t="s">
        <v>26</v>
      </c>
      <c r="G3309" t="str">
        <f>_xlfn.XLOOKUP(transakcje[[#This Row],[podkategoria]],parametr[podkategoria],parametr[kategoria])</f>
        <v>życie</v>
      </c>
      <c r="H3309" t="str">
        <f>_xlfn.XLOOKUP(transakcje[[#This Row],[kategoria]],parametr[kategoria],parametr[typ])</f>
        <v>wydatki</v>
      </c>
      <c r="I3309" s="1">
        <f>ABS(transakcje[[#This Row],[kwota]])</f>
        <v>0.69800000000000006</v>
      </c>
    </row>
    <row r="3310" spans="1:9" x14ac:dyDescent="0.3">
      <c r="A3310">
        <v>3309</v>
      </c>
      <c r="B3310">
        <v>2020</v>
      </c>
      <c r="C3310">
        <v>11</v>
      </c>
      <c r="D3310">
        <v>13</v>
      </c>
      <c r="E3310" s="1">
        <v>-0.32999999999999996</v>
      </c>
      <c r="F3310" t="s">
        <v>26</v>
      </c>
      <c r="G3310" t="str">
        <f>_xlfn.XLOOKUP(transakcje[[#This Row],[podkategoria]],parametr[podkategoria],parametr[kategoria])</f>
        <v>życie</v>
      </c>
      <c r="H3310" t="str">
        <f>_xlfn.XLOOKUP(transakcje[[#This Row],[kategoria]],parametr[kategoria],parametr[typ])</f>
        <v>wydatki</v>
      </c>
      <c r="I3310" s="1">
        <f>ABS(transakcje[[#This Row],[kwota]])</f>
        <v>0.32999999999999996</v>
      </c>
    </row>
    <row r="3311" spans="1:9" x14ac:dyDescent="0.3">
      <c r="A3311">
        <v>3310</v>
      </c>
      <c r="B3311">
        <v>2020</v>
      </c>
      <c r="C3311">
        <v>11</v>
      </c>
      <c r="D3311">
        <v>17</v>
      </c>
      <c r="E3311" s="1">
        <v>-0.39800000000000002</v>
      </c>
      <c r="F3311" t="s">
        <v>14</v>
      </c>
      <c r="G3311" t="str">
        <f>_xlfn.XLOOKUP(transakcje[[#This Row],[podkategoria]],parametr[podkategoria],parametr[kategoria])</f>
        <v>opłaty stałe</v>
      </c>
      <c r="H3311" t="str">
        <f>_xlfn.XLOOKUP(transakcje[[#This Row],[kategoria]],parametr[kategoria],parametr[typ])</f>
        <v>wydatki</v>
      </c>
      <c r="I3311" s="1">
        <f>ABS(transakcje[[#This Row],[kwota]])</f>
        <v>0.39800000000000002</v>
      </c>
    </row>
    <row r="3312" spans="1:9" x14ac:dyDescent="0.3">
      <c r="A3312">
        <v>3311</v>
      </c>
      <c r="B3312">
        <v>2020</v>
      </c>
      <c r="C3312">
        <v>11</v>
      </c>
      <c r="D3312">
        <v>18</v>
      </c>
      <c r="E3312" s="1">
        <v>-9.2219999999999995</v>
      </c>
      <c r="F3312" t="s">
        <v>26</v>
      </c>
      <c r="G3312" t="str">
        <f>_xlfn.XLOOKUP(transakcje[[#This Row],[podkategoria]],parametr[podkategoria],parametr[kategoria])</f>
        <v>życie</v>
      </c>
      <c r="H3312" t="str">
        <f>_xlfn.XLOOKUP(transakcje[[#This Row],[kategoria]],parametr[kategoria],parametr[typ])</f>
        <v>wydatki</v>
      </c>
      <c r="I3312" s="1">
        <f>ABS(transakcje[[#This Row],[kwota]])</f>
        <v>9.2219999999999995</v>
      </c>
    </row>
    <row r="3313" spans="1:9" x14ac:dyDescent="0.3">
      <c r="A3313">
        <v>3312</v>
      </c>
      <c r="B3313">
        <v>2020</v>
      </c>
      <c r="C3313">
        <v>11</v>
      </c>
      <c r="D3313">
        <v>18</v>
      </c>
      <c r="E3313" s="1">
        <v>-0.65800000000000003</v>
      </c>
      <c r="F3313" t="s">
        <v>26</v>
      </c>
      <c r="G3313" t="str">
        <f>_xlfn.XLOOKUP(transakcje[[#This Row],[podkategoria]],parametr[podkategoria],parametr[kategoria])</f>
        <v>życie</v>
      </c>
      <c r="H3313" t="str">
        <f>_xlfn.XLOOKUP(transakcje[[#This Row],[kategoria]],parametr[kategoria],parametr[typ])</f>
        <v>wydatki</v>
      </c>
      <c r="I3313" s="1">
        <f>ABS(transakcje[[#This Row],[kwota]])</f>
        <v>0.65800000000000003</v>
      </c>
    </row>
    <row r="3314" spans="1:9" x14ac:dyDescent="0.3">
      <c r="A3314">
        <v>3313</v>
      </c>
      <c r="B3314">
        <v>2020</v>
      </c>
      <c r="C3314">
        <v>11</v>
      </c>
      <c r="D3314">
        <v>18</v>
      </c>
      <c r="E3314" s="1">
        <v>-3.2719999999999998</v>
      </c>
      <c r="F3314" t="s">
        <v>26</v>
      </c>
      <c r="G3314" t="str">
        <f>_xlfn.XLOOKUP(transakcje[[#This Row],[podkategoria]],parametr[podkategoria],parametr[kategoria])</f>
        <v>życie</v>
      </c>
      <c r="H3314" t="str">
        <f>_xlfn.XLOOKUP(transakcje[[#This Row],[kategoria]],parametr[kategoria],parametr[typ])</f>
        <v>wydatki</v>
      </c>
      <c r="I3314" s="1">
        <f>ABS(transakcje[[#This Row],[kwota]])</f>
        <v>3.2719999999999998</v>
      </c>
    </row>
    <row r="3315" spans="1:9" x14ac:dyDescent="0.3">
      <c r="A3315">
        <v>3314</v>
      </c>
      <c r="B3315">
        <v>2020</v>
      </c>
      <c r="C3315">
        <v>11</v>
      </c>
      <c r="D3315">
        <v>25</v>
      </c>
      <c r="E3315" s="1">
        <v>741.78199999999993</v>
      </c>
      <c r="F3315" t="s">
        <v>8</v>
      </c>
      <c r="G3315" t="str">
        <f>_xlfn.XLOOKUP(transakcje[[#This Row],[podkategoria]],parametr[podkategoria],parametr[kategoria])</f>
        <v>dochody z pracy</v>
      </c>
      <c r="H3315" t="str">
        <f>_xlfn.XLOOKUP(transakcje[[#This Row],[kategoria]],parametr[kategoria],parametr[typ])</f>
        <v>dochody</v>
      </c>
      <c r="I3315" s="1">
        <f>ABS(transakcje[[#This Row],[kwota]])</f>
        <v>741.78199999999993</v>
      </c>
    </row>
    <row r="3316" spans="1:9" x14ac:dyDescent="0.3">
      <c r="A3316">
        <v>3315</v>
      </c>
      <c r="B3316">
        <v>2020</v>
      </c>
      <c r="C3316">
        <v>11</v>
      </c>
      <c r="D3316">
        <v>26</v>
      </c>
      <c r="E3316" s="1">
        <v>-73.296000000000006</v>
      </c>
      <c r="F3316" t="s">
        <v>11</v>
      </c>
      <c r="G3316" t="str">
        <f>_xlfn.XLOOKUP(transakcje[[#This Row],[podkategoria]],parametr[podkategoria],parametr[kategoria])</f>
        <v>wydatki inne</v>
      </c>
      <c r="H3316" t="str">
        <f>_xlfn.XLOOKUP(transakcje[[#This Row],[kategoria]],parametr[kategoria],parametr[typ])</f>
        <v>wydatki</v>
      </c>
      <c r="I3316" s="1">
        <f>ABS(transakcje[[#This Row],[kwota]])</f>
        <v>73.296000000000006</v>
      </c>
    </row>
    <row r="3317" spans="1:9" x14ac:dyDescent="0.3">
      <c r="A3317">
        <v>3316</v>
      </c>
      <c r="B3317">
        <v>2020</v>
      </c>
      <c r="C3317">
        <v>11</v>
      </c>
      <c r="D3317">
        <v>26</v>
      </c>
      <c r="E3317" s="1">
        <v>-37.295999999999999</v>
      </c>
      <c r="F3317" t="s">
        <v>11</v>
      </c>
      <c r="G3317" t="str">
        <f>_xlfn.XLOOKUP(transakcje[[#This Row],[podkategoria]],parametr[podkategoria],parametr[kategoria])</f>
        <v>wydatki inne</v>
      </c>
      <c r="H3317" t="str">
        <f>_xlfn.XLOOKUP(transakcje[[#This Row],[kategoria]],parametr[kategoria],parametr[typ])</f>
        <v>wydatki</v>
      </c>
      <c r="I3317" s="1">
        <f>ABS(transakcje[[#This Row],[kwota]])</f>
        <v>37.295999999999999</v>
      </c>
    </row>
    <row r="3318" spans="1:9" x14ac:dyDescent="0.3">
      <c r="A3318">
        <v>3317</v>
      </c>
      <c r="B3318">
        <v>2020</v>
      </c>
      <c r="C3318">
        <v>11</v>
      </c>
      <c r="D3318">
        <v>26</v>
      </c>
      <c r="E3318" s="1">
        <v>-24.48</v>
      </c>
      <c r="F3318" t="s">
        <v>11</v>
      </c>
      <c r="G3318" t="str">
        <f>_xlfn.XLOOKUP(transakcje[[#This Row],[podkategoria]],parametr[podkategoria],parametr[kategoria])</f>
        <v>wydatki inne</v>
      </c>
      <c r="H3318" t="str">
        <f>_xlfn.XLOOKUP(transakcje[[#This Row],[kategoria]],parametr[kategoria],parametr[typ])</f>
        <v>wydatki</v>
      </c>
      <c r="I3318" s="1">
        <f>ABS(transakcje[[#This Row],[kwota]])</f>
        <v>24.48</v>
      </c>
    </row>
    <row r="3319" spans="1:9" x14ac:dyDescent="0.3">
      <c r="A3319">
        <v>3318</v>
      </c>
      <c r="B3319">
        <v>2020</v>
      </c>
      <c r="C3319">
        <v>11</v>
      </c>
      <c r="D3319">
        <v>27</v>
      </c>
      <c r="E3319" s="1">
        <v>-1.3160000000000001</v>
      </c>
      <c r="F3319" t="s">
        <v>26</v>
      </c>
      <c r="G3319" t="str">
        <f>_xlfn.XLOOKUP(transakcje[[#This Row],[podkategoria]],parametr[podkategoria],parametr[kategoria])</f>
        <v>życie</v>
      </c>
      <c r="H3319" t="str">
        <f>_xlfn.XLOOKUP(transakcje[[#This Row],[kategoria]],parametr[kategoria],parametr[typ])</f>
        <v>wydatki</v>
      </c>
      <c r="I3319" s="1">
        <f>ABS(transakcje[[#This Row],[kwota]])</f>
        <v>1.3160000000000001</v>
      </c>
    </row>
    <row r="3320" spans="1:9" x14ac:dyDescent="0.3">
      <c r="A3320">
        <v>3319</v>
      </c>
      <c r="B3320">
        <v>2020</v>
      </c>
      <c r="C3320">
        <v>11</v>
      </c>
      <c r="D3320">
        <v>27</v>
      </c>
      <c r="E3320" s="1">
        <v>-13.786000000000001</v>
      </c>
      <c r="F3320" t="s">
        <v>26</v>
      </c>
      <c r="G3320" t="str">
        <f>_xlfn.XLOOKUP(transakcje[[#This Row],[podkategoria]],parametr[podkategoria],parametr[kategoria])</f>
        <v>życie</v>
      </c>
      <c r="H3320" t="str">
        <f>_xlfn.XLOOKUP(transakcje[[#This Row],[kategoria]],parametr[kategoria],parametr[typ])</f>
        <v>wydatki</v>
      </c>
      <c r="I3320" s="1">
        <f>ABS(transakcje[[#This Row],[kwota]])</f>
        <v>13.786000000000001</v>
      </c>
    </row>
    <row r="3321" spans="1:9" x14ac:dyDescent="0.3">
      <c r="A3321">
        <v>3320</v>
      </c>
      <c r="B3321">
        <v>2020</v>
      </c>
      <c r="C3321">
        <v>11</v>
      </c>
      <c r="D3321">
        <v>28</v>
      </c>
      <c r="E3321" s="1">
        <v>-13.618</v>
      </c>
      <c r="F3321" t="s">
        <v>11</v>
      </c>
      <c r="G3321" t="str">
        <f>_xlfn.XLOOKUP(transakcje[[#This Row],[podkategoria]],parametr[podkategoria],parametr[kategoria])</f>
        <v>wydatki inne</v>
      </c>
      <c r="H3321" t="str">
        <f>_xlfn.XLOOKUP(transakcje[[#This Row],[kategoria]],parametr[kategoria],parametr[typ])</f>
        <v>wydatki</v>
      </c>
      <c r="I3321" s="1">
        <f>ABS(transakcje[[#This Row],[kwota]])</f>
        <v>13.618</v>
      </c>
    </row>
    <row r="3322" spans="1:9" x14ac:dyDescent="0.3">
      <c r="A3322">
        <v>3321</v>
      </c>
      <c r="B3322">
        <v>2020</v>
      </c>
      <c r="C3322">
        <v>11</v>
      </c>
      <c r="D3322">
        <v>28</v>
      </c>
      <c r="E3322" s="1">
        <v>-50.591999999999999</v>
      </c>
      <c r="F3322" t="s">
        <v>11</v>
      </c>
      <c r="G3322" t="str">
        <f>_xlfn.XLOOKUP(transakcje[[#This Row],[podkategoria]],parametr[podkategoria],parametr[kategoria])</f>
        <v>wydatki inne</v>
      </c>
      <c r="H3322" t="str">
        <f>_xlfn.XLOOKUP(transakcje[[#This Row],[kategoria]],parametr[kategoria],parametr[typ])</f>
        <v>wydatki</v>
      </c>
      <c r="I3322" s="1">
        <f>ABS(transakcje[[#This Row],[kwota]])</f>
        <v>50.591999999999999</v>
      </c>
    </row>
    <row r="3323" spans="1:9" x14ac:dyDescent="0.3">
      <c r="A3323">
        <v>3322</v>
      </c>
      <c r="B3323">
        <v>2020</v>
      </c>
      <c r="C3323">
        <v>11</v>
      </c>
      <c r="D3323">
        <v>30</v>
      </c>
      <c r="E3323" s="1">
        <v>-0.5</v>
      </c>
      <c r="F3323" t="s">
        <v>14</v>
      </c>
      <c r="G3323" t="str">
        <f>_xlfn.XLOOKUP(transakcje[[#This Row],[podkategoria]],parametr[podkategoria],parametr[kategoria])</f>
        <v>opłaty stałe</v>
      </c>
      <c r="H3323" t="str">
        <f>_xlfn.XLOOKUP(transakcje[[#This Row],[kategoria]],parametr[kategoria],parametr[typ])</f>
        <v>wydatki</v>
      </c>
      <c r="I3323" s="1">
        <f>ABS(transakcje[[#This Row],[kwota]])</f>
        <v>0.5</v>
      </c>
    </row>
    <row r="3324" spans="1:9" x14ac:dyDescent="0.3">
      <c r="A3324">
        <v>3323</v>
      </c>
      <c r="B3324">
        <v>2020</v>
      </c>
      <c r="C3324">
        <v>11</v>
      </c>
      <c r="D3324">
        <v>30</v>
      </c>
      <c r="E3324" s="1">
        <v>-1.3980000000000001</v>
      </c>
      <c r="F3324" t="s">
        <v>14</v>
      </c>
      <c r="G3324" t="str">
        <f>_xlfn.XLOOKUP(transakcje[[#This Row],[podkategoria]],parametr[podkategoria],parametr[kategoria])</f>
        <v>opłaty stałe</v>
      </c>
      <c r="H3324" t="str">
        <f>_xlfn.XLOOKUP(transakcje[[#This Row],[kategoria]],parametr[kategoria],parametr[typ])</f>
        <v>wydatki</v>
      </c>
      <c r="I3324" s="1">
        <f>ABS(transakcje[[#This Row],[kwota]])</f>
        <v>1.3980000000000001</v>
      </c>
    </row>
    <row r="3325" spans="1:9" x14ac:dyDescent="0.3">
      <c r="A3325">
        <v>3324</v>
      </c>
      <c r="B3325">
        <v>2020</v>
      </c>
      <c r="C3325">
        <v>11</v>
      </c>
      <c r="D3325">
        <v>30</v>
      </c>
      <c r="E3325" s="1">
        <v>6.0000000000000001E-3</v>
      </c>
      <c r="F3325" t="s">
        <v>17</v>
      </c>
      <c r="G3325" t="str">
        <f>_xlfn.XLOOKUP(transakcje[[#This Row],[podkategoria]],parametr[podkategoria],parametr[kategoria])</f>
        <v>dochody pozostałe</v>
      </c>
      <c r="H3325" t="str">
        <f>_xlfn.XLOOKUP(transakcje[[#This Row],[kategoria]],parametr[kategoria],parametr[typ])</f>
        <v>dochody</v>
      </c>
      <c r="I3325" s="1">
        <f>ABS(transakcje[[#This Row],[kwota]])</f>
        <v>6.0000000000000001E-3</v>
      </c>
    </row>
    <row r="3326" spans="1:9" x14ac:dyDescent="0.3">
      <c r="A3326">
        <v>3325</v>
      </c>
      <c r="B3326">
        <v>2020</v>
      </c>
      <c r="C3326">
        <v>11</v>
      </c>
      <c r="D3326">
        <v>30</v>
      </c>
      <c r="E3326" s="1">
        <v>-2E-3</v>
      </c>
      <c r="F3326" t="s">
        <v>14</v>
      </c>
      <c r="G3326" t="str">
        <f>_xlfn.XLOOKUP(transakcje[[#This Row],[podkategoria]],parametr[podkategoria],parametr[kategoria])</f>
        <v>opłaty stałe</v>
      </c>
      <c r="H3326" t="str">
        <f>_xlfn.XLOOKUP(transakcje[[#This Row],[kategoria]],parametr[kategoria],parametr[typ])</f>
        <v>wydatki</v>
      </c>
      <c r="I3326" s="1">
        <f>ABS(transakcje[[#This Row],[kwota]])</f>
        <v>2E-3</v>
      </c>
    </row>
    <row r="3327" spans="1:9" x14ac:dyDescent="0.3">
      <c r="A3327">
        <v>3326</v>
      </c>
      <c r="B3327">
        <v>2020</v>
      </c>
      <c r="C3327">
        <v>12</v>
      </c>
      <c r="D3327">
        <v>1</v>
      </c>
      <c r="E3327" s="1">
        <v>-32.631999999999998</v>
      </c>
      <c r="F3327" t="s">
        <v>11</v>
      </c>
      <c r="G3327" t="str">
        <f>_xlfn.XLOOKUP(transakcje[[#This Row],[podkategoria]],parametr[podkategoria],parametr[kategoria])</f>
        <v>wydatki inne</v>
      </c>
      <c r="H3327" t="str">
        <f>_xlfn.XLOOKUP(transakcje[[#This Row],[kategoria]],parametr[kategoria],parametr[typ])</f>
        <v>wydatki</v>
      </c>
      <c r="I3327" s="1">
        <f>ABS(transakcje[[#This Row],[kwota]])</f>
        <v>32.631999999999998</v>
      </c>
    </row>
    <row r="3328" spans="1:9" x14ac:dyDescent="0.3">
      <c r="A3328">
        <v>3327</v>
      </c>
      <c r="B3328">
        <v>2020</v>
      </c>
      <c r="C3328">
        <v>12</v>
      </c>
      <c r="D3328">
        <v>1</v>
      </c>
      <c r="E3328" s="1">
        <v>-5.8</v>
      </c>
      <c r="F3328" t="s">
        <v>25</v>
      </c>
      <c r="G3328" t="str">
        <f>_xlfn.XLOOKUP(transakcje[[#This Row],[podkategoria]],parametr[podkategoria],parametr[kategoria])</f>
        <v>opłaty stałe</v>
      </c>
      <c r="H3328" t="str">
        <f>_xlfn.XLOOKUP(transakcje[[#This Row],[kategoria]],parametr[kategoria],parametr[typ])</f>
        <v>wydatki</v>
      </c>
      <c r="I3328" s="1">
        <f>ABS(transakcje[[#This Row],[kwota]])</f>
        <v>5.8</v>
      </c>
    </row>
    <row r="3329" spans="1:9" x14ac:dyDescent="0.3">
      <c r="A3329">
        <v>3328</v>
      </c>
      <c r="B3329">
        <v>2020</v>
      </c>
      <c r="C3329">
        <v>12</v>
      </c>
      <c r="D3329">
        <v>1</v>
      </c>
      <c r="E3329" s="1">
        <v>-4.54</v>
      </c>
      <c r="F3329" t="s">
        <v>37</v>
      </c>
      <c r="G3329" t="str">
        <f>_xlfn.XLOOKUP(transakcje[[#This Row],[podkategoria]],parametr[podkategoria],parametr[kategoria])</f>
        <v>opłaty stałe</v>
      </c>
      <c r="H3329" t="str">
        <f>_xlfn.XLOOKUP(transakcje[[#This Row],[kategoria]],parametr[kategoria],parametr[typ])</f>
        <v>wydatki</v>
      </c>
      <c r="I3329" s="1">
        <f>ABS(transakcje[[#This Row],[kwota]])</f>
        <v>4.54</v>
      </c>
    </row>
    <row r="3330" spans="1:9" x14ac:dyDescent="0.3">
      <c r="A3330">
        <v>3329</v>
      </c>
      <c r="B3330">
        <v>2020</v>
      </c>
      <c r="C3330">
        <v>12</v>
      </c>
      <c r="D3330">
        <v>1</v>
      </c>
      <c r="E3330" s="1">
        <v>-7.38</v>
      </c>
      <c r="F3330" t="s">
        <v>23</v>
      </c>
      <c r="G3330" t="str">
        <f>_xlfn.XLOOKUP(transakcje[[#This Row],[podkategoria]],parametr[podkategoria],parametr[kategoria])</f>
        <v>opłaty stałe</v>
      </c>
      <c r="H3330" t="str">
        <f>_xlfn.XLOOKUP(transakcje[[#This Row],[kategoria]],parametr[kategoria],parametr[typ])</f>
        <v>wydatki</v>
      </c>
      <c r="I3330" s="1">
        <f>ABS(transakcje[[#This Row],[kwota]])</f>
        <v>7.38</v>
      </c>
    </row>
    <row r="3331" spans="1:9" x14ac:dyDescent="0.3">
      <c r="A3331">
        <v>3330</v>
      </c>
      <c r="B3331">
        <v>2020</v>
      </c>
      <c r="C3331">
        <v>12</v>
      </c>
      <c r="D3331">
        <v>1</v>
      </c>
      <c r="E3331" s="1">
        <v>-66.355999999999995</v>
      </c>
      <c r="F3331" t="s">
        <v>31</v>
      </c>
      <c r="G3331" t="str">
        <f>_xlfn.XLOOKUP(transakcje[[#This Row],[podkategoria]],parametr[podkategoria],parametr[kategoria])</f>
        <v>opłaty stałe</v>
      </c>
      <c r="H3331" t="str">
        <f>_xlfn.XLOOKUP(transakcje[[#This Row],[kategoria]],parametr[kategoria],parametr[typ])</f>
        <v>wydatki</v>
      </c>
      <c r="I3331" s="1">
        <f>ABS(transakcje[[#This Row],[kwota]])</f>
        <v>66.355999999999995</v>
      </c>
    </row>
    <row r="3332" spans="1:9" x14ac:dyDescent="0.3">
      <c r="A3332">
        <v>3331</v>
      </c>
      <c r="B3332">
        <v>2020</v>
      </c>
      <c r="C3332">
        <v>12</v>
      </c>
      <c r="D3332">
        <v>2</v>
      </c>
      <c r="E3332" s="1">
        <v>-10.6</v>
      </c>
      <c r="F3332" t="s">
        <v>11</v>
      </c>
      <c r="G3332" t="str">
        <f>_xlfn.XLOOKUP(transakcje[[#This Row],[podkategoria]],parametr[podkategoria],parametr[kategoria])</f>
        <v>wydatki inne</v>
      </c>
      <c r="H3332" t="str">
        <f>_xlfn.XLOOKUP(transakcje[[#This Row],[kategoria]],parametr[kategoria],parametr[typ])</f>
        <v>wydatki</v>
      </c>
      <c r="I3332" s="1">
        <f>ABS(transakcje[[#This Row],[kwota]])</f>
        <v>10.6</v>
      </c>
    </row>
    <row r="3333" spans="1:9" x14ac:dyDescent="0.3">
      <c r="A3333">
        <v>3332</v>
      </c>
      <c r="B3333">
        <v>2020</v>
      </c>
      <c r="C3333">
        <v>12</v>
      </c>
      <c r="D3333">
        <v>2</v>
      </c>
      <c r="E3333" s="1">
        <v>-0.04</v>
      </c>
      <c r="F3333" t="s">
        <v>14</v>
      </c>
      <c r="G3333" t="str">
        <f>_xlfn.XLOOKUP(transakcje[[#This Row],[podkategoria]],parametr[podkategoria],parametr[kategoria])</f>
        <v>opłaty stałe</v>
      </c>
      <c r="H3333" t="str">
        <f>_xlfn.XLOOKUP(transakcje[[#This Row],[kategoria]],parametr[kategoria],parametr[typ])</f>
        <v>wydatki</v>
      </c>
      <c r="I3333" s="1">
        <f>ABS(transakcje[[#This Row],[kwota]])</f>
        <v>0.04</v>
      </c>
    </row>
    <row r="3334" spans="1:9" x14ac:dyDescent="0.3">
      <c r="A3334">
        <v>3333</v>
      </c>
      <c r="B3334">
        <v>2020</v>
      </c>
      <c r="C3334">
        <v>12</v>
      </c>
      <c r="D3334">
        <v>7</v>
      </c>
      <c r="E3334" s="1">
        <v>-18.658000000000001</v>
      </c>
      <c r="F3334" t="s">
        <v>26</v>
      </c>
      <c r="G3334" t="str">
        <f>_xlfn.XLOOKUP(transakcje[[#This Row],[podkategoria]],parametr[podkategoria],parametr[kategoria])</f>
        <v>życie</v>
      </c>
      <c r="H3334" t="str">
        <f>_xlfn.XLOOKUP(transakcje[[#This Row],[kategoria]],parametr[kategoria],parametr[typ])</f>
        <v>wydatki</v>
      </c>
      <c r="I3334" s="1">
        <f>ABS(transakcje[[#This Row],[kwota]])</f>
        <v>18.658000000000001</v>
      </c>
    </row>
    <row r="3335" spans="1:9" x14ac:dyDescent="0.3">
      <c r="A3335">
        <v>3334</v>
      </c>
      <c r="B3335">
        <v>2020</v>
      </c>
      <c r="C3335">
        <v>12</v>
      </c>
      <c r="D3335">
        <v>7</v>
      </c>
      <c r="E3335" s="1">
        <v>-0.72399999999999998</v>
      </c>
      <c r="F3335" t="s">
        <v>26</v>
      </c>
      <c r="G3335" t="str">
        <f>_xlfn.XLOOKUP(transakcje[[#This Row],[podkategoria]],parametr[podkategoria],parametr[kategoria])</f>
        <v>życie</v>
      </c>
      <c r="H3335" t="str">
        <f>_xlfn.XLOOKUP(transakcje[[#This Row],[kategoria]],parametr[kategoria],parametr[typ])</f>
        <v>wydatki</v>
      </c>
      <c r="I3335" s="1">
        <f>ABS(transakcje[[#This Row],[kwota]])</f>
        <v>0.72399999999999998</v>
      </c>
    </row>
    <row r="3336" spans="1:9" x14ac:dyDescent="0.3">
      <c r="A3336">
        <v>3335</v>
      </c>
      <c r="B3336">
        <v>2020</v>
      </c>
      <c r="C3336">
        <v>12</v>
      </c>
      <c r="D3336">
        <v>8</v>
      </c>
      <c r="E3336" s="1">
        <v>-3.3460000000000001</v>
      </c>
      <c r="F3336" t="s">
        <v>26</v>
      </c>
      <c r="G3336" t="str">
        <f>_xlfn.XLOOKUP(transakcje[[#This Row],[podkategoria]],parametr[podkategoria],parametr[kategoria])</f>
        <v>życie</v>
      </c>
      <c r="H3336" t="str">
        <f>_xlfn.XLOOKUP(transakcje[[#This Row],[kategoria]],parametr[kategoria],parametr[typ])</f>
        <v>wydatki</v>
      </c>
      <c r="I3336" s="1">
        <f>ABS(transakcje[[#This Row],[kwota]])</f>
        <v>3.3460000000000001</v>
      </c>
    </row>
    <row r="3337" spans="1:9" x14ac:dyDescent="0.3">
      <c r="A3337">
        <v>3336</v>
      </c>
      <c r="B3337">
        <v>2020</v>
      </c>
      <c r="C3337">
        <v>12</v>
      </c>
      <c r="D3337">
        <v>8</v>
      </c>
      <c r="E3337" s="1">
        <v>-9.76</v>
      </c>
      <c r="F3337" t="s">
        <v>26</v>
      </c>
      <c r="G3337" t="str">
        <f>_xlfn.XLOOKUP(transakcje[[#This Row],[podkategoria]],parametr[podkategoria],parametr[kategoria])</f>
        <v>życie</v>
      </c>
      <c r="H3337" t="str">
        <f>_xlfn.XLOOKUP(transakcje[[#This Row],[kategoria]],parametr[kategoria],parametr[typ])</f>
        <v>wydatki</v>
      </c>
      <c r="I3337" s="1">
        <f>ABS(transakcje[[#This Row],[kwota]])</f>
        <v>9.76</v>
      </c>
    </row>
    <row r="3338" spans="1:9" x14ac:dyDescent="0.3">
      <c r="A3338">
        <v>3337</v>
      </c>
      <c r="B3338">
        <v>2020</v>
      </c>
      <c r="C3338">
        <v>12</v>
      </c>
      <c r="D3338">
        <v>10</v>
      </c>
      <c r="E3338" s="1">
        <v>-5.79</v>
      </c>
      <c r="F3338" t="s">
        <v>26</v>
      </c>
      <c r="G3338" t="str">
        <f>_xlfn.XLOOKUP(transakcje[[#This Row],[podkategoria]],parametr[podkategoria],parametr[kategoria])</f>
        <v>życie</v>
      </c>
      <c r="H3338" t="str">
        <f>_xlfn.XLOOKUP(transakcje[[#This Row],[kategoria]],parametr[kategoria],parametr[typ])</f>
        <v>wydatki</v>
      </c>
      <c r="I3338" s="1">
        <f>ABS(transakcje[[#This Row],[kwota]])</f>
        <v>5.79</v>
      </c>
    </row>
    <row r="3339" spans="1:9" x14ac:dyDescent="0.3">
      <c r="A3339">
        <v>3338</v>
      </c>
      <c r="B3339">
        <v>2020</v>
      </c>
      <c r="C3339">
        <v>12</v>
      </c>
      <c r="D3339">
        <v>11</v>
      </c>
      <c r="E3339" s="1">
        <v>-1.448</v>
      </c>
      <c r="F3339" t="s">
        <v>26</v>
      </c>
      <c r="G3339" t="str">
        <f>_xlfn.XLOOKUP(transakcje[[#This Row],[podkategoria]],parametr[podkategoria],parametr[kategoria])</f>
        <v>życie</v>
      </c>
      <c r="H3339" t="str">
        <f>_xlfn.XLOOKUP(transakcje[[#This Row],[kategoria]],parametr[kategoria],parametr[typ])</f>
        <v>wydatki</v>
      </c>
      <c r="I3339" s="1">
        <f>ABS(transakcje[[#This Row],[kwota]])</f>
        <v>1.448</v>
      </c>
    </row>
    <row r="3340" spans="1:9" x14ac:dyDescent="0.3">
      <c r="A3340">
        <v>3339</v>
      </c>
      <c r="B3340">
        <v>2020</v>
      </c>
      <c r="C3340">
        <v>12</v>
      </c>
      <c r="D3340">
        <v>11</v>
      </c>
      <c r="E3340" s="1">
        <v>-7.0579999999999998</v>
      </c>
      <c r="F3340" t="s">
        <v>26</v>
      </c>
      <c r="G3340" t="str">
        <f>_xlfn.XLOOKUP(transakcje[[#This Row],[podkategoria]],parametr[podkategoria],parametr[kategoria])</f>
        <v>życie</v>
      </c>
      <c r="H3340" t="str">
        <f>_xlfn.XLOOKUP(transakcje[[#This Row],[kategoria]],parametr[kategoria],parametr[typ])</f>
        <v>wydatki</v>
      </c>
      <c r="I3340" s="1">
        <f>ABS(transakcje[[#This Row],[kwota]])</f>
        <v>7.0579999999999998</v>
      </c>
    </row>
    <row r="3341" spans="1:9" x14ac:dyDescent="0.3">
      <c r="A3341">
        <v>3340</v>
      </c>
      <c r="B3341">
        <v>2020</v>
      </c>
      <c r="C3341">
        <v>12</v>
      </c>
      <c r="D3341">
        <v>14</v>
      </c>
      <c r="E3341" s="1">
        <v>741.78199999999993</v>
      </c>
      <c r="F3341" t="s">
        <v>8</v>
      </c>
      <c r="G3341" t="str">
        <f>_xlfn.XLOOKUP(transakcje[[#This Row],[podkategoria]],parametr[podkategoria],parametr[kategoria])</f>
        <v>dochody z pracy</v>
      </c>
      <c r="H3341" t="str">
        <f>_xlfn.XLOOKUP(transakcje[[#This Row],[kategoria]],parametr[kategoria],parametr[typ])</f>
        <v>dochody</v>
      </c>
      <c r="I3341" s="1">
        <f>ABS(transakcje[[#This Row],[kwota]])</f>
        <v>741.78199999999993</v>
      </c>
    </row>
    <row r="3342" spans="1:9" x14ac:dyDescent="0.3">
      <c r="A3342">
        <v>3341</v>
      </c>
      <c r="B3342">
        <v>2020</v>
      </c>
      <c r="C3342">
        <v>12</v>
      </c>
      <c r="D3342">
        <v>15</v>
      </c>
      <c r="E3342" s="1">
        <v>-0.39800000000000002</v>
      </c>
      <c r="F3342" t="s">
        <v>14</v>
      </c>
      <c r="G3342" t="str">
        <f>_xlfn.XLOOKUP(transakcje[[#This Row],[podkategoria]],parametr[podkategoria],parametr[kategoria])</f>
        <v>opłaty stałe</v>
      </c>
      <c r="H3342" t="str">
        <f>_xlfn.XLOOKUP(transakcje[[#This Row],[kategoria]],parametr[kategoria],parametr[typ])</f>
        <v>wydatki</v>
      </c>
      <c r="I3342" s="1">
        <f>ABS(transakcje[[#This Row],[kwota]])</f>
        <v>0.39800000000000002</v>
      </c>
    </row>
    <row r="3343" spans="1:9" x14ac:dyDescent="0.3">
      <c r="A3343">
        <v>3342</v>
      </c>
      <c r="B3343">
        <v>2020</v>
      </c>
      <c r="C3343">
        <v>12</v>
      </c>
      <c r="D3343">
        <v>16</v>
      </c>
      <c r="E3343" s="1">
        <v>-1.41</v>
      </c>
      <c r="F3343" t="s">
        <v>26</v>
      </c>
      <c r="G3343" t="str">
        <f>_xlfn.XLOOKUP(transakcje[[#This Row],[podkategoria]],parametr[podkategoria],parametr[kategoria])</f>
        <v>życie</v>
      </c>
      <c r="H3343" t="str">
        <f>_xlfn.XLOOKUP(transakcje[[#This Row],[kategoria]],parametr[kategoria],parametr[typ])</f>
        <v>wydatki</v>
      </c>
      <c r="I3343" s="1">
        <f>ABS(transakcje[[#This Row],[kwota]])</f>
        <v>1.41</v>
      </c>
    </row>
    <row r="3344" spans="1:9" x14ac:dyDescent="0.3">
      <c r="A3344">
        <v>3343</v>
      </c>
      <c r="B3344">
        <v>2020</v>
      </c>
      <c r="C3344">
        <v>12</v>
      </c>
      <c r="D3344">
        <v>18</v>
      </c>
      <c r="E3344" s="1">
        <v>106</v>
      </c>
      <c r="F3344" t="s">
        <v>16</v>
      </c>
      <c r="G3344" t="str">
        <f>_xlfn.XLOOKUP(transakcje[[#This Row],[podkategoria]],parametr[podkategoria],parametr[kategoria])</f>
        <v>dochody z pracy</v>
      </c>
      <c r="H3344" t="str">
        <f>_xlfn.XLOOKUP(transakcje[[#This Row],[kategoria]],parametr[kategoria],parametr[typ])</f>
        <v>dochody</v>
      </c>
      <c r="I3344" s="1">
        <f>ABS(transakcje[[#This Row],[kwota]])</f>
        <v>106</v>
      </c>
    </row>
    <row r="3345" spans="1:9" x14ac:dyDescent="0.3">
      <c r="A3345">
        <v>3344</v>
      </c>
      <c r="B3345">
        <v>2020</v>
      </c>
      <c r="C3345">
        <v>12</v>
      </c>
      <c r="D3345">
        <v>18</v>
      </c>
      <c r="E3345" s="1">
        <v>-1.4319999999999999</v>
      </c>
      <c r="F3345" t="s">
        <v>26</v>
      </c>
      <c r="G3345" t="str">
        <f>_xlfn.XLOOKUP(transakcje[[#This Row],[podkategoria]],parametr[podkategoria],parametr[kategoria])</f>
        <v>życie</v>
      </c>
      <c r="H3345" t="str">
        <f>_xlfn.XLOOKUP(transakcje[[#This Row],[kategoria]],parametr[kategoria],parametr[typ])</f>
        <v>wydatki</v>
      </c>
      <c r="I3345" s="1">
        <f>ABS(transakcje[[#This Row],[kwota]])</f>
        <v>1.4319999999999999</v>
      </c>
    </row>
    <row r="3346" spans="1:9" x14ac:dyDescent="0.3">
      <c r="A3346">
        <v>3345</v>
      </c>
      <c r="B3346">
        <v>2020</v>
      </c>
      <c r="C3346">
        <v>12</v>
      </c>
      <c r="D3346">
        <v>18</v>
      </c>
      <c r="E3346" s="1">
        <v>-3.95</v>
      </c>
      <c r="F3346" t="s">
        <v>26</v>
      </c>
      <c r="G3346" t="str">
        <f>_xlfn.XLOOKUP(transakcje[[#This Row],[podkategoria]],parametr[podkategoria],parametr[kategoria])</f>
        <v>życie</v>
      </c>
      <c r="H3346" t="str">
        <f>_xlfn.XLOOKUP(transakcje[[#This Row],[kategoria]],parametr[kategoria],parametr[typ])</f>
        <v>wydatki</v>
      </c>
      <c r="I3346" s="1">
        <f>ABS(transakcje[[#This Row],[kwota]])</f>
        <v>3.95</v>
      </c>
    </row>
    <row r="3347" spans="1:9" x14ac:dyDescent="0.3">
      <c r="A3347">
        <v>3346</v>
      </c>
      <c r="B3347">
        <v>2020</v>
      </c>
      <c r="C3347">
        <v>12</v>
      </c>
      <c r="D3347">
        <v>21</v>
      </c>
      <c r="E3347" s="1">
        <v>-13.197999999999999</v>
      </c>
      <c r="F3347" t="s">
        <v>26</v>
      </c>
      <c r="G3347" t="str">
        <f>_xlfn.XLOOKUP(transakcje[[#This Row],[podkategoria]],parametr[podkategoria],parametr[kategoria])</f>
        <v>życie</v>
      </c>
      <c r="H3347" t="str">
        <f>_xlfn.XLOOKUP(transakcje[[#This Row],[kategoria]],parametr[kategoria],parametr[typ])</f>
        <v>wydatki</v>
      </c>
      <c r="I3347" s="1">
        <f>ABS(transakcje[[#This Row],[kwota]])</f>
        <v>13.197999999999999</v>
      </c>
    </row>
    <row r="3348" spans="1:9" x14ac:dyDescent="0.3">
      <c r="A3348">
        <v>3347</v>
      </c>
      <c r="B3348">
        <v>2020</v>
      </c>
      <c r="C3348">
        <v>12</v>
      </c>
      <c r="D3348">
        <v>24</v>
      </c>
      <c r="E3348" s="1">
        <v>-0.23599999999999999</v>
      </c>
      <c r="F3348" t="s">
        <v>26</v>
      </c>
      <c r="G3348" t="str">
        <f>_xlfn.XLOOKUP(transakcje[[#This Row],[podkategoria]],parametr[podkategoria],parametr[kategoria])</f>
        <v>życie</v>
      </c>
      <c r="H3348" t="str">
        <f>_xlfn.XLOOKUP(transakcje[[#This Row],[kategoria]],parametr[kategoria],parametr[typ])</f>
        <v>wydatki</v>
      </c>
      <c r="I3348" s="1">
        <f>ABS(transakcje[[#This Row],[kwota]])</f>
        <v>0.23599999999999999</v>
      </c>
    </row>
    <row r="3349" spans="1:9" x14ac:dyDescent="0.3">
      <c r="A3349">
        <v>3348</v>
      </c>
      <c r="B3349">
        <v>2020</v>
      </c>
      <c r="C3349">
        <v>12</v>
      </c>
      <c r="D3349">
        <v>24</v>
      </c>
      <c r="E3349" s="1">
        <v>-2.1719999999999997</v>
      </c>
      <c r="F3349" t="s">
        <v>26</v>
      </c>
      <c r="G3349" t="str">
        <f>_xlfn.XLOOKUP(transakcje[[#This Row],[podkategoria]],parametr[podkategoria],parametr[kategoria])</f>
        <v>życie</v>
      </c>
      <c r="H3349" t="str">
        <f>_xlfn.XLOOKUP(transakcje[[#This Row],[kategoria]],parametr[kategoria],parametr[typ])</f>
        <v>wydatki</v>
      </c>
      <c r="I3349" s="1">
        <f>ABS(transakcje[[#This Row],[kwota]])</f>
        <v>2.1719999999999997</v>
      </c>
    </row>
    <row r="3350" spans="1:9" x14ac:dyDescent="0.3">
      <c r="A3350">
        <v>3349</v>
      </c>
      <c r="B3350">
        <v>2020</v>
      </c>
      <c r="C3350">
        <v>12</v>
      </c>
      <c r="D3350">
        <v>28</v>
      </c>
      <c r="E3350" s="1">
        <v>-24.48</v>
      </c>
      <c r="F3350" t="s">
        <v>11</v>
      </c>
      <c r="G3350" t="str">
        <f>_xlfn.XLOOKUP(transakcje[[#This Row],[podkategoria]],parametr[podkategoria],parametr[kategoria])</f>
        <v>wydatki inne</v>
      </c>
      <c r="H3350" t="str">
        <f>_xlfn.XLOOKUP(transakcje[[#This Row],[kategoria]],parametr[kategoria],parametr[typ])</f>
        <v>wydatki</v>
      </c>
      <c r="I3350" s="1">
        <f>ABS(transakcje[[#This Row],[kwota]])</f>
        <v>24.48</v>
      </c>
    </row>
    <row r="3351" spans="1:9" x14ac:dyDescent="0.3">
      <c r="A3351">
        <v>3350</v>
      </c>
      <c r="B3351">
        <v>2020</v>
      </c>
      <c r="C3351">
        <v>12</v>
      </c>
      <c r="D3351">
        <v>31</v>
      </c>
      <c r="E3351" s="1">
        <v>-0.4</v>
      </c>
      <c r="F3351" t="s">
        <v>14</v>
      </c>
      <c r="G3351" t="str">
        <f>_xlfn.XLOOKUP(transakcje[[#This Row],[podkategoria]],parametr[podkategoria],parametr[kategoria])</f>
        <v>opłaty stałe</v>
      </c>
      <c r="H3351" t="str">
        <f>_xlfn.XLOOKUP(transakcje[[#This Row],[kategoria]],parametr[kategoria],parametr[typ])</f>
        <v>wydatki</v>
      </c>
      <c r="I3351" s="1">
        <f>ABS(transakcje[[#This Row],[kwota]])</f>
        <v>0.4</v>
      </c>
    </row>
    <row r="3352" spans="1:9" x14ac:dyDescent="0.3">
      <c r="A3352">
        <v>3351</v>
      </c>
      <c r="B3352">
        <v>2020</v>
      </c>
      <c r="C3352">
        <v>12</v>
      </c>
      <c r="D3352">
        <v>31</v>
      </c>
      <c r="E3352" s="1">
        <v>-1.3980000000000001</v>
      </c>
      <c r="F3352" t="s">
        <v>14</v>
      </c>
      <c r="G3352" t="str">
        <f>_xlfn.XLOOKUP(transakcje[[#This Row],[podkategoria]],parametr[podkategoria],parametr[kategoria])</f>
        <v>opłaty stałe</v>
      </c>
      <c r="H3352" t="str">
        <f>_xlfn.XLOOKUP(transakcje[[#This Row],[kategoria]],parametr[kategoria],parametr[typ])</f>
        <v>wydatki</v>
      </c>
      <c r="I3352" s="1">
        <f>ABS(transakcje[[#This Row],[kwota]])</f>
        <v>1.3980000000000001</v>
      </c>
    </row>
    <row r="3353" spans="1:9" x14ac:dyDescent="0.3">
      <c r="A3353">
        <v>3352</v>
      </c>
      <c r="B3353">
        <v>2020</v>
      </c>
      <c r="C3353">
        <v>12</v>
      </c>
      <c r="D3353">
        <v>31</v>
      </c>
      <c r="E3353" s="1">
        <v>1.4000000000000002E-2</v>
      </c>
      <c r="F3353" t="s">
        <v>17</v>
      </c>
      <c r="G3353" t="str">
        <f>_xlfn.XLOOKUP(transakcje[[#This Row],[podkategoria]],parametr[podkategoria],parametr[kategoria])</f>
        <v>dochody pozostałe</v>
      </c>
      <c r="H3353" t="str">
        <f>_xlfn.XLOOKUP(transakcje[[#This Row],[kategoria]],parametr[kategoria],parametr[typ])</f>
        <v>dochody</v>
      </c>
      <c r="I3353" s="1">
        <f>ABS(transakcje[[#This Row],[kwota]])</f>
        <v>1.4000000000000002E-2</v>
      </c>
    </row>
    <row r="3354" spans="1:9" x14ac:dyDescent="0.3">
      <c r="A3354">
        <v>3353</v>
      </c>
      <c r="B3354">
        <v>2020</v>
      </c>
      <c r="C3354">
        <v>12</v>
      </c>
      <c r="D3354">
        <v>31</v>
      </c>
      <c r="E3354" s="1">
        <v>-4.0000000000000001E-3</v>
      </c>
      <c r="F3354" t="s">
        <v>14</v>
      </c>
      <c r="G3354" t="str">
        <f>_xlfn.XLOOKUP(transakcje[[#This Row],[podkategoria]],parametr[podkategoria],parametr[kategoria])</f>
        <v>opłaty stałe</v>
      </c>
      <c r="H3354" t="str">
        <f>_xlfn.XLOOKUP(transakcje[[#This Row],[kategoria]],parametr[kategoria],parametr[typ])</f>
        <v>wydatki</v>
      </c>
      <c r="I3354" s="1">
        <f>ABS(transakcje[[#This Row],[kwota]])</f>
        <v>4.0000000000000001E-3</v>
      </c>
    </row>
    <row r="3355" spans="1:9" x14ac:dyDescent="0.3">
      <c r="A3355">
        <v>3354</v>
      </c>
      <c r="B3355">
        <v>2020</v>
      </c>
      <c r="C3355">
        <v>12</v>
      </c>
      <c r="D3355">
        <v>31</v>
      </c>
      <c r="E3355" s="1">
        <v>-21.472000000000001</v>
      </c>
      <c r="F3355" t="s">
        <v>26</v>
      </c>
      <c r="G3355" t="str">
        <f>_xlfn.XLOOKUP(transakcje[[#This Row],[podkategoria]],parametr[podkategoria],parametr[kategoria])</f>
        <v>życie</v>
      </c>
      <c r="H3355" t="str">
        <f>_xlfn.XLOOKUP(transakcje[[#This Row],[kategoria]],parametr[kategoria],parametr[typ])</f>
        <v>wydatki</v>
      </c>
      <c r="I3355" s="1">
        <f>ABS(transakcje[[#This Row],[kwota]])</f>
        <v>21.472000000000001</v>
      </c>
    </row>
    <row r="3356" spans="1:9" x14ac:dyDescent="0.3">
      <c r="A3356">
        <v>3355</v>
      </c>
      <c r="B3356">
        <v>2021</v>
      </c>
      <c r="C3356">
        <v>1</v>
      </c>
      <c r="D3356">
        <v>2</v>
      </c>
      <c r="E3356" s="1">
        <v>-4.9000000000000004</v>
      </c>
      <c r="F3356" t="s">
        <v>37</v>
      </c>
      <c r="G3356" t="str">
        <f>_xlfn.XLOOKUP(transakcje[[#This Row],[podkategoria]],parametr[podkategoria],parametr[kategoria])</f>
        <v>opłaty stałe</v>
      </c>
      <c r="H3356" t="str">
        <f>_xlfn.XLOOKUP(transakcje[[#This Row],[kategoria]],parametr[kategoria],parametr[typ])</f>
        <v>wydatki</v>
      </c>
      <c r="I3356" s="1">
        <f>ABS(transakcje[[#This Row],[kwota]])</f>
        <v>4.9000000000000004</v>
      </c>
    </row>
    <row r="3357" spans="1:9" x14ac:dyDescent="0.3">
      <c r="A3357">
        <v>3356</v>
      </c>
      <c r="B3357">
        <v>2021</v>
      </c>
      <c r="C3357">
        <v>1</v>
      </c>
      <c r="D3357">
        <v>2</v>
      </c>
      <c r="E3357" s="1">
        <v>-5.8100000000000005</v>
      </c>
      <c r="F3357" t="s">
        <v>35</v>
      </c>
      <c r="G3357" t="str">
        <f>_xlfn.XLOOKUP(transakcje[[#This Row],[podkategoria]],parametr[podkategoria],parametr[kategoria])</f>
        <v>opłaty stałe</v>
      </c>
      <c r="H3357" t="str">
        <f>_xlfn.XLOOKUP(transakcje[[#This Row],[kategoria]],parametr[kategoria],parametr[typ])</f>
        <v>wydatki</v>
      </c>
      <c r="I3357" s="1">
        <f>ABS(transakcje[[#This Row],[kwota]])</f>
        <v>5.8100000000000005</v>
      </c>
    </row>
    <row r="3358" spans="1:9" x14ac:dyDescent="0.3">
      <c r="A3358">
        <v>3357</v>
      </c>
      <c r="B3358">
        <v>2021</v>
      </c>
      <c r="C3358">
        <v>1</v>
      </c>
      <c r="D3358">
        <v>2</v>
      </c>
      <c r="E3358" s="1">
        <v>-14.693999999999999</v>
      </c>
      <c r="F3358" t="s">
        <v>34</v>
      </c>
      <c r="G3358" t="str">
        <f>_xlfn.XLOOKUP(transakcje[[#This Row],[podkategoria]],parametr[podkategoria],parametr[kategoria])</f>
        <v>opłaty stałe</v>
      </c>
      <c r="H3358" t="str">
        <f>_xlfn.XLOOKUP(transakcje[[#This Row],[kategoria]],parametr[kategoria],parametr[typ])</f>
        <v>wydatki</v>
      </c>
      <c r="I3358" s="1">
        <f>ABS(transakcje[[#This Row],[kwota]])</f>
        <v>14.693999999999999</v>
      </c>
    </row>
    <row r="3359" spans="1:9" x14ac:dyDescent="0.3">
      <c r="A3359">
        <v>3358</v>
      </c>
      <c r="B3359">
        <v>2021</v>
      </c>
      <c r="C3359">
        <v>1</v>
      </c>
      <c r="D3359">
        <v>2</v>
      </c>
      <c r="E3359" s="1">
        <v>-6.2780000000000005</v>
      </c>
      <c r="F3359" t="s">
        <v>25</v>
      </c>
      <c r="G3359" t="str">
        <f>_xlfn.XLOOKUP(transakcje[[#This Row],[podkategoria]],parametr[podkategoria],parametr[kategoria])</f>
        <v>opłaty stałe</v>
      </c>
      <c r="H3359" t="str">
        <f>_xlfn.XLOOKUP(transakcje[[#This Row],[kategoria]],parametr[kategoria],parametr[typ])</f>
        <v>wydatki</v>
      </c>
      <c r="I3359" s="1">
        <f>ABS(transakcje[[#This Row],[kwota]])</f>
        <v>6.2780000000000005</v>
      </c>
    </row>
    <row r="3360" spans="1:9" x14ac:dyDescent="0.3">
      <c r="A3360">
        <v>3359</v>
      </c>
      <c r="B3360">
        <v>2021</v>
      </c>
      <c r="C3360">
        <v>1</v>
      </c>
      <c r="D3360">
        <v>2</v>
      </c>
      <c r="E3360" s="1">
        <v>-7.38</v>
      </c>
      <c r="F3360" t="s">
        <v>23</v>
      </c>
      <c r="G3360" t="str">
        <f>_xlfn.XLOOKUP(transakcje[[#This Row],[podkategoria]],parametr[podkategoria],parametr[kategoria])</f>
        <v>opłaty stałe</v>
      </c>
      <c r="H3360" t="str">
        <f>_xlfn.XLOOKUP(transakcje[[#This Row],[kategoria]],parametr[kategoria],parametr[typ])</f>
        <v>wydatki</v>
      </c>
      <c r="I3360" s="1">
        <f>ABS(transakcje[[#This Row],[kwota]])</f>
        <v>7.38</v>
      </c>
    </row>
    <row r="3361" spans="1:9" x14ac:dyDescent="0.3">
      <c r="A3361">
        <v>3360</v>
      </c>
      <c r="B3361">
        <v>2021</v>
      </c>
      <c r="C3361">
        <v>1</v>
      </c>
      <c r="D3361">
        <v>2</v>
      </c>
      <c r="E3361" s="1">
        <v>-70.201999999999998</v>
      </c>
      <c r="F3361" t="s">
        <v>31</v>
      </c>
      <c r="G3361" t="str">
        <f>_xlfn.XLOOKUP(transakcje[[#This Row],[podkategoria]],parametr[podkategoria],parametr[kategoria])</f>
        <v>opłaty stałe</v>
      </c>
      <c r="H3361" t="str">
        <f>_xlfn.XLOOKUP(transakcje[[#This Row],[kategoria]],parametr[kategoria],parametr[typ])</f>
        <v>wydatki</v>
      </c>
      <c r="I3361" s="1">
        <f>ABS(transakcje[[#This Row],[kwota]])</f>
        <v>70.201999999999998</v>
      </c>
    </row>
    <row r="3362" spans="1:9" x14ac:dyDescent="0.3">
      <c r="A3362">
        <v>3361</v>
      </c>
      <c r="B3362">
        <v>2021</v>
      </c>
      <c r="C3362">
        <v>1</v>
      </c>
      <c r="D3362">
        <v>2</v>
      </c>
      <c r="E3362" s="1">
        <v>-2</v>
      </c>
      <c r="F3362" t="s">
        <v>26</v>
      </c>
      <c r="G3362" t="str">
        <f>_xlfn.XLOOKUP(transakcje[[#This Row],[podkategoria]],parametr[podkategoria],parametr[kategoria])</f>
        <v>życie</v>
      </c>
      <c r="H3362" t="str">
        <f>_xlfn.XLOOKUP(transakcje[[#This Row],[kategoria]],parametr[kategoria],parametr[typ])</f>
        <v>wydatki</v>
      </c>
      <c r="I3362" s="1">
        <f>ABS(transakcje[[#This Row],[kwota]])</f>
        <v>2</v>
      </c>
    </row>
    <row r="3363" spans="1:9" x14ac:dyDescent="0.3">
      <c r="A3363">
        <v>3362</v>
      </c>
      <c r="B3363">
        <v>2021</v>
      </c>
      <c r="C3363">
        <v>1</v>
      </c>
      <c r="D3363">
        <v>4</v>
      </c>
      <c r="E3363" s="1">
        <v>-0.24</v>
      </c>
      <c r="F3363" t="s">
        <v>14</v>
      </c>
      <c r="G3363" t="str">
        <f>_xlfn.XLOOKUP(transakcje[[#This Row],[podkategoria]],parametr[podkategoria],parametr[kategoria])</f>
        <v>opłaty stałe</v>
      </c>
      <c r="H3363" t="str">
        <f>_xlfn.XLOOKUP(transakcje[[#This Row],[kategoria]],parametr[kategoria],parametr[typ])</f>
        <v>wydatki</v>
      </c>
      <c r="I3363" s="1">
        <f>ABS(transakcje[[#This Row],[kwota]])</f>
        <v>0.24</v>
      </c>
    </row>
    <row r="3364" spans="1:9" x14ac:dyDescent="0.3">
      <c r="A3364">
        <v>3363</v>
      </c>
      <c r="B3364">
        <v>2021</v>
      </c>
      <c r="C3364">
        <v>1</v>
      </c>
      <c r="D3364">
        <v>13</v>
      </c>
      <c r="E3364" s="1">
        <v>-3.8820000000000001</v>
      </c>
      <c r="F3364" t="s">
        <v>26</v>
      </c>
      <c r="G3364" t="str">
        <f>_xlfn.XLOOKUP(transakcje[[#This Row],[podkategoria]],parametr[podkategoria],parametr[kategoria])</f>
        <v>życie</v>
      </c>
      <c r="H3364" t="str">
        <f>_xlfn.XLOOKUP(transakcje[[#This Row],[kategoria]],parametr[kategoria],parametr[typ])</f>
        <v>wydatki</v>
      </c>
      <c r="I3364" s="1">
        <f>ABS(transakcje[[#This Row],[kwota]])</f>
        <v>3.8820000000000001</v>
      </c>
    </row>
    <row r="3365" spans="1:9" x14ac:dyDescent="0.3">
      <c r="A3365">
        <v>3364</v>
      </c>
      <c r="B3365">
        <v>2021</v>
      </c>
      <c r="C3365">
        <v>1</v>
      </c>
      <c r="D3365">
        <v>15</v>
      </c>
      <c r="E3365" s="1">
        <v>-0.72399999999999998</v>
      </c>
      <c r="F3365" t="s">
        <v>26</v>
      </c>
      <c r="G3365" t="str">
        <f>_xlfn.XLOOKUP(transakcje[[#This Row],[podkategoria]],parametr[podkategoria],parametr[kategoria])</f>
        <v>życie</v>
      </c>
      <c r="H3365" t="str">
        <f>_xlfn.XLOOKUP(transakcje[[#This Row],[kategoria]],parametr[kategoria],parametr[typ])</f>
        <v>wydatki</v>
      </c>
      <c r="I3365" s="1">
        <f>ABS(transakcje[[#This Row],[kwota]])</f>
        <v>0.72399999999999998</v>
      </c>
    </row>
    <row r="3366" spans="1:9" x14ac:dyDescent="0.3">
      <c r="A3366">
        <v>3365</v>
      </c>
      <c r="B3366">
        <v>2021</v>
      </c>
      <c r="C3366">
        <v>1</v>
      </c>
      <c r="D3366">
        <v>18</v>
      </c>
      <c r="E3366" s="1">
        <v>-0.72399999999999998</v>
      </c>
      <c r="F3366" t="s">
        <v>26</v>
      </c>
      <c r="G3366" t="str">
        <f>_xlfn.XLOOKUP(transakcje[[#This Row],[podkategoria]],parametr[podkategoria],parametr[kategoria])</f>
        <v>życie</v>
      </c>
      <c r="H3366" t="str">
        <f>_xlfn.XLOOKUP(transakcje[[#This Row],[kategoria]],parametr[kategoria],parametr[typ])</f>
        <v>wydatki</v>
      </c>
      <c r="I3366" s="1">
        <f>ABS(transakcje[[#This Row],[kwota]])</f>
        <v>0.72399999999999998</v>
      </c>
    </row>
    <row r="3367" spans="1:9" x14ac:dyDescent="0.3">
      <c r="A3367">
        <v>3366</v>
      </c>
      <c r="B3367">
        <v>2021</v>
      </c>
      <c r="C3367">
        <v>1</v>
      </c>
      <c r="D3367">
        <v>19</v>
      </c>
      <c r="E3367" s="1">
        <v>-0.39800000000000002</v>
      </c>
      <c r="F3367" t="s">
        <v>14</v>
      </c>
      <c r="G3367" t="str">
        <f>_xlfn.XLOOKUP(transakcje[[#This Row],[podkategoria]],parametr[podkategoria],parametr[kategoria])</f>
        <v>opłaty stałe</v>
      </c>
      <c r="H3367" t="str">
        <f>_xlfn.XLOOKUP(transakcje[[#This Row],[kategoria]],parametr[kategoria],parametr[typ])</f>
        <v>wydatki</v>
      </c>
      <c r="I3367" s="1">
        <f>ABS(transakcje[[#This Row],[kwota]])</f>
        <v>0.39800000000000002</v>
      </c>
    </row>
    <row r="3368" spans="1:9" x14ac:dyDescent="0.3">
      <c r="A3368">
        <v>3367</v>
      </c>
      <c r="B3368">
        <v>2021</v>
      </c>
      <c r="C3368">
        <v>1</v>
      </c>
      <c r="D3368">
        <v>20</v>
      </c>
      <c r="E3368" s="1">
        <v>-13.11</v>
      </c>
      <c r="F3368" t="s">
        <v>26</v>
      </c>
      <c r="G3368" t="str">
        <f>_xlfn.XLOOKUP(transakcje[[#This Row],[podkategoria]],parametr[podkategoria],parametr[kategoria])</f>
        <v>życie</v>
      </c>
      <c r="H3368" t="str">
        <f>_xlfn.XLOOKUP(transakcje[[#This Row],[kategoria]],parametr[kategoria],parametr[typ])</f>
        <v>wydatki</v>
      </c>
      <c r="I3368" s="1">
        <f>ABS(transakcje[[#This Row],[kwota]])</f>
        <v>13.11</v>
      </c>
    </row>
    <row r="3369" spans="1:9" x14ac:dyDescent="0.3">
      <c r="A3369">
        <v>3368</v>
      </c>
      <c r="B3369">
        <v>2021</v>
      </c>
      <c r="C3369">
        <v>1</v>
      </c>
      <c r="D3369">
        <v>21</v>
      </c>
      <c r="E3369" s="1">
        <v>-0.36199999999999999</v>
      </c>
      <c r="F3369" t="s">
        <v>26</v>
      </c>
      <c r="G3369" t="str">
        <f>_xlfn.XLOOKUP(transakcje[[#This Row],[podkategoria]],parametr[podkategoria],parametr[kategoria])</f>
        <v>życie</v>
      </c>
      <c r="H3369" t="str">
        <f>_xlfn.XLOOKUP(transakcje[[#This Row],[kategoria]],parametr[kategoria],parametr[typ])</f>
        <v>wydatki</v>
      </c>
      <c r="I3369" s="1">
        <f>ABS(transakcje[[#This Row],[kwota]])</f>
        <v>0.36199999999999999</v>
      </c>
    </row>
    <row r="3370" spans="1:9" x14ac:dyDescent="0.3">
      <c r="A3370">
        <v>3369</v>
      </c>
      <c r="B3370">
        <v>2021</v>
      </c>
      <c r="C3370">
        <v>1</v>
      </c>
      <c r="D3370">
        <v>22</v>
      </c>
      <c r="E3370" s="1">
        <v>-0.72399999999999998</v>
      </c>
      <c r="F3370" t="s">
        <v>26</v>
      </c>
      <c r="G3370" t="str">
        <f>_xlfn.XLOOKUP(transakcje[[#This Row],[podkategoria]],parametr[podkategoria],parametr[kategoria])</f>
        <v>życie</v>
      </c>
      <c r="H3370" t="str">
        <f>_xlfn.XLOOKUP(transakcje[[#This Row],[kategoria]],parametr[kategoria],parametr[typ])</f>
        <v>wydatki</v>
      </c>
      <c r="I3370" s="1">
        <f>ABS(transakcje[[#This Row],[kwota]])</f>
        <v>0.72399999999999998</v>
      </c>
    </row>
    <row r="3371" spans="1:9" x14ac:dyDescent="0.3">
      <c r="A3371">
        <v>3370</v>
      </c>
      <c r="B3371">
        <v>2021</v>
      </c>
      <c r="C3371">
        <v>1</v>
      </c>
      <c r="D3371">
        <v>25</v>
      </c>
      <c r="E3371" s="1">
        <v>740.91800000000001</v>
      </c>
      <c r="F3371" t="s">
        <v>8</v>
      </c>
      <c r="G3371" t="str">
        <f>_xlfn.XLOOKUP(transakcje[[#This Row],[podkategoria]],parametr[podkategoria],parametr[kategoria])</f>
        <v>dochody z pracy</v>
      </c>
      <c r="H3371" t="str">
        <f>_xlfn.XLOOKUP(transakcje[[#This Row],[kategoria]],parametr[kategoria],parametr[typ])</f>
        <v>dochody</v>
      </c>
      <c r="I3371" s="1">
        <f>ABS(transakcje[[#This Row],[kwota]])</f>
        <v>740.91800000000001</v>
      </c>
    </row>
    <row r="3372" spans="1:9" x14ac:dyDescent="0.3">
      <c r="A3372">
        <v>3371</v>
      </c>
      <c r="B3372">
        <v>2021</v>
      </c>
      <c r="C3372">
        <v>1</v>
      </c>
      <c r="D3372">
        <v>25</v>
      </c>
      <c r="E3372" s="1">
        <v>-23.8</v>
      </c>
      <c r="F3372" t="s">
        <v>32</v>
      </c>
      <c r="G3372" t="str">
        <f>_xlfn.XLOOKUP(transakcje[[#This Row],[podkategoria]],parametr[podkategoria],parametr[kategoria])</f>
        <v>opłaty stałe</v>
      </c>
      <c r="H3372" t="str">
        <f>_xlfn.XLOOKUP(transakcje[[#This Row],[kategoria]],parametr[kategoria],parametr[typ])</f>
        <v>wydatki</v>
      </c>
      <c r="I3372" s="1">
        <f>ABS(transakcje[[#This Row],[kwota]])</f>
        <v>23.8</v>
      </c>
    </row>
    <row r="3373" spans="1:9" x14ac:dyDescent="0.3">
      <c r="A3373">
        <v>3372</v>
      </c>
      <c r="B3373">
        <v>2021</v>
      </c>
      <c r="C3373">
        <v>1</v>
      </c>
      <c r="D3373">
        <v>26</v>
      </c>
      <c r="E3373" s="1">
        <v>-0.36199999999999999</v>
      </c>
      <c r="F3373" t="s">
        <v>26</v>
      </c>
      <c r="G3373" t="str">
        <f>_xlfn.XLOOKUP(transakcje[[#This Row],[podkategoria]],parametr[podkategoria],parametr[kategoria])</f>
        <v>życie</v>
      </c>
      <c r="H3373" t="str">
        <f>_xlfn.XLOOKUP(transakcje[[#This Row],[kategoria]],parametr[kategoria],parametr[typ])</f>
        <v>wydatki</v>
      </c>
      <c r="I3373" s="1">
        <f>ABS(transakcje[[#This Row],[kwota]])</f>
        <v>0.36199999999999999</v>
      </c>
    </row>
    <row r="3374" spans="1:9" x14ac:dyDescent="0.3">
      <c r="A3374">
        <v>3373</v>
      </c>
      <c r="B3374">
        <v>2021</v>
      </c>
      <c r="C3374">
        <v>1</v>
      </c>
      <c r="D3374">
        <v>28</v>
      </c>
      <c r="E3374" s="1">
        <v>-0.36199999999999999</v>
      </c>
      <c r="F3374" t="s">
        <v>26</v>
      </c>
      <c r="G3374" t="str">
        <f>_xlfn.XLOOKUP(transakcje[[#This Row],[podkategoria]],parametr[podkategoria],parametr[kategoria])</f>
        <v>życie</v>
      </c>
      <c r="H3374" t="str">
        <f>_xlfn.XLOOKUP(transakcje[[#This Row],[kategoria]],parametr[kategoria],parametr[typ])</f>
        <v>wydatki</v>
      </c>
      <c r="I3374" s="1">
        <f>ABS(transakcje[[#This Row],[kwota]])</f>
        <v>0.36199999999999999</v>
      </c>
    </row>
    <row r="3375" spans="1:9" x14ac:dyDescent="0.3">
      <c r="A3375">
        <v>3374</v>
      </c>
      <c r="B3375">
        <v>2021</v>
      </c>
      <c r="C3375">
        <v>1</v>
      </c>
      <c r="D3375">
        <v>28</v>
      </c>
      <c r="E3375" s="1">
        <v>-2.71</v>
      </c>
      <c r="F3375" t="s">
        <v>26</v>
      </c>
      <c r="G3375" t="str">
        <f>_xlfn.XLOOKUP(transakcje[[#This Row],[podkategoria]],parametr[podkategoria],parametr[kategoria])</f>
        <v>życie</v>
      </c>
      <c r="H3375" t="str">
        <f>_xlfn.XLOOKUP(transakcje[[#This Row],[kategoria]],parametr[kategoria],parametr[typ])</f>
        <v>wydatki</v>
      </c>
      <c r="I3375" s="1">
        <f>ABS(transakcje[[#This Row],[kwota]])</f>
        <v>2.71</v>
      </c>
    </row>
    <row r="3376" spans="1:9" x14ac:dyDescent="0.3">
      <c r="A3376">
        <v>3375</v>
      </c>
      <c r="B3376">
        <v>2021</v>
      </c>
      <c r="C3376">
        <v>1</v>
      </c>
      <c r="D3376">
        <v>28</v>
      </c>
      <c r="E3376" s="1">
        <v>-8.1999999999999993</v>
      </c>
      <c r="F3376" t="s">
        <v>26</v>
      </c>
      <c r="G3376" t="str">
        <f>_xlfn.XLOOKUP(transakcje[[#This Row],[podkategoria]],parametr[podkategoria],parametr[kategoria])</f>
        <v>życie</v>
      </c>
      <c r="H3376" t="str">
        <f>_xlfn.XLOOKUP(transakcje[[#This Row],[kategoria]],parametr[kategoria],parametr[typ])</f>
        <v>wydatki</v>
      </c>
      <c r="I3376" s="1">
        <f>ABS(transakcje[[#This Row],[kwota]])</f>
        <v>8.1999999999999993</v>
      </c>
    </row>
    <row r="3377" spans="1:9" x14ac:dyDescent="0.3">
      <c r="A3377">
        <v>3376</v>
      </c>
      <c r="B3377">
        <v>2021</v>
      </c>
      <c r="C3377">
        <v>1</v>
      </c>
      <c r="D3377">
        <v>29</v>
      </c>
      <c r="E3377" s="1">
        <v>-0.72399999999999998</v>
      </c>
      <c r="F3377" t="s">
        <v>26</v>
      </c>
      <c r="G3377" t="str">
        <f>_xlfn.XLOOKUP(transakcje[[#This Row],[podkategoria]],parametr[podkategoria],parametr[kategoria])</f>
        <v>życie</v>
      </c>
      <c r="H3377" t="str">
        <f>_xlfn.XLOOKUP(transakcje[[#This Row],[kategoria]],parametr[kategoria],parametr[typ])</f>
        <v>wydatki</v>
      </c>
      <c r="I3377" s="1">
        <f>ABS(transakcje[[#This Row],[kwota]])</f>
        <v>0.72399999999999998</v>
      </c>
    </row>
    <row r="3378" spans="1:9" x14ac:dyDescent="0.3">
      <c r="A3378">
        <v>3377</v>
      </c>
      <c r="B3378">
        <v>2021</v>
      </c>
      <c r="C3378">
        <v>1</v>
      </c>
      <c r="D3378">
        <v>30</v>
      </c>
      <c r="E3378" s="1">
        <v>-8.6</v>
      </c>
      <c r="F3378" t="s">
        <v>26</v>
      </c>
      <c r="G3378" t="str">
        <f>_xlfn.XLOOKUP(transakcje[[#This Row],[podkategoria]],parametr[podkategoria],parametr[kategoria])</f>
        <v>życie</v>
      </c>
      <c r="H3378" t="str">
        <f>_xlfn.XLOOKUP(transakcje[[#This Row],[kategoria]],parametr[kategoria],parametr[typ])</f>
        <v>wydatki</v>
      </c>
      <c r="I3378" s="1">
        <f>ABS(transakcje[[#This Row],[kwota]])</f>
        <v>8.6</v>
      </c>
    </row>
    <row r="3379" spans="1:9" x14ac:dyDescent="0.3">
      <c r="A3379">
        <v>3378</v>
      </c>
      <c r="B3379">
        <v>2021</v>
      </c>
      <c r="C3379">
        <v>1</v>
      </c>
      <c r="D3379">
        <v>30</v>
      </c>
      <c r="E3379" s="1">
        <v>-1</v>
      </c>
      <c r="F3379" t="s">
        <v>14</v>
      </c>
      <c r="G3379" t="str">
        <f>_xlfn.XLOOKUP(transakcje[[#This Row],[podkategoria]],parametr[podkategoria],parametr[kategoria])</f>
        <v>opłaty stałe</v>
      </c>
      <c r="H3379" t="str">
        <f>_xlfn.XLOOKUP(transakcje[[#This Row],[kategoria]],parametr[kategoria],parametr[typ])</f>
        <v>wydatki</v>
      </c>
      <c r="I3379" s="1">
        <f>ABS(transakcje[[#This Row],[kwota]])</f>
        <v>1</v>
      </c>
    </row>
    <row r="3380" spans="1:9" x14ac:dyDescent="0.3">
      <c r="A3380">
        <v>3379</v>
      </c>
      <c r="B3380">
        <v>2021</v>
      </c>
      <c r="C3380">
        <v>1</v>
      </c>
      <c r="D3380">
        <v>30</v>
      </c>
      <c r="E3380" s="1">
        <v>-1.3980000000000001</v>
      </c>
      <c r="F3380" t="s">
        <v>14</v>
      </c>
      <c r="G3380" t="str">
        <f>_xlfn.XLOOKUP(transakcje[[#This Row],[podkategoria]],parametr[podkategoria],parametr[kategoria])</f>
        <v>opłaty stałe</v>
      </c>
      <c r="H3380" t="str">
        <f>_xlfn.XLOOKUP(transakcje[[#This Row],[kategoria]],parametr[kategoria],parametr[typ])</f>
        <v>wydatki</v>
      </c>
      <c r="I3380" s="1">
        <f>ABS(transakcje[[#This Row],[kwota]])</f>
        <v>1.3980000000000001</v>
      </c>
    </row>
    <row r="3381" spans="1:9" x14ac:dyDescent="0.3">
      <c r="A3381">
        <v>3380</v>
      </c>
      <c r="B3381">
        <v>2021</v>
      </c>
      <c r="C3381">
        <v>1</v>
      </c>
      <c r="D3381">
        <v>30</v>
      </c>
      <c r="E3381" s="1">
        <v>-2E-3</v>
      </c>
      <c r="F3381" t="s">
        <v>14</v>
      </c>
      <c r="G3381" t="str">
        <f>_xlfn.XLOOKUP(transakcje[[#This Row],[podkategoria]],parametr[podkategoria],parametr[kategoria])</f>
        <v>opłaty stałe</v>
      </c>
      <c r="H3381" t="str">
        <f>_xlfn.XLOOKUP(transakcje[[#This Row],[kategoria]],parametr[kategoria],parametr[typ])</f>
        <v>wydatki</v>
      </c>
      <c r="I3381" s="1">
        <f>ABS(transakcje[[#This Row],[kwota]])</f>
        <v>2E-3</v>
      </c>
    </row>
    <row r="3382" spans="1:9" x14ac:dyDescent="0.3">
      <c r="A3382">
        <v>3381</v>
      </c>
      <c r="B3382">
        <v>2021</v>
      </c>
      <c r="C3382">
        <v>1</v>
      </c>
      <c r="D3382">
        <v>30</v>
      </c>
      <c r="E3382" s="1">
        <v>4.0000000000000001E-3</v>
      </c>
      <c r="F3382" t="s">
        <v>17</v>
      </c>
      <c r="G3382" t="str">
        <f>_xlfn.XLOOKUP(transakcje[[#This Row],[podkategoria]],parametr[podkategoria],parametr[kategoria])</f>
        <v>dochody pozostałe</v>
      </c>
      <c r="H3382" t="str">
        <f>_xlfn.XLOOKUP(transakcje[[#This Row],[kategoria]],parametr[kategoria],parametr[typ])</f>
        <v>dochody</v>
      </c>
      <c r="I3382" s="1">
        <f>ABS(transakcje[[#This Row],[kwota]])</f>
        <v>4.0000000000000001E-3</v>
      </c>
    </row>
    <row r="3383" spans="1:9" x14ac:dyDescent="0.3">
      <c r="A3383">
        <v>3382</v>
      </c>
      <c r="B3383">
        <v>2021</v>
      </c>
      <c r="C3383">
        <v>2</v>
      </c>
      <c r="D3383">
        <v>1</v>
      </c>
      <c r="E3383" s="1">
        <v>-9.1999999999999993</v>
      </c>
      <c r="F3383" t="s">
        <v>36</v>
      </c>
      <c r="G3383" t="str">
        <f>_xlfn.XLOOKUP(transakcje[[#This Row],[podkategoria]],parametr[podkategoria],parametr[kategoria])</f>
        <v>opłaty stałe</v>
      </c>
      <c r="H3383" t="str">
        <f>_xlfn.XLOOKUP(transakcje[[#This Row],[kategoria]],parametr[kategoria],parametr[typ])</f>
        <v>wydatki</v>
      </c>
      <c r="I3383" s="1">
        <f>ABS(transakcje[[#This Row],[kwota]])</f>
        <v>9.1999999999999993</v>
      </c>
    </row>
    <row r="3384" spans="1:9" x14ac:dyDescent="0.3">
      <c r="A3384">
        <v>3383</v>
      </c>
      <c r="B3384">
        <v>2021</v>
      </c>
      <c r="C3384">
        <v>2</v>
      </c>
      <c r="D3384">
        <v>1</v>
      </c>
      <c r="E3384" s="1">
        <v>-4.9000000000000004</v>
      </c>
      <c r="F3384" t="s">
        <v>37</v>
      </c>
      <c r="G3384" t="str">
        <f>_xlfn.XLOOKUP(transakcje[[#This Row],[podkategoria]],parametr[podkategoria],parametr[kategoria])</f>
        <v>opłaty stałe</v>
      </c>
      <c r="H3384" t="str">
        <f>_xlfn.XLOOKUP(transakcje[[#This Row],[kategoria]],parametr[kategoria],parametr[typ])</f>
        <v>wydatki</v>
      </c>
      <c r="I3384" s="1">
        <f>ABS(transakcje[[#This Row],[kwota]])</f>
        <v>4.9000000000000004</v>
      </c>
    </row>
    <row r="3385" spans="1:9" x14ac:dyDescent="0.3">
      <c r="A3385">
        <v>3384</v>
      </c>
      <c r="B3385">
        <v>2021</v>
      </c>
      <c r="C3385">
        <v>2</v>
      </c>
      <c r="D3385">
        <v>1</v>
      </c>
      <c r="E3385" s="1">
        <v>-5.8</v>
      </c>
      <c r="F3385" t="s">
        <v>25</v>
      </c>
      <c r="G3385" t="str">
        <f>_xlfn.XLOOKUP(transakcje[[#This Row],[podkategoria]],parametr[podkategoria],parametr[kategoria])</f>
        <v>opłaty stałe</v>
      </c>
      <c r="H3385" t="str">
        <f>_xlfn.XLOOKUP(transakcje[[#This Row],[kategoria]],parametr[kategoria],parametr[typ])</f>
        <v>wydatki</v>
      </c>
      <c r="I3385" s="1">
        <f>ABS(transakcje[[#This Row],[kwota]])</f>
        <v>5.8</v>
      </c>
    </row>
    <row r="3386" spans="1:9" x14ac:dyDescent="0.3">
      <c r="A3386">
        <v>3385</v>
      </c>
      <c r="B3386">
        <v>2021</v>
      </c>
      <c r="C3386">
        <v>2</v>
      </c>
      <c r="D3386">
        <v>1</v>
      </c>
      <c r="E3386" s="1">
        <v>-7.38</v>
      </c>
      <c r="F3386" t="s">
        <v>23</v>
      </c>
      <c r="G3386" t="str">
        <f>_xlfn.XLOOKUP(transakcje[[#This Row],[podkategoria]],parametr[podkategoria],parametr[kategoria])</f>
        <v>opłaty stałe</v>
      </c>
      <c r="H3386" t="str">
        <f>_xlfn.XLOOKUP(transakcje[[#This Row],[kategoria]],parametr[kategoria],parametr[typ])</f>
        <v>wydatki</v>
      </c>
      <c r="I3386" s="1">
        <f>ABS(transakcje[[#This Row],[kwota]])</f>
        <v>7.38</v>
      </c>
    </row>
    <row r="3387" spans="1:9" x14ac:dyDescent="0.3">
      <c r="A3387">
        <v>3386</v>
      </c>
      <c r="B3387">
        <v>2021</v>
      </c>
      <c r="C3387">
        <v>2</v>
      </c>
      <c r="D3387">
        <v>1</v>
      </c>
      <c r="E3387" s="1">
        <v>-72.304000000000002</v>
      </c>
      <c r="F3387" t="s">
        <v>31</v>
      </c>
      <c r="G3387" t="str">
        <f>_xlfn.XLOOKUP(transakcje[[#This Row],[podkategoria]],parametr[podkategoria],parametr[kategoria])</f>
        <v>opłaty stałe</v>
      </c>
      <c r="H3387" t="str">
        <f>_xlfn.XLOOKUP(transakcje[[#This Row],[kategoria]],parametr[kategoria],parametr[typ])</f>
        <v>wydatki</v>
      </c>
      <c r="I3387" s="1">
        <f>ABS(transakcje[[#This Row],[kwota]])</f>
        <v>72.304000000000002</v>
      </c>
    </row>
    <row r="3388" spans="1:9" x14ac:dyDescent="0.3">
      <c r="A3388">
        <v>3387</v>
      </c>
      <c r="B3388">
        <v>2021</v>
      </c>
      <c r="C3388">
        <v>2</v>
      </c>
      <c r="D3388">
        <v>2</v>
      </c>
      <c r="E3388" s="1">
        <v>745.85400000000004</v>
      </c>
      <c r="F3388" t="s">
        <v>22</v>
      </c>
      <c r="G3388" t="str">
        <f>_xlfn.XLOOKUP(transakcje[[#This Row],[podkategoria]],parametr[podkategoria],parametr[kategoria])</f>
        <v>dochody z pracy</v>
      </c>
      <c r="H3388" t="str">
        <f>_xlfn.XLOOKUP(transakcje[[#This Row],[kategoria]],parametr[kategoria],parametr[typ])</f>
        <v>dochody</v>
      </c>
      <c r="I3388" s="1">
        <f>ABS(transakcje[[#This Row],[kwota]])</f>
        <v>745.85400000000004</v>
      </c>
    </row>
    <row r="3389" spans="1:9" x14ac:dyDescent="0.3">
      <c r="A3389">
        <v>3388</v>
      </c>
      <c r="B3389">
        <v>2021</v>
      </c>
      <c r="C3389">
        <v>2</v>
      </c>
      <c r="D3389">
        <v>2</v>
      </c>
      <c r="E3389" s="1">
        <v>-3.1640000000000001</v>
      </c>
      <c r="F3389" t="s">
        <v>26</v>
      </c>
      <c r="G3389" t="str">
        <f>_xlfn.XLOOKUP(transakcje[[#This Row],[podkategoria]],parametr[podkategoria],parametr[kategoria])</f>
        <v>życie</v>
      </c>
      <c r="H3389" t="str">
        <f>_xlfn.XLOOKUP(transakcje[[#This Row],[kategoria]],parametr[kategoria],parametr[typ])</f>
        <v>wydatki</v>
      </c>
      <c r="I3389" s="1">
        <f>ABS(transakcje[[#This Row],[kwota]])</f>
        <v>3.1640000000000001</v>
      </c>
    </row>
    <row r="3390" spans="1:9" x14ac:dyDescent="0.3">
      <c r="A3390">
        <v>3389</v>
      </c>
      <c r="B3390">
        <v>2021</v>
      </c>
      <c r="C3390">
        <v>2</v>
      </c>
      <c r="D3390">
        <v>2</v>
      </c>
      <c r="E3390" s="1">
        <v>-2.5680000000000001</v>
      </c>
      <c r="F3390" t="s">
        <v>26</v>
      </c>
      <c r="G3390" t="str">
        <f>_xlfn.XLOOKUP(transakcje[[#This Row],[podkategoria]],parametr[podkategoria],parametr[kategoria])</f>
        <v>życie</v>
      </c>
      <c r="H3390" t="str">
        <f>_xlfn.XLOOKUP(transakcje[[#This Row],[kategoria]],parametr[kategoria],parametr[typ])</f>
        <v>wydatki</v>
      </c>
      <c r="I3390" s="1">
        <f>ABS(transakcje[[#This Row],[kwota]])</f>
        <v>2.5680000000000001</v>
      </c>
    </row>
    <row r="3391" spans="1:9" x14ac:dyDescent="0.3">
      <c r="A3391">
        <v>3390</v>
      </c>
      <c r="B3391">
        <v>2021</v>
      </c>
      <c r="C3391">
        <v>2</v>
      </c>
      <c r="D3391">
        <v>4</v>
      </c>
      <c r="E3391" s="1">
        <v>-9.1959999999999997</v>
      </c>
      <c r="F3391" t="s">
        <v>26</v>
      </c>
      <c r="G3391" t="str">
        <f>_xlfn.XLOOKUP(transakcje[[#This Row],[podkategoria]],parametr[podkategoria],parametr[kategoria])</f>
        <v>życie</v>
      </c>
      <c r="H3391" t="str">
        <f>_xlfn.XLOOKUP(transakcje[[#This Row],[kategoria]],parametr[kategoria],parametr[typ])</f>
        <v>wydatki</v>
      </c>
      <c r="I3391" s="1">
        <f>ABS(transakcje[[#This Row],[kwota]])</f>
        <v>9.1959999999999997</v>
      </c>
    </row>
    <row r="3392" spans="1:9" x14ac:dyDescent="0.3">
      <c r="A3392">
        <v>3391</v>
      </c>
      <c r="B3392">
        <v>2021</v>
      </c>
      <c r="C3392">
        <v>2</v>
      </c>
      <c r="D3392">
        <v>5</v>
      </c>
      <c r="E3392" s="1">
        <v>-0.72399999999999998</v>
      </c>
      <c r="F3392" t="s">
        <v>26</v>
      </c>
      <c r="G3392" t="str">
        <f>_xlfn.XLOOKUP(transakcje[[#This Row],[podkategoria]],parametr[podkategoria],parametr[kategoria])</f>
        <v>życie</v>
      </c>
      <c r="H3392" t="str">
        <f>_xlfn.XLOOKUP(transakcje[[#This Row],[kategoria]],parametr[kategoria],parametr[typ])</f>
        <v>wydatki</v>
      </c>
      <c r="I3392" s="1">
        <f>ABS(transakcje[[#This Row],[kwota]])</f>
        <v>0.72399999999999998</v>
      </c>
    </row>
    <row r="3393" spans="1:9" x14ac:dyDescent="0.3">
      <c r="A3393">
        <v>3392</v>
      </c>
      <c r="B3393">
        <v>2021</v>
      </c>
      <c r="C3393">
        <v>2</v>
      </c>
      <c r="D3393">
        <v>9</v>
      </c>
      <c r="E3393" s="1">
        <v>-0.72399999999999998</v>
      </c>
      <c r="F3393" t="s">
        <v>26</v>
      </c>
      <c r="G3393" t="str">
        <f>_xlfn.XLOOKUP(transakcje[[#This Row],[podkategoria]],parametr[podkategoria],parametr[kategoria])</f>
        <v>życie</v>
      </c>
      <c r="H3393" t="str">
        <f>_xlfn.XLOOKUP(transakcje[[#This Row],[kategoria]],parametr[kategoria],parametr[typ])</f>
        <v>wydatki</v>
      </c>
      <c r="I3393" s="1">
        <f>ABS(transakcje[[#This Row],[kwota]])</f>
        <v>0.72399999999999998</v>
      </c>
    </row>
    <row r="3394" spans="1:9" x14ac:dyDescent="0.3">
      <c r="A3394">
        <v>3393</v>
      </c>
      <c r="B3394">
        <v>2021</v>
      </c>
      <c r="C3394">
        <v>2</v>
      </c>
      <c r="D3394">
        <v>11</v>
      </c>
      <c r="E3394" s="1">
        <v>-6.6579999999999995</v>
      </c>
      <c r="F3394" t="s">
        <v>26</v>
      </c>
      <c r="G3394" t="str">
        <f>_xlfn.XLOOKUP(transakcje[[#This Row],[podkategoria]],parametr[podkategoria],parametr[kategoria])</f>
        <v>życie</v>
      </c>
      <c r="H3394" t="str">
        <f>_xlfn.XLOOKUP(transakcje[[#This Row],[kategoria]],parametr[kategoria],parametr[typ])</f>
        <v>wydatki</v>
      </c>
      <c r="I3394" s="1">
        <f>ABS(transakcje[[#This Row],[kwota]])</f>
        <v>6.6579999999999995</v>
      </c>
    </row>
    <row r="3395" spans="1:9" x14ac:dyDescent="0.3">
      <c r="A3395">
        <v>3394</v>
      </c>
      <c r="B3395">
        <v>2021</v>
      </c>
      <c r="C3395">
        <v>2</v>
      </c>
      <c r="D3395">
        <v>11</v>
      </c>
      <c r="E3395" s="1">
        <v>-11.02</v>
      </c>
      <c r="F3395" t="s">
        <v>26</v>
      </c>
      <c r="G3395" t="str">
        <f>_xlfn.XLOOKUP(transakcje[[#This Row],[podkategoria]],parametr[podkategoria],parametr[kategoria])</f>
        <v>życie</v>
      </c>
      <c r="H3395" t="str">
        <f>_xlfn.XLOOKUP(transakcje[[#This Row],[kategoria]],parametr[kategoria],parametr[typ])</f>
        <v>wydatki</v>
      </c>
      <c r="I3395" s="1">
        <f>ABS(transakcje[[#This Row],[kwota]])</f>
        <v>11.02</v>
      </c>
    </row>
    <row r="3396" spans="1:9" x14ac:dyDescent="0.3">
      <c r="A3396">
        <v>3395</v>
      </c>
      <c r="B3396">
        <v>2021</v>
      </c>
      <c r="C3396">
        <v>2</v>
      </c>
      <c r="D3396">
        <v>12</v>
      </c>
      <c r="E3396" s="1">
        <v>-0.72399999999999998</v>
      </c>
      <c r="F3396" t="s">
        <v>26</v>
      </c>
      <c r="G3396" t="str">
        <f>_xlfn.XLOOKUP(transakcje[[#This Row],[podkategoria]],parametr[podkategoria],parametr[kategoria])</f>
        <v>życie</v>
      </c>
      <c r="H3396" t="str">
        <f>_xlfn.XLOOKUP(transakcje[[#This Row],[kategoria]],parametr[kategoria],parametr[typ])</f>
        <v>wydatki</v>
      </c>
      <c r="I3396" s="1">
        <f>ABS(transakcje[[#This Row],[kwota]])</f>
        <v>0.72399999999999998</v>
      </c>
    </row>
    <row r="3397" spans="1:9" x14ac:dyDescent="0.3">
      <c r="A3397">
        <v>3396</v>
      </c>
      <c r="B3397">
        <v>2021</v>
      </c>
      <c r="C3397">
        <v>2</v>
      </c>
      <c r="D3397">
        <v>16</v>
      </c>
      <c r="E3397" s="1">
        <v>-7.7180000000000009</v>
      </c>
      <c r="F3397" t="s">
        <v>26</v>
      </c>
      <c r="G3397" t="str">
        <f>_xlfn.XLOOKUP(transakcje[[#This Row],[podkategoria]],parametr[podkategoria],parametr[kategoria])</f>
        <v>życie</v>
      </c>
      <c r="H3397" t="str">
        <f>_xlfn.XLOOKUP(transakcje[[#This Row],[kategoria]],parametr[kategoria],parametr[typ])</f>
        <v>wydatki</v>
      </c>
      <c r="I3397" s="1">
        <f>ABS(transakcje[[#This Row],[kwota]])</f>
        <v>7.7180000000000009</v>
      </c>
    </row>
    <row r="3398" spans="1:9" x14ac:dyDescent="0.3">
      <c r="A3398">
        <v>3397</v>
      </c>
      <c r="B3398">
        <v>2021</v>
      </c>
      <c r="C3398">
        <v>2</v>
      </c>
      <c r="D3398">
        <v>16</v>
      </c>
      <c r="E3398" s="1">
        <v>-0.72399999999999998</v>
      </c>
      <c r="F3398" t="s">
        <v>26</v>
      </c>
      <c r="G3398" t="str">
        <f>_xlfn.XLOOKUP(transakcje[[#This Row],[podkategoria]],parametr[podkategoria],parametr[kategoria])</f>
        <v>życie</v>
      </c>
      <c r="H3398" t="str">
        <f>_xlfn.XLOOKUP(transakcje[[#This Row],[kategoria]],parametr[kategoria],parametr[typ])</f>
        <v>wydatki</v>
      </c>
      <c r="I3398" s="1">
        <f>ABS(transakcje[[#This Row],[kwota]])</f>
        <v>0.72399999999999998</v>
      </c>
    </row>
    <row r="3399" spans="1:9" x14ac:dyDescent="0.3">
      <c r="A3399">
        <v>3398</v>
      </c>
      <c r="B3399">
        <v>2021</v>
      </c>
      <c r="C3399">
        <v>2</v>
      </c>
      <c r="D3399">
        <v>16</v>
      </c>
      <c r="E3399" s="1">
        <v>-0.39800000000000002</v>
      </c>
      <c r="F3399" t="s">
        <v>14</v>
      </c>
      <c r="G3399" t="str">
        <f>_xlfn.XLOOKUP(transakcje[[#This Row],[podkategoria]],parametr[podkategoria],parametr[kategoria])</f>
        <v>opłaty stałe</v>
      </c>
      <c r="H3399" t="str">
        <f>_xlfn.XLOOKUP(transakcje[[#This Row],[kategoria]],parametr[kategoria],parametr[typ])</f>
        <v>wydatki</v>
      </c>
      <c r="I3399" s="1">
        <f>ABS(transakcje[[#This Row],[kwota]])</f>
        <v>0.39800000000000002</v>
      </c>
    </row>
    <row r="3400" spans="1:9" x14ac:dyDescent="0.3">
      <c r="A3400">
        <v>3399</v>
      </c>
      <c r="B3400">
        <v>2021</v>
      </c>
      <c r="C3400">
        <v>2</v>
      </c>
      <c r="D3400">
        <v>22</v>
      </c>
      <c r="E3400" s="1">
        <v>-1.966</v>
      </c>
      <c r="F3400" t="s">
        <v>26</v>
      </c>
      <c r="G3400" t="str">
        <f>_xlfn.XLOOKUP(transakcje[[#This Row],[podkategoria]],parametr[podkategoria],parametr[kategoria])</f>
        <v>życie</v>
      </c>
      <c r="H3400" t="str">
        <f>_xlfn.XLOOKUP(transakcje[[#This Row],[kategoria]],parametr[kategoria],parametr[typ])</f>
        <v>wydatki</v>
      </c>
      <c r="I3400" s="1">
        <f>ABS(transakcje[[#This Row],[kwota]])</f>
        <v>1.966</v>
      </c>
    </row>
    <row r="3401" spans="1:9" x14ac:dyDescent="0.3">
      <c r="A3401">
        <v>3400</v>
      </c>
      <c r="B3401">
        <v>2021</v>
      </c>
      <c r="C3401">
        <v>2</v>
      </c>
      <c r="D3401">
        <v>22</v>
      </c>
      <c r="E3401" s="1">
        <v>-1.448</v>
      </c>
      <c r="F3401" t="s">
        <v>26</v>
      </c>
      <c r="G3401" t="str">
        <f>_xlfn.XLOOKUP(transakcje[[#This Row],[podkategoria]],parametr[podkategoria],parametr[kategoria])</f>
        <v>życie</v>
      </c>
      <c r="H3401" t="str">
        <f>_xlfn.XLOOKUP(transakcje[[#This Row],[kategoria]],parametr[kategoria],parametr[typ])</f>
        <v>wydatki</v>
      </c>
      <c r="I3401" s="1">
        <f>ABS(transakcje[[#This Row],[kwota]])</f>
        <v>1.448</v>
      </c>
    </row>
    <row r="3402" spans="1:9" x14ac:dyDescent="0.3">
      <c r="A3402">
        <v>3401</v>
      </c>
      <c r="B3402">
        <v>2021</v>
      </c>
      <c r="C3402">
        <v>2</v>
      </c>
      <c r="D3402">
        <v>23</v>
      </c>
      <c r="E3402" s="1">
        <v>-23.8</v>
      </c>
      <c r="F3402" t="s">
        <v>32</v>
      </c>
      <c r="G3402" t="str">
        <f>_xlfn.XLOOKUP(transakcje[[#This Row],[podkategoria]],parametr[podkategoria],parametr[kategoria])</f>
        <v>opłaty stałe</v>
      </c>
      <c r="H3402" t="str">
        <f>_xlfn.XLOOKUP(transakcje[[#This Row],[kategoria]],parametr[kategoria],parametr[typ])</f>
        <v>wydatki</v>
      </c>
      <c r="I3402" s="1">
        <f>ABS(transakcje[[#This Row],[kwota]])</f>
        <v>23.8</v>
      </c>
    </row>
    <row r="3403" spans="1:9" x14ac:dyDescent="0.3">
      <c r="A3403">
        <v>3402</v>
      </c>
      <c r="B3403">
        <v>2021</v>
      </c>
      <c r="C3403">
        <v>2</v>
      </c>
      <c r="D3403">
        <v>26</v>
      </c>
      <c r="E3403" s="1">
        <v>2</v>
      </c>
      <c r="F3403" t="s">
        <v>16</v>
      </c>
      <c r="G3403" t="str">
        <f>_xlfn.XLOOKUP(transakcje[[#This Row],[podkategoria]],parametr[podkategoria],parametr[kategoria])</f>
        <v>dochody z pracy</v>
      </c>
      <c r="H3403" t="str">
        <f>_xlfn.XLOOKUP(transakcje[[#This Row],[kategoria]],parametr[kategoria],parametr[typ])</f>
        <v>dochody</v>
      </c>
      <c r="I3403" s="1">
        <f>ABS(transakcje[[#This Row],[kwota]])</f>
        <v>2</v>
      </c>
    </row>
    <row r="3404" spans="1:9" x14ac:dyDescent="0.3">
      <c r="A3404">
        <v>3403</v>
      </c>
      <c r="B3404">
        <v>2021</v>
      </c>
      <c r="C3404">
        <v>2</v>
      </c>
      <c r="D3404">
        <v>26</v>
      </c>
      <c r="E3404" s="1">
        <v>740.91800000000001</v>
      </c>
      <c r="F3404" t="s">
        <v>8</v>
      </c>
      <c r="G3404" t="str">
        <f>_xlfn.XLOOKUP(transakcje[[#This Row],[podkategoria]],parametr[podkategoria],parametr[kategoria])</f>
        <v>dochody z pracy</v>
      </c>
      <c r="H3404" t="str">
        <f>_xlfn.XLOOKUP(transakcje[[#This Row],[kategoria]],parametr[kategoria],parametr[typ])</f>
        <v>dochody</v>
      </c>
      <c r="I3404" s="1">
        <f>ABS(transakcje[[#This Row],[kwota]])</f>
        <v>740.91800000000001</v>
      </c>
    </row>
    <row r="3405" spans="1:9" x14ac:dyDescent="0.3">
      <c r="A3405">
        <v>3404</v>
      </c>
      <c r="B3405">
        <v>2021</v>
      </c>
      <c r="C3405">
        <v>2</v>
      </c>
      <c r="D3405">
        <v>27</v>
      </c>
      <c r="E3405" s="1">
        <v>2E-3</v>
      </c>
      <c r="F3405" t="s">
        <v>17</v>
      </c>
      <c r="G3405" t="str">
        <f>_xlfn.XLOOKUP(transakcje[[#This Row],[podkategoria]],parametr[podkategoria],parametr[kategoria])</f>
        <v>dochody pozostałe</v>
      </c>
      <c r="H3405" t="str">
        <f>_xlfn.XLOOKUP(transakcje[[#This Row],[kategoria]],parametr[kategoria],parametr[typ])</f>
        <v>dochody</v>
      </c>
      <c r="I3405" s="1">
        <f>ABS(transakcje[[#This Row],[kwota]])</f>
        <v>2E-3</v>
      </c>
    </row>
    <row r="3406" spans="1:9" x14ac:dyDescent="0.3">
      <c r="A3406">
        <v>3405</v>
      </c>
      <c r="B3406">
        <v>2021</v>
      </c>
      <c r="C3406">
        <v>2</v>
      </c>
      <c r="D3406">
        <v>27</v>
      </c>
      <c r="E3406" s="1">
        <v>-0.5</v>
      </c>
      <c r="F3406" t="s">
        <v>14</v>
      </c>
      <c r="G3406" t="str">
        <f>_xlfn.XLOOKUP(transakcje[[#This Row],[podkategoria]],parametr[podkategoria],parametr[kategoria])</f>
        <v>opłaty stałe</v>
      </c>
      <c r="H3406" t="str">
        <f>_xlfn.XLOOKUP(transakcje[[#This Row],[kategoria]],parametr[kategoria],parametr[typ])</f>
        <v>wydatki</v>
      </c>
      <c r="I3406" s="1">
        <f>ABS(transakcje[[#This Row],[kwota]])</f>
        <v>0.5</v>
      </c>
    </row>
    <row r="3407" spans="1:9" x14ac:dyDescent="0.3">
      <c r="A3407">
        <v>3406</v>
      </c>
      <c r="B3407">
        <v>2021</v>
      </c>
      <c r="C3407">
        <v>2</v>
      </c>
      <c r="D3407">
        <v>27</v>
      </c>
      <c r="E3407" s="1">
        <v>-1.3980000000000001</v>
      </c>
      <c r="F3407" t="s">
        <v>14</v>
      </c>
      <c r="G3407" t="str">
        <f>_xlfn.XLOOKUP(transakcje[[#This Row],[podkategoria]],parametr[podkategoria],parametr[kategoria])</f>
        <v>opłaty stałe</v>
      </c>
      <c r="H3407" t="str">
        <f>_xlfn.XLOOKUP(transakcje[[#This Row],[kategoria]],parametr[kategoria],parametr[typ])</f>
        <v>wydatki</v>
      </c>
      <c r="I3407" s="1">
        <f>ABS(transakcje[[#This Row],[kwota]])</f>
        <v>1.3980000000000001</v>
      </c>
    </row>
    <row r="3408" spans="1:9" x14ac:dyDescent="0.3">
      <c r="A3408">
        <v>3407</v>
      </c>
      <c r="B3408">
        <v>2021</v>
      </c>
      <c r="C3408">
        <v>2</v>
      </c>
      <c r="D3408">
        <v>27</v>
      </c>
      <c r="E3408" s="1">
        <v>-2E-3</v>
      </c>
      <c r="F3408" t="s">
        <v>14</v>
      </c>
      <c r="G3408" t="str">
        <f>_xlfn.XLOOKUP(transakcje[[#This Row],[podkategoria]],parametr[podkategoria],parametr[kategoria])</f>
        <v>opłaty stałe</v>
      </c>
      <c r="H3408" t="str">
        <f>_xlfn.XLOOKUP(transakcje[[#This Row],[kategoria]],parametr[kategoria],parametr[typ])</f>
        <v>wydatki</v>
      </c>
      <c r="I3408" s="1">
        <f>ABS(transakcje[[#This Row],[kwota]])</f>
        <v>2E-3</v>
      </c>
    </row>
    <row r="3409" spans="1:9" x14ac:dyDescent="0.3">
      <c r="A3409">
        <v>3408</v>
      </c>
      <c r="B3409">
        <v>2021</v>
      </c>
      <c r="C3409">
        <v>3</v>
      </c>
      <c r="D3409">
        <v>1</v>
      </c>
      <c r="E3409" s="1">
        <v>-19.891999999999999</v>
      </c>
      <c r="F3409" t="s">
        <v>34</v>
      </c>
      <c r="G3409" t="str">
        <f>_xlfn.XLOOKUP(transakcje[[#This Row],[podkategoria]],parametr[podkategoria],parametr[kategoria])</f>
        <v>opłaty stałe</v>
      </c>
      <c r="H3409" t="str">
        <f>_xlfn.XLOOKUP(transakcje[[#This Row],[kategoria]],parametr[kategoria],parametr[typ])</f>
        <v>wydatki</v>
      </c>
      <c r="I3409" s="1">
        <f>ABS(transakcje[[#This Row],[kwota]])</f>
        <v>19.891999999999999</v>
      </c>
    </row>
    <row r="3410" spans="1:9" x14ac:dyDescent="0.3">
      <c r="A3410">
        <v>3409</v>
      </c>
      <c r="B3410">
        <v>2021</v>
      </c>
      <c r="C3410">
        <v>3</v>
      </c>
      <c r="D3410">
        <v>1</v>
      </c>
      <c r="E3410" s="1">
        <v>-5.8100000000000005</v>
      </c>
      <c r="F3410" t="s">
        <v>35</v>
      </c>
      <c r="G3410" t="str">
        <f>_xlfn.XLOOKUP(transakcje[[#This Row],[podkategoria]],parametr[podkategoria],parametr[kategoria])</f>
        <v>opłaty stałe</v>
      </c>
      <c r="H3410" t="str">
        <f>_xlfn.XLOOKUP(transakcje[[#This Row],[kategoria]],parametr[kategoria],parametr[typ])</f>
        <v>wydatki</v>
      </c>
      <c r="I3410" s="1">
        <f>ABS(transakcje[[#This Row],[kwota]])</f>
        <v>5.8100000000000005</v>
      </c>
    </row>
    <row r="3411" spans="1:9" x14ac:dyDescent="0.3">
      <c r="A3411">
        <v>3410</v>
      </c>
      <c r="B3411">
        <v>2021</v>
      </c>
      <c r="C3411">
        <v>3</v>
      </c>
      <c r="D3411">
        <v>1</v>
      </c>
      <c r="E3411" s="1">
        <v>-4.9000000000000004</v>
      </c>
      <c r="F3411" t="s">
        <v>37</v>
      </c>
      <c r="G3411" t="str">
        <f>_xlfn.XLOOKUP(transakcje[[#This Row],[podkategoria]],parametr[podkategoria],parametr[kategoria])</f>
        <v>opłaty stałe</v>
      </c>
      <c r="H3411" t="str">
        <f>_xlfn.XLOOKUP(transakcje[[#This Row],[kategoria]],parametr[kategoria],parametr[typ])</f>
        <v>wydatki</v>
      </c>
      <c r="I3411" s="1">
        <f>ABS(transakcje[[#This Row],[kwota]])</f>
        <v>4.9000000000000004</v>
      </c>
    </row>
    <row r="3412" spans="1:9" x14ac:dyDescent="0.3">
      <c r="A3412">
        <v>3411</v>
      </c>
      <c r="B3412">
        <v>2021</v>
      </c>
      <c r="C3412">
        <v>3</v>
      </c>
      <c r="D3412">
        <v>1</v>
      </c>
      <c r="E3412" s="1">
        <v>-5.8</v>
      </c>
      <c r="F3412" t="s">
        <v>25</v>
      </c>
      <c r="G3412" t="str">
        <f>_xlfn.XLOOKUP(transakcje[[#This Row],[podkategoria]],parametr[podkategoria],parametr[kategoria])</f>
        <v>opłaty stałe</v>
      </c>
      <c r="H3412" t="str">
        <f>_xlfn.XLOOKUP(transakcje[[#This Row],[kategoria]],parametr[kategoria],parametr[typ])</f>
        <v>wydatki</v>
      </c>
      <c r="I3412" s="1">
        <f>ABS(transakcje[[#This Row],[kwota]])</f>
        <v>5.8</v>
      </c>
    </row>
    <row r="3413" spans="1:9" x14ac:dyDescent="0.3">
      <c r="A3413">
        <v>3412</v>
      </c>
      <c r="B3413">
        <v>2021</v>
      </c>
      <c r="C3413">
        <v>3</v>
      </c>
      <c r="D3413">
        <v>1</v>
      </c>
      <c r="E3413" s="1">
        <v>-7.38</v>
      </c>
      <c r="F3413" t="s">
        <v>23</v>
      </c>
      <c r="G3413" t="str">
        <f>_xlfn.XLOOKUP(transakcje[[#This Row],[podkategoria]],parametr[podkategoria],parametr[kategoria])</f>
        <v>opłaty stałe</v>
      </c>
      <c r="H3413" t="str">
        <f>_xlfn.XLOOKUP(transakcje[[#This Row],[kategoria]],parametr[kategoria],parametr[typ])</f>
        <v>wydatki</v>
      </c>
      <c r="I3413" s="1">
        <f>ABS(transakcje[[#This Row],[kwota]])</f>
        <v>7.38</v>
      </c>
    </row>
    <row r="3414" spans="1:9" x14ac:dyDescent="0.3">
      <c r="A3414">
        <v>3413</v>
      </c>
      <c r="B3414">
        <v>2021</v>
      </c>
      <c r="C3414">
        <v>3</v>
      </c>
      <c r="D3414">
        <v>1</v>
      </c>
      <c r="E3414" s="1">
        <v>-72.304000000000002</v>
      </c>
      <c r="F3414" t="s">
        <v>31</v>
      </c>
      <c r="G3414" t="str">
        <f>_xlfn.XLOOKUP(transakcje[[#This Row],[podkategoria]],parametr[podkategoria],parametr[kategoria])</f>
        <v>opłaty stałe</v>
      </c>
      <c r="H3414" t="str">
        <f>_xlfn.XLOOKUP(transakcje[[#This Row],[kategoria]],parametr[kategoria],parametr[typ])</f>
        <v>wydatki</v>
      </c>
      <c r="I3414" s="1">
        <f>ABS(transakcje[[#This Row],[kwota]])</f>
        <v>72.304000000000002</v>
      </c>
    </row>
    <row r="3415" spans="1:9" x14ac:dyDescent="0.3">
      <c r="A3415">
        <v>3414</v>
      </c>
      <c r="B3415">
        <v>2021</v>
      </c>
      <c r="C3415">
        <v>3</v>
      </c>
      <c r="D3415">
        <v>1</v>
      </c>
      <c r="E3415" s="1">
        <v>-13.325999999999999</v>
      </c>
      <c r="F3415" t="s">
        <v>26</v>
      </c>
      <c r="G3415" t="str">
        <f>_xlfn.XLOOKUP(transakcje[[#This Row],[podkategoria]],parametr[podkategoria],parametr[kategoria])</f>
        <v>życie</v>
      </c>
      <c r="H3415" t="str">
        <f>_xlfn.XLOOKUP(transakcje[[#This Row],[kategoria]],parametr[kategoria],parametr[typ])</f>
        <v>wydatki</v>
      </c>
      <c r="I3415" s="1">
        <f>ABS(transakcje[[#This Row],[kwota]])</f>
        <v>13.325999999999999</v>
      </c>
    </row>
    <row r="3416" spans="1:9" x14ac:dyDescent="0.3">
      <c r="A3416">
        <v>3415</v>
      </c>
      <c r="B3416">
        <v>2021</v>
      </c>
      <c r="C3416">
        <v>3</v>
      </c>
      <c r="D3416">
        <v>2</v>
      </c>
      <c r="E3416" s="1">
        <v>-0.72399999999999998</v>
      </c>
      <c r="F3416" t="s">
        <v>26</v>
      </c>
      <c r="G3416" t="str">
        <f>_xlfn.XLOOKUP(transakcje[[#This Row],[podkategoria]],parametr[podkategoria],parametr[kategoria])</f>
        <v>życie</v>
      </c>
      <c r="H3416" t="str">
        <f>_xlfn.XLOOKUP(transakcje[[#This Row],[kategoria]],parametr[kategoria],parametr[typ])</f>
        <v>wydatki</v>
      </c>
      <c r="I3416" s="1">
        <f>ABS(transakcje[[#This Row],[kwota]])</f>
        <v>0.72399999999999998</v>
      </c>
    </row>
    <row r="3417" spans="1:9" x14ac:dyDescent="0.3">
      <c r="A3417">
        <v>3416</v>
      </c>
      <c r="B3417">
        <v>2021</v>
      </c>
      <c r="C3417">
        <v>3</v>
      </c>
      <c r="D3417">
        <v>4</v>
      </c>
      <c r="E3417" s="1">
        <v>-0.82599999999999996</v>
      </c>
      <c r="F3417" t="s">
        <v>26</v>
      </c>
      <c r="G3417" t="str">
        <f>_xlfn.XLOOKUP(transakcje[[#This Row],[podkategoria]],parametr[podkategoria],parametr[kategoria])</f>
        <v>życie</v>
      </c>
      <c r="H3417" t="str">
        <f>_xlfn.XLOOKUP(transakcje[[#This Row],[kategoria]],parametr[kategoria],parametr[typ])</f>
        <v>wydatki</v>
      </c>
      <c r="I3417" s="1">
        <f>ABS(transakcje[[#This Row],[kwota]])</f>
        <v>0.82599999999999996</v>
      </c>
    </row>
    <row r="3418" spans="1:9" x14ac:dyDescent="0.3">
      <c r="A3418">
        <v>3417</v>
      </c>
      <c r="B3418">
        <v>2021</v>
      </c>
      <c r="C3418">
        <v>3</v>
      </c>
      <c r="D3418">
        <v>5</v>
      </c>
      <c r="E3418" s="1">
        <v>-0.76800000000000002</v>
      </c>
      <c r="F3418" t="s">
        <v>26</v>
      </c>
      <c r="G3418" t="str">
        <f>_xlfn.XLOOKUP(transakcje[[#This Row],[podkategoria]],parametr[podkategoria],parametr[kategoria])</f>
        <v>życie</v>
      </c>
      <c r="H3418" t="str">
        <f>_xlfn.XLOOKUP(transakcje[[#This Row],[kategoria]],parametr[kategoria],parametr[typ])</f>
        <v>wydatki</v>
      </c>
      <c r="I3418" s="1">
        <f>ABS(transakcje[[#This Row],[kwota]])</f>
        <v>0.76800000000000002</v>
      </c>
    </row>
    <row r="3419" spans="1:9" x14ac:dyDescent="0.3">
      <c r="A3419">
        <v>3418</v>
      </c>
      <c r="B3419">
        <v>2021</v>
      </c>
      <c r="C3419">
        <v>3</v>
      </c>
      <c r="D3419">
        <v>8</v>
      </c>
      <c r="E3419" s="1">
        <v>-0.72399999999999998</v>
      </c>
      <c r="F3419" t="s">
        <v>26</v>
      </c>
      <c r="G3419" t="str">
        <f>_xlfn.XLOOKUP(transakcje[[#This Row],[podkategoria]],parametr[podkategoria],parametr[kategoria])</f>
        <v>życie</v>
      </c>
      <c r="H3419" t="str">
        <f>_xlfn.XLOOKUP(transakcje[[#This Row],[kategoria]],parametr[kategoria],parametr[typ])</f>
        <v>wydatki</v>
      </c>
      <c r="I3419" s="1">
        <f>ABS(transakcje[[#This Row],[kwota]])</f>
        <v>0.72399999999999998</v>
      </c>
    </row>
    <row r="3420" spans="1:9" x14ac:dyDescent="0.3">
      <c r="A3420">
        <v>3419</v>
      </c>
      <c r="B3420">
        <v>2021</v>
      </c>
      <c r="C3420">
        <v>3</v>
      </c>
      <c r="D3420">
        <v>9</v>
      </c>
      <c r="E3420" s="1">
        <v>-19.991999999999997</v>
      </c>
      <c r="F3420" t="s">
        <v>26</v>
      </c>
      <c r="G3420" t="str">
        <f>_xlfn.XLOOKUP(transakcje[[#This Row],[podkategoria]],parametr[podkategoria],parametr[kategoria])</f>
        <v>życie</v>
      </c>
      <c r="H3420" t="str">
        <f>_xlfn.XLOOKUP(transakcje[[#This Row],[kategoria]],parametr[kategoria],parametr[typ])</f>
        <v>wydatki</v>
      </c>
      <c r="I3420" s="1">
        <f>ABS(transakcje[[#This Row],[kwota]])</f>
        <v>19.991999999999997</v>
      </c>
    </row>
    <row r="3421" spans="1:9" x14ac:dyDescent="0.3">
      <c r="A3421">
        <v>3420</v>
      </c>
      <c r="B3421">
        <v>2021</v>
      </c>
      <c r="C3421">
        <v>3</v>
      </c>
      <c r="D3421">
        <v>15</v>
      </c>
      <c r="E3421" s="1">
        <v>-9.8000000000000007</v>
      </c>
      <c r="F3421" t="s">
        <v>24</v>
      </c>
      <c r="G3421" t="str">
        <f>_xlfn.XLOOKUP(transakcje[[#This Row],[podkategoria]],parametr[podkategoria],parametr[kategoria])</f>
        <v>trwałe</v>
      </c>
      <c r="H3421" t="str">
        <f>_xlfn.XLOOKUP(transakcje[[#This Row],[kategoria]],parametr[kategoria],parametr[typ])</f>
        <v>wydatki</v>
      </c>
      <c r="I3421" s="1">
        <f>ABS(transakcje[[#This Row],[kwota]])</f>
        <v>9.8000000000000007</v>
      </c>
    </row>
    <row r="3422" spans="1:9" x14ac:dyDescent="0.3">
      <c r="A3422">
        <v>3421</v>
      </c>
      <c r="B3422">
        <v>2021</v>
      </c>
      <c r="C3422">
        <v>3</v>
      </c>
      <c r="D3422">
        <v>16</v>
      </c>
      <c r="E3422" s="1">
        <v>-0.39800000000000002</v>
      </c>
      <c r="F3422" t="s">
        <v>14</v>
      </c>
      <c r="G3422" t="str">
        <f>_xlfn.XLOOKUP(transakcje[[#This Row],[podkategoria]],parametr[podkategoria],parametr[kategoria])</f>
        <v>opłaty stałe</v>
      </c>
      <c r="H3422" t="str">
        <f>_xlfn.XLOOKUP(transakcje[[#This Row],[kategoria]],parametr[kategoria],parametr[typ])</f>
        <v>wydatki</v>
      </c>
      <c r="I3422" s="1">
        <f>ABS(transakcje[[#This Row],[kwota]])</f>
        <v>0.39800000000000002</v>
      </c>
    </row>
    <row r="3423" spans="1:9" x14ac:dyDescent="0.3">
      <c r="A3423">
        <v>3422</v>
      </c>
      <c r="B3423">
        <v>2021</v>
      </c>
      <c r="C3423">
        <v>3</v>
      </c>
      <c r="D3423">
        <v>18</v>
      </c>
      <c r="E3423" s="1">
        <v>-10.657999999999999</v>
      </c>
      <c r="F3423" t="s">
        <v>26</v>
      </c>
      <c r="G3423" t="str">
        <f>_xlfn.XLOOKUP(transakcje[[#This Row],[podkategoria]],parametr[podkategoria],parametr[kategoria])</f>
        <v>życie</v>
      </c>
      <c r="H3423" t="str">
        <f>_xlfn.XLOOKUP(transakcje[[#This Row],[kategoria]],parametr[kategoria],parametr[typ])</f>
        <v>wydatki</v>
      </c>
      <c r="I3423" s="1">
        <f>ABS(transakcje[[#This Row],[kwota]])</f>
        <v>10.657999999999999</v>
      </c>
    </row>
    <row r="3424" spans="1:9" x14ac:dyDescent="0.3">
      <c r="A3424">
        <v>3423</v>
      </c>
      <c r="B3424">
        <v>2021</v>
      </c>
      <c r="C3424">
        <v>3</v>
      </c>
      <c r="D3424">
        <v>22</v>
      </c>
      <c r="E3424" s="1">
        <v>-2.87</v>
      </c>
      <c r="F3424" t="s">
        <v>26</v>
      </c>
      <c r="G3424" t="str">
        <f>_xlfn.XLOOKUP(transakcje[[#This Row],[podkategoria]],parametr[podkategoria],parametr[kategoria])</f>
        <v>życie</v>
      </c>
      <c r="H3424" t="str">
        <f>_xlfn.XLOOKUP(transakcje[[#This Row],[kategoria]],parametr[kategoria],parametr[typ])</f>
        <v>wydatki</v>
      </c>
      <c r="I3424" s="1">
        <f>ABS(transakcje[[#This Row],[kwota]])</f>
        <v>2.87</v>
      </c>
    </row>
    <row r="3425" spans="1:9" x14ac:dyDescent="0.3">
      <c r="A3425">
        <v>3424</v>
      </c>
      <c r="B3425">
        <v>2021</v>
      </c>
      <c r="C3425">
        <v>3</v>
      </c>
      <c r="D3425">
        <v>22</v>
      </c>
      <c r="E3425" s="1">
        <v>-1.298</v>
      </c>
      <c r="F3425" t="s">
        <v>26</v>
      </c>
      <c r="G3425" t="str">
        <f>_xlfn.XLOOKUP(transakcje[[#This Row],[podkategoria]],parametr[podkategoria],parametr[kategoria])</f>
        <v>życie</v>
      </c>
      <c r="H3425" t="str">
        <f>_xlfn.XLOOKUP(transakcje[[#This Row],[kategoria]],parametr[kategoria],parametr[typ])</f>
        <v>wydatki</v>
      </c>
      <c r="I3425" s="1">
        <f>ABS(transakcje[[#This Row],[kwota]])</f>
        <v>1.298</v>
      </c>
    </row>
    <row r="3426" spans="1:9" x14ac:dyDescent="0.3">
      <c r="A3426">
        <v>3425</v>
      </c>
      <c r="B3426">
        <v>2021</v>
      </c>
      <c r="C3426">
        <v>3</v>
      </c>
      <c r="D3426">
        <v>22</v>
      </c>
      <c r="E3426" s="1">
        <v>-6.0439999999999996</v>
      </c>
      <c r="F3426" t="s">
        <v>26</v>
      </c>
      <c r="G3426" t="str">
        <f>_xlfn.XLOOKUP(transakcje[[#This Row],[podkategoria]],parametr[podkategoria],parametr[kategoria])</f>
        <v>życie</v>
      </c>
      <c r="H3426" t="str">
        <f>_xlfn.XLOOKUP(transakcje[[#This Row],[kategoria]],parametr[kategoria],parametr[typ])</f>
        <v>wydatki</v>
      </c>
      <c r="I3426" s="1">
        <f>ABS(transakcje[[#This Row],[kwota]])</f>
        <v>6.0439999999999996</v>
      </c>
    </row>
    <row r="3427" spans="1:9" x14ac:dyDescent="0.3">
      <c r="A3427">
        <v>3426</v>
      </c>
      <c r="B3427">
        <v>2021</v>
      </c>
      <c r="C3427">
        <v>3</v>
      </c>
      <c r="D3427">
        <v>22</v>
      </c>
      <c r="E3427" s="1">
        <v>-0.7</v>
      </c>
      <c r="F3427" t="s">
        <v>26</v>
      </c>
      <c r="G3427" t="str">
        <f>_xlfn.XLOOKUP(transakcje[[#This Row],[podkategoria]],parametr[podkategoria],parametr[kategoria])</f>
        <v>życie</v>
      </c>
      <c r="H3427" t="str">
        <f>_xlfn.XLOOKUP(transakcje[[#This Row],[kategoria]],parametr[kategoria],parametr[typ])</f>
        <v>wydatki</v>
      </c>
      <c r="I3427" s="1">
        <f>ABS(transakcje[[#This Row],[kwota]])</f>
        <v>0.7</v>
      </c>
    </row>
    <row r="3428" spans="1:9" x14ac:dyDescent="0.3">
      <c r="A3428">
        <v>3427</v>
      </c>
      <c r="B3428">
        <v>2021</v>
      </c>
      <c r="C3428">
        <v>3</v>
      </c>
      <c r="D3428">
        <v>25</v>
      </c>
      <c r="E3428" s="1">
        <v>740.91800000000001</v>
      </c>
      <c r="F3428" t="s">
        <v>8</v>
      </c>
      <c r="G3428" t="str">
        <f>_xlfn.XLOOKUP(transakcje[[#This Row],[podkategoria]],parametr[podkategoria],parametr[kategoria])</f>
        <v>dochody z pracy</v>
      </c>
      <c r="H3428" t="str">
        <f>_xlfn.XLOOKUP(transakcje[[#This Row],[kategoria]],parametr[kategoria],parametr[typ])</f>
        <v>dochody</v>
      </c>
      <c r="I3428" s="1">
        <f>ABS(transakcje[[#This Row],[kwota]])</f>
        <v>740.91800000000001</v>
      </c>
    </row>
    <row r="3429" spans="1:9" x14ac:dyDescent="0.3">
      <c r="A3429">
        <v>3428</v>
      </c>
      <c r="B3429">
        <v>2021</v>
      </c>
      <c r="C3429">
        <v>3</v>
      </c>
      <c r="D3429">
        <v>31</v>
      </c>
      <c r="E3429" s="1">
        <v>-1.3980000000000001</v>
      </c>
      <c r="F3429" t="s">
        <v>14</v>
      </c>
      <c r="G3429" t="str">
        <f>_xlfn.XLOOKUP(transakcje[[#This Row],[podkategoria]],parametr[podkategoria],parametr[kategoria])</f>
        <v>opłaty stałe</v>
      </c>
      <c r="H3429" t="str">
        <f>_xlfn.XLOOKUP(transakcje[[#This Row],[kategoria]],parametr[kategoria],parametr[typ])</f>
        <v>wydatki</v>
      </c>
      <c r="I3429" s="1">
        <f>ABS(transakcje[[#This Row],[kwota]])</f>
        <v>1.3980000000000001</v>
      </c>
    </row>
    <row r="3430" spans="1:9" x14ac:dyDescent="0.3">
      <c r="A3430">
        <v>3429</v>
      </c>
      <c r="B3430">
        <v>2021</v>
      </c>
      <c r="C3430">
        <v>3</v>
      </c>
      <c r="D3430">
        <v>31</v>
      </c>
      <c r="E3430" s="1">
        <v>2E-3</v>
      </c>
      <c r="F3430" t="s">
        <v>17</v>
      </c>
      <c r="G3430" t="str">
        <f>_xlfn.XLOOKUP(transakcje[[#This Row],[podkategoria]],parametr[podkategoria],parametr[kategoria])</f>
        <v>dochody pozostałe</v>
      </c>
      <c r="H3430" t="str">
        <f>_xlfn.XLOOKUP(transakcje[[#This Row],[kategoria]],parametr[kategoria],parametr[typ])</f>
        <v>dochody</v>
      </c>
      <c r="I3430" s="1">
        <f>ABS(transakcje[[#This Row],[kwota]])</f>
        <v>2E-3</v>
      </c>
    </row>
    <row r="3431" spans="1:9" x14ac:dyDescent="0.3">
      <c r="A3431">
        <v>3430</v>
      </c>
      <c r="B3431">
        <v>2021</v>
      </c>
      <c r="C3431">
        <v>3</v>
      </c>
      <c r="D3431">
        <v>31</v>
      </c>
      <c r="E3431" s="1">
        <v>-2E-3</v>
      </c>
      <c r="F3431" t="s">
        <v>14</v>
      </c>
      <c r="G3431" t="str">
        <f>_xlfn.XLOOKUP(transakcje[[#This Row],[podkategoria]],parametr[podkategoria],parametr[kategoria])</f>
        <v>opłaty stałe</v>
      </c>
      <c r="H3431" t="str">
        <f>_xlfn.XLOOKUP(transakcje[[#This Row],[kategoria]],parametr[kategoria],parametr[typ])</f>
        <v>wydatki</v>
      </c>
      <c r="I3431" s="1">
        <f>ABS(transakcje[[#This Row],[kwota]])</f>
        <v>2E-3</v>
      </c>
    </row>
    <row r="3432" spans="1:9" x14ac:dyDescent="0.3">
      <c r="A3432">
        <v>3431</v>
      </c>
      <c r="B3432">
        <v>2021</v>
      </c>
      <c r="C3432">
        <v>4</v>
      </c>
      <c r="D3432">
        <v>1</v>
      </c>
      <c r="E3432" s="1">
        <v>-23.8</v>
      </c>
      <c r="F3432" t="s">
        <v>32</v>
      </c>
      <c r="G3432" t="str">
        <f>_xlfn.XLOOKUP(transakcje[[#This Row],[podkategoria]],parametr[podkategoria],parametr[kategoria])</f>
        <v>opłaty stałe</v>
      </c>
      <c r="H3432" t="str">
        <f>_xlfn.XLOOKUP(transakcje[[#This Row],[kategoria]],parametr[kategoria],parametr[typ])</f>
        <v>wydatki</v>
      </c>
      <c r="I3432" s="1">
        <f>ABS(transakcje[[#This Row],[kwota]])</f>
        <v>23.8</v>
      </c>
    </row>
    <row r="3433" spans="1:9" x14ac:dyDescent="0.3">
      <c r="A3433">
        <v>3432</v>
      </c>
      <c r="B3433">
        <v>2021</v>
      </c>
      <c r="C3433">
        <v>4</v>
      </c>
      <c r="D3433">
        <v>1</v>
      </c>
      <c r="E3433" s="1">
        <v>-3</v>
      </c>
      <c r="F3433" t="s">
        <v>11</v>
      </c>
      <c r="G3433" t="str">
        <f>_xlfn.XLOOKUP(transakcje[[#This Row],[podkategoria]],parametr[podkategoria],parametr[kategoria])</f>
        <v>wydatki inne</v>
      </c>
      <c r="H3433" t="str">
        <f>_xlfn.XLOOKUP(transakcje[[#This Row],[kategoria]],parametr[kategoria],parametr[typ])</f>
        <v>wydatki</v>
      </c>
      <c r="I3433" s="1">
        <f>ABS(transakcje[[#This Row],[kwota]])</f>
        <v>3</v>
      </c>
    </row>
    <row r="3434" spans="1:9" x14ac:dyDescent="0.3">
      <c r="A3434">
        <v>3433</v>
      </c>
      <c r="B3434">
        <v>2021</v>
      </c>
      <c r="C3434">
        <v>4</v>
      </c>
      <c r="D3434">
        <v>1</v>
      </c>
      <c r="E3434" s="1">
        <v>-4.9000000000000004</v>
      </c>
      <c r="F3434" t="s">
        <v>37</v>
      </c>
      <c r="G3434" t="str">
        <f>_xlfn.XLOOKUP(transakcje[[#This Row],[podkategoria]],parametr[podkategoria],parametr[kategoria])</f>
        <v>opłaty stałe</v>
      </c>
      <c r="H3434" t="str">
        <f>_xlfn.XLOOKUP(transakcje[[#This Row],[kategoria]],parametr[kategoria],parametr[typ])</f>
        <v>wydatki</v>
      </c>
      <c r="I3434" s="1">
        <f>ABS(transakcje[[#This Row],[kwota]])</f>
        <v>4.9000000000000004</v>
      </c>
    </row>
    <row r="3435" spans="1:9" x14ac:dyDescent="0.3">
      <c r="A3435">
        <v>3434</v>
      </c>
      <c r="B3435">
        <v>2021</v>
      </c>
      <c r="C3435">
        <v>4</v>
      </c>
      <c r="D3435">
        <v>1</v>
      </c>
      <c r="E3435" s="1">
        <v>-5.8</v>
      </c>
      <c r="F3435" t="s">
        <v>25</v>
      </c>
      <c r="G3435" t="str">
        <f>_xlfn.XLOOKUP(transakcje[[#This Row],[podkategoria]],parametr[podkategoria],parametr[kategoria])</f>
        <v>opłaty stałe</v>
      </c>
      <c r="H3435" t="str">
        <f>_xlfn.XLOOKUP(transakcje[[#This Row],[kategoria]],parametr[kategoria],parametr[typ])</f>
        <v>wydatki</v>
      </c>
      <c r="I3435" s="1">
        <f>ABS(transakcje[[#This Row],[kwota]])</f>
        <v>5.8</v>
      </c>
    </row>
    <row r="3436" spans="1:9" x14ac:dyDescent="0.3">
      <c r="A3436">
        <v>3435</v>
      </c>
      <c r="B3436">
        <v>2021</v>
      </c>
      <c r="C3436">
        <v>4</v>
      </c>
      <c r="D3436">
        <v>1</v>
      </c>
      <c r="E3436" s="1">
        <v>-7.38</v>
      </c>
      <c r="F3436" t="s">
        <v>23</v>
      </c>
      <c r="G3436" t="str">
        <f>_xlfn.XLOOKUP(transakcje[[#This Row],[podkategoria]],parametr[podkategoria],parametr[kategoria])</f>
        <v>opłaty stałe</v>
      </c>
      <c r="H3436" t="str">
        <f>_xlfn.XLOOKUP(transakcje[[#This Row],[kategoria]],parametr[kategoria],parametr[typ])</f>
        <v>wydatki</v>
      </c>
      <c r="I3436" s="1">
        <f>ABS(transakcje[[#This Row],[kwota]])</f>
        <v>7.38</v>
      </c>
    </row>
    <row r="3437" spans="1:9" x14ac:dyDescent="0.3">
      <c r="A3437">
        <v>3436</v>
      </c>
      <c r="B3437">
        <v>2021</v>
      </c>
      <c r="C3437">
        <v>4</v>
      </c>
      <c r="D3437">
        <v>1</v>
      </c>
      <c r="E3437" s="1">
        <v>-72.304000000000002</v>
      </c>
      <c r="F3437" t="s">
        <v>31</v>
      </c>
      <c r="G3437" t="str">
        <f>_xlfn.XLOOKUP(transakcje[[#This Row],[podkategoria]],parametr[podkategoria],parametr[kategoria])</f>
        <v>opłaty stałe</v>
      </c>
      <c r="H3437" t="str">
        <f>_xlfn.XLOOKUP(transakcje[[#This Row],[kategoria]],parametr[kategoria],parametr[typ])</f>
        <v>wydatki</v>
      </c>
      <c r="I3437" s="1">
        <f>ABS(transakcje[[#This Row],[kwota]])</f>
        <v>72.304000000000002</v>
      </c>
    </row>
    <row r="3438" spans="1:9" x14ac:dyDescent="0.3">
      <c r="A3438">
        <v>3437</v>
      </c>
      <c r="B3438">
        <v>2021</v>
      </c>
      <c r="C3438">
        <v>4</v>
      </c>
      <c r="D3438">
        <v>2</v>
      </c>
      <c r="E3438" s="1">
        <v>-40</v>
      </c>
      <c r="F3438" t="s">
        <v>11</v>
      </c>
      <c r="G3438" t="str">
        <f>_xlfn.XLOOKUP(transakcje[[#This Row],[podkategoria]],parametr[podkategoria],parametr[kategoria])</f>
        <v>wydatki inne</v>
      </c>
      <c r="H3438" t="str">
        <f>_xlfn.XLOOKUP(transakcje[[#This Row],[kategoria]],parametr[kategoria],parametr[typ])</f>
        <v>wydatki</v>
      </c>
      <c r="I3438" s="1">
        <f>ABS(transakcje[[#This Row],[kwota]])</f>
        <v>40</v>
      </c>
    </row>
    <row r="3439" spans="1:9" x14ac:dyDescent="0.3">
      <c r="A3439">
        <v>3438</v>
      </c>
      <c r="B3439">
        <v>2021</v>
      </c>
      <c r="C3439">
        <v>4</v>
      </c>
      <c r="D3439">
        <v>13</v>
      </c>
      <c r="E3439" s="1">
        <v>-0.81199999999999994</v>
      </c>
      <c r="F3439" t="s">
        <v>26</v>
      </c>
      <c r="G3439" t="str">
        <f>_xlfn.XLOOKUP(transakcje[[#This Row],[podkategoria]],parametr[podkategoria],parametr[kategoria])</f>
        <v>życie</v>
      </c>
      <c r="H3439" t="str">
        <f>_xlfn.XLOOKUP(transakcje[[#This Row],[kategoria]],parametr[kategoria],parametr[typ])</f>
        <v>wydatki</v>
      </c>
      <c r="I3439" s="1">
        <f>ABS(transakcje[[#This Row],[kwota]])</f>
        <v>0.81199999999999994</v>
      </c>
    </row>
    <row r="3440" spans="1:9" x14ac:dyDescent="0.3">
      <c r="A3440">
        <v>3439</v>
      </c>
      <c r="B3440">
        <v>2021</v>
      </c>
      <c r="C3440">
        <v>4</v>
      </c>
      <c r="D3440">
        <v>13</v>
      </c>
      <c r="E3440" s="1">
        <v>-1.448</v>
      </c>
      <c r="F3440" t="s">
        <v>26</v>
      </c>
      <c r="G3440" t="str">
        <f>_xlfn.XLOOKUP(transakcje[[#This Row],[podkategoria]],parametr[podkategoria],parametr[kategoria])</f>
        <v>życie</v>
      </c>
      <c r="H3440" t="str">
        <f>_xlfn.XLOOKUP(transakcje[[#This Row],[kategoria]],parametr[kategoria],parametr[typ])</f>
        <v>wydatki</v>
      </c>
      <c r="I3440" s="1">
        <f>ABS(transakcje[[#This Row],[kwota]])</f>
        <v>1.448</v>
      </c>
    </row>
    <row r="3441" spans="1:9" x14ac:dyDescent="0.3">
      <c r="A3441">
        <v>3440</v>
      </c>
      <c r="B3441">
        <v>2021</v>
      </c>
      <c r="C3441">
        <v>4</v>
      </c>
      <c r="D3441">
        <v>13</v>
      </c>
      <c r="E3441" s="1">
        <v>-17.206</v>
      </c>
      <c r="F3441" t="s">
        <v>26</v>
      </c>
      <c r="G3441" t="str">
        <f>_xlfn.XLOOKUP(transakcje[[#This Row],[podkategoria]],parametr[podkategoria],parametr[kategoria])</f>
        <v>życie</v>
      </c>
      <c r="H3441" t="str">
        <f>_xlfn.XLOOKUP(transakcje[[#This Row],[kategoria]],parametr[kategoria],parametr[typ])</f>
        <v>wydatki</v>
      </c>
      <c r="I3441" s="1">
        <f>ABS(transakcje[[#This Row],[kwota]])</f>
        <v>17.206</v>
      </c>
    </row>
    <row r="3442" spans="1:9" x14ac:dyDescent="0.3">
      <c r="A3442">
        <v>3441</v>
      </c>
      <c r="B3442">
        <v>2021</v>
      </c>
      <c r="C3442">
        <v>4</v>
      </c>
      <c r="D3442">
        <v>13</v>
      </c>
      <c r="E3442" s="1">
        <v>-0.39800000000000002</v>
      </c>
      <c r="F3442" t="s">
        <v>14</v>
      </c>
      <c r="G3442" t="str">
        <f>_xlfn.XLOOKUP(transakcje[[#This Row],[podkategoria]],parametr[podkategoria],parametr[kategoria])</f>
        <v>opłaty stałe</v>
      </c>
      <c r="H3442" t="str">
        <f>_xlfn.XLOOKUP(transakcje[[#This Row],[kategoria]],parametr[kategoria],parametr[typ])</f>
        <v>wydatki</v>
      </c>
      <c r="I3442" s="1">
        <f>ABS(transakcje[[#This Row],[kwota]])</f>
        <v>0.39800000000000002</v>
      </c>
    </row>
    <row r="3443" spans="1:9" x14ac:dyDescent="0.3">
      <c r="A3443">
        <v>3442</v>
      </c>
      <c r="B3443">
        <v>2021</v>
      </c>
      <c r="C3443">
        <v>4</v>
      </c>
      <c r="D3443">
        <v>19</v>
      </c>
      <c r="E3443" s="1">
        <v>-11.123999999999999</v>
      </c>
      <c r="F3443" t="s">
        <v>26</v>
      </c>
      <c r="G3443" t="str">
        <f>_xlfn.XLOOKUP(transakcje[[#This Row],[podkategoria]],parametr[podkategoria],parametr[kategoria])</f>
        <v>życie</v>
      </c>
      <c r="H3443" t="str">
        <f>_xlfn.XLOOKUP(transakcje[[#This Row],[kategoria]],parametr[kategoria],parametr[typ])</f>
        <v>wydatki</v>
      </c>
      <c r="I3443" s="1">
        <f>ABS(transakcje[[#This Row],[kwota]])</f>
        <v>11.123999999999999</v>
      </c>
    </row>
    <row r="3444" spans="1:9" x14ac:dyDescent="0.3">
      <c r="A3444">
        <v>3443</v>
      </c>
      <c r="B3444">
        <v>2021</v>
      </c>
      <c r="C3444">
        <v>4</v>
      </c>
      <c r="D3444">
        <v>22</v>
      </c>
      <c r="E3444" s="1">
        <v>740.91800000000001</v>
      </c>
      <c r="F3444" t="s">
        <v>8</v>
      </c>
      <c r="G3444" t="str">
        <f>_xlfn.XLOOKUP(transakcje[[#This Row],[podkategoria]],parametr[podkategoria],parametr[kategoria])</f>
        <v>dochody z pracy</v>
      </c>
      <c r="H3444" t="str">
        <f>_xlfn.XLOOKUP(transakcje[[#This Row],[kategoria]],parametr[kategoria],parametr[typ])</f>
        <v>dochody</v>
      </c>
      <c r="I3444" s="1">
        <f>ABS(transakcje[[#This Row],[kwota]])</f>
        <v>740.91800000000001</v>
      </c>
    </row>
    <row r="3445" spans="1:9" x14ac:dyDescent="0.3">
      <c r="A3445">
        <v>3444</v>
      </c>
      <c r="B3445">
        <v>2021</v>
      </c>
      <c r="C3445">
        <v>4</v>
      </c>
      <c r="D3445">
        <v>22</v>
      </c>
      <c r="E3445" s="1">
        <v>-37.992000000000004</v>
      </c>
      <c r="F3445" t="s">
        <v>26</v>
      </c>
      <c r="G3445" t="str">
        <f>_xlfn.XLOOKUP(transakcje[[#This Row],[podkategoria]],parametr[podkategoria],parametr[kategoria])</f>
        <v>życie</v>
      </c>
      <c r="H3445" t="str">
        <f>_xlfn.XLOOKUP(transakcje[[#This Row],[kategoria]],parametr[kategoria],parametr[typ])</f>
        <v>wydatki</v>
      </c>
      <c r="I3445" s="1">
        <f>ABS(transakcje[[#This Row],[kwota]])</f>
        <v>37.992000000000004</v>
      </c>
    </row>
    <row r="3446" spans="1:9" x14ac:dyDescent="0.3">
      <c r="A3446">
        <v>3445</v>
      </c>
      <c r="B3446">
        <v>2021</v>
      </c>
      <c r="C3446">
        <v>4</v>
      </c>
      <c r="D3446">
        <v>29</v>
      </c>
      <c r="E3446" s="1">
        <v>-13.522</v>
      </c>
      <c r="F3446" t="s">
        <v>26</v>
      </c>
      <c r="G3446" t="str">
        <f>_xlfn.XLOOKUP(transakcje[[#This Row],[podkategoria]],parametr[podkategoria],parametr[kategoria])</f>
        <v>życie</v>
      </c>
      <c r="H3446" t="str">
        <f>_xlfn.XLOOKUP(transakcje[[#This Row],[kategoria]],parametr[kategoria],parametr[typ])</f>
        <v>wydatki</v>
      </c>
      <c r="I3446" s="1">
        <f>ABS(transakcje[[#This Row],[kwota]])</f>
        <v>13.522</v>
      </c>
    </row>
    <row r="3447" spans="1:9" x14ac:dyDescent="0.3">
      <c r="A3447">
        <v>3446</v>
      </c>
      <c r="B3447">
        <v>2021</v>
      </c>
      <c r="C3447">
        <v>4</v>
      </c>
      <c r="D3447">
        <v>29</v>
      </c>
      <c r="E3447" s="1">
        <v>-4.3899999999999997</v>
      </c>
      <c r="F3447" t="s">
        <v>26</v>
      </c>
      <c r="G3447" t="str">
        <f>_xlfn.XLOOKUP(transakcje[[#This Row],[podkategoria]],parametr[podkategoria],parametr[kategoria])</f>
        <v>życie</v>
      </c>
      <c r="H3447" t="str">
        <f>_xlfn.XLOOKUP(transakcje[[#This Row],[kategoria]],parametr[kategoria],parametr[typ])</f>
        <v>wydatki</v>
      </c>
      <c r="I3447" s="1">
        <f>ABS(transakcje[[#This Row],[kwota]])</f>
        <v>4.3899999999999997</v>
      </c>
    </row>
    <row r="3448" spans="1:9" x14ac:dyDescent="0.3">
      <c r="A3448">
        <v>3447</v>
      </c>
      <c r="B3448">
        <v>2021</v>
      </c>
      <c r="C3448">
        <v>4</v>
      </c>
      <c r="D3448">
        <v>29</v>
      </c>
      <c r="E3448" s="1">
        <v>-0.72399999999999998</v>
      </c>
      <c r="F3448" t="s">
        <v>26</v>
      </c>
      <c r="G3448" t="str">
        <f>_xlfn.XLOOKUP(transakcje[[#This Row],[podkategoria]],parametr[podkategoria],parametr[kategoria])</f>
        <v>życie</v>
      </c>
      <c r="H3448" t="str">
        <f>_xlfn.XLOOKUP(transakcje[[#This Row],[kategoria]],parametr[kategoria],parametr[typ])</f>
        <v>wydatki</v>
      </c>
      <c r="I3448" s="1">
        <f>ABS(transakcje[[#This Row],[kwota]])</f>
        <v>0.72399999999999998</v>
      </c>
    </row>
    <row r="3449" spans="1:9" x14ac:dyDescent="0.3">
      <c r="A3449">
        <v>3448</v>
      </c>
      <c r="B3449">
        <v>2021</v>
      </c>
      <c r="C3449">
        <v>4</v>
      </c>
      <c r="D3449">
        <v>30</v>
      </c>
      <c r="E3449" s="1">
        <v>-0.5</v>
      </c>
      <c r="F3449" t="s">
        <v>14</v>
      </c>
      <c r="G3449" t="str">
        <f>_xlfn.XLOOKUP(transakcje[[#This Row],[podkategoria]],parametr[podkategoria],parametr[kategoria])</f>
        <v>opłaty stałe</v>
      </c>
      <c r="H3449" t="str">
        <f>_xlfn.XLOOKUP(transakcje[[#This Row],[kategoria]],parametr[kategoria],parametr[typ])</f>
        <v>wydatki</v>
      </c>
      <c r="I3449" s="1">
        <f>ABS(transakcje[[#This Row],[kwota]])</f>
        <v>0.5</v>
      </c>
    </row>
    <row r="3450" spans="1:9" x14ac:dyDescent="0.3">
      <c r="A3450">
        <v>3449</v>
      </c>
      <c r="B3450">
        <v>2021</v>
      </c>
      <c r="C3450">
        <v>4</v>
      </c>
      <c r="D3450">
        <v>30</v>
      </c>
      <c r="E3450" s="1">
        <v>-1.3980000000000001</v>
      </c>
      <c r="F3450" t="s">
        <v>14</v>
      </c>
      <c r="G3450" t="str">
        <f>_xlfn.XLOOKUP(transakcje[[#This Row],[podkategoria]],parametr[podkategoria],parametr[kategoria])</f>
        <v>opłaty stałe</v>
      </c>
      <c r="H3450" t="str">
        <f>_xlfn.XLOOKUP(transakcje[[#This Row],[kategoria]],parametr[kategoria],parametr[typ])</f>
        <v>wydatki</v>
      </c>
      <c r="I3450" s="1">
        <f>ABS(transakcje[[#This Row],[kwota]])</f>
        <v>1.3980000000000001</v>
      </c>
    </row>
    <row r="3451" spans="1:9" x14ac:dyDescent="0.3">
      <c r="A3451">
        <v>3450</v>
      </c>
      <c r="B3451">
        <v>2021</v>
      </c>
      <c r="C3451">
        <v>4</v>
      </c>
      <c r="D3451">
        <v>30</v>
      </c>
      <c r="E3451" s="1">
        <v>6.0000000000000001E-3</v>
      </c>
      <c r="F3451" t="s">
        <v>17</v>
      </c>
      <c r="G3451" t="str">
        <f>_xlfn.XLOOKUP(transakcje[[#This Row],[podkategoria]],parametr[podkategoria],parametr[kategoria])</f>
        <v>dochody pozostałe</v>
      </c>
      <c r="H3451" t="str">
        <f>_xlfn.XLOOKUP(transakcje[[#This Row],[kategoria]],parametr[kategoria],parametr[typ])</f>
        <v>dochody</v>
      </c>
      <c r="I3451" s="1">
        <f>ABS(transakcje[[#This Row],[kwota]])</f>
        <v>6.0000000000000001E-3</v>
      </c>
    </row>
    <row r="3452" spans="1:9" x14ac:dyDescent="0.3">
      <c r="A3452">
        <v>3451</v>
      </c>
      <c r="B3452">
        <v>2021</v>
      </c>
      <c r="C3452">
        <v>4</v>
      </c>
      <c r="D3452">
        <v>30</v>
      </c>
      <c r="E3452" s="1">
        <v>-2E-3</v>
      </c>
      <c r="F3452" t="s">
        <v>14</v>
      </c>
      <c r="G3452" t="str">
        <f>_xlfn.XLOOKUP(transakcje[[#This Row],[podkategoria]],parametr[podkategoria],parametr[kategoria])</f>
        <v>opłaty stałe</v>
      </c>
      <c r="H3452" t="str">
        <f>_xlfn.XLOOKUP(transakcje[[#This Row],[kategoria]],parametr[kategoria],parametr[typ])</f>
        <v>wydatki</v>
      </c>
      <c r="I3452" s="1">
        <f>ABS(transakcje[[#This Row],[kwota]])</f>
        <v>2E-3</v>
      </c>
    </row>
    <row r="3453" spans="1:9" x14ac:dyDescent="0.3">
      <c r="A3453">
        <v>3452</v>
      </c>
      <c r="B3453">
        <v>2021</v>
      </c>
      <c r="C3453">
        <v>5</v>
      </c>
      <c r="D3453">
        <v>3</v>
      </c>
      <c r="E3453" s="1">
        <v>-19.8</v>
      </c>
      <c r="F3453" t="s">
        <v>24</v>
      </c>
      <c r="G3453" t="str">
        <f>_xlfn.XLOOKUP(transakcje[[#This Row],[podkategoria]],parametr[podkategoria],parametr[kategoria])</f>
        <v>trwałe</v>
      </c>
      <c r="H3453" t="str">
        <f>_xlfn.XLOOKUP(transakcje[[#This Row],[kategoria]],parametr[kategoria],parametr[typ])</f>
        <v>wydatki</v>
      </c>
      <c r="I3453" s="1">
        <f>ABS(transakcje[[#This Row],[kwota]])</f>
        <v>19.8</v>
      </c>
    </row>
    <row r="3454" spans="1:9" x14ac:dyDescent="0.3">
      <c r="A3454">
        <v>3453</v>
      </c>
      <c r="B3454">
        <v>2021</v>
      </c>
      <c r="C3454">
        <v>5</v>
      </c>
      <c r="D3454">
        <v>3</v>
      </c>
      <c r="E3454" s="1">
        <v>-39.799999999999997</v>
      </c>
      <c r="F3454" t="s">
        <v>29</v>
      </c>
      <c r="G3454" t="str">
        <f>_xlfn.XLOOKUP(transakcje[[#This Row],[podkategoria]],parametr[podkategoria],parametr[kategoria])</f>
        <v>opłaty stałe</v>
      </c>
      <c r="H3454" t="str">
        <f>_xlfn.XLOOKUP(transakcje[[#This Row],[kategoria]],parametr[kategoria],parametr[typ])</f>
        <v>wydatki</v>
      </c>
      <c r="I3454" s="1">
        <f>ABS(transakcje[[#This Row],[kwota]])</f>
        <v>39.799999999999997</v>
      </c>
    </row>
    <row r="3455" spans="1:9" x14ac:dyDescent="0.3">
      <c r="A3455">
        <v>3454</v>
      </c>
      <c r="B3455">
        <v>2021</v>
      </c>
      <c r="C3455">
        <v>5</v>
      </c>
      <c r="D3455">
        <v>3</v>
      </c>
      <c r="E3455" s="1">
        <v>-46.4</v>
      </c>
      <c r="F3455" t="s">
        <v>30</v>
      </c>
      <c r="G3455" t="str">
        <f>_xlfn.XLOOKUP(transakcje[[#This Row],[podkategoria]],parametr[podkategoria],parametr[kategoria])</f>
        <v>opłaty stałe</v>
      </c>
      <c r="H3455" t="str">
        <f>_xlfn.XLOOKUP(transakcje[[#This Row],[kategoria]],parametr[kategoria],parametr[typ])</f>
        <v>wydatki</v>
      </c>
      <c r="I3455" s="1">
        <f>ABS(transakcje[[#This Row],[kwota]])</f>
        <v>46.4</v>
      </c>
    </row>
    <row r="3456" spans="1:9" x14ac:dyDescent="0.3">
      <c r="A3456">
        <v>3455</v>
      </c>
      <c r="B3456">
        <v>2021</v>
      </c>
      <c r="C3456">
        <v>5</v>
      </c>
      <c r="D3456">
        <v>3</v>
      </c>
      <c r="E3456" s="1">
        <v>-16.978000000000002</v>
      </c>
      <c r="F3456" t="s">
        <v>34</v>
      </c>
      <c r="G3456" t="str">
        <f>_xlfn.XLOOKUP(transakcje[[#This Row],[podkategoria]],parametr[podkategoria],parametr[kategoria])</f>
        <v>opłaty stałe</v>
      </c>
      <c r="H3456" t="str">
        <f>_xlfn.XLOOKUP(transakcje[[#This Row],[kategoria]],parametr[kategoria],parametr[typ])</f>
        <v>wydatki</v>
      </c>
      <c r="I3456" s="1">
        <f>ABS(transakcje[[#This Row],[kwota]])</f>
        <v>16.978000000000002</v>
      </c>
    </row>
    <row r="3457" spans="1:9" x14ac:dyDescent="0.3">
      <c r="A3457">
        <v>3456</v>
      </c>
      <c r="B3457">
        <v>2021</v>
      </c>
      <c r="C3457">
        <v>5</v>
      </c>
      <c r="D3457">
        <v>3</v>
      </c>
      <c r="E3457" s="1">
        <v>-5.8100000000000005</v>
      </c>
      <c r="F3457" t="s">
        <v>35</v>
      </c>
      <c r="G3457" t="str">
        <f>_xlfn.XLOOKUP(transakcje[[#This Row],[podkategoria]],parametr[podkategoria],parametr[kategoria])</f>
        <v>opłaty stałe</v>
      </c>
      <c r="H3457" t="str">
        <f>_xlfn.XLOOKUP(transakcje[[#This Row],[kategoria]],parametr[kategoria],parametr[typ])</f>
        <v>wydatki</v>
      </c>
      <c r="I3457" s="1">
        <f>ABS(transakcje[[#This Row],[kwota]])</f>
        <v>5.8100000000000005</v>
      </c>
    </row>
    <row r="3458" spans="1:9" x14ac:dyDescent="0.3">
      <c r="A3458">
        <v>3457</v>
      </c>
      <c r="B3458">
        <v>2021</v>
      </c>
      <c r="C3458">
        <v>5</v>
      </c>
      <c r="D3458">
        <v>3</v>
      </c>
      <c r="E3458" s="1">
        <v>-4.9000000000000004</v>
      </c>
      <c r="F3458" t="s">
        <v>37</v>
      </c>
      <c r="G3458" t="str">
        <f>_xlfn.XLOOKUP(transakcje[[#This Row],[podkategoria]],parametr[podkategoria],parametr[kategoria])</f>
        <v>opłaty stałe</v>
      </c>
      <c r="H3458" t="str">
        <f>_xlfn.XLOOKUP(transakcje[[#This Row],[kategoria]],parametr[kategoria],parametr[typ])</f>
        <v>wydatki</v>
      </c>
      <c r="I3458" s="1">
        <f>ABS(transakcje[[#This Row],[kwota]])</f>
        <v>4.9000000000000004</v>
      </c>
    </row>
    <row r="3459" spans="1:9" x14ac:dyDescent="0.3">
      <c r="A3459">
        <v>3458</v>
      </c>
      <c r="B3459">
        <v>2021</v>
      </c>
      <c r="C3459">
        <v>5</v>
      </c>
      <c r="D3459">
        <v>3</v>
      </c>
      <c r="E3459" s="1">
        <v>-5.8</v>
      </c>
      <c r="F3459" t="s">
        <v>25</v>
      </c>
      <c r="G3459" t="str">
        <f>_xlfn.XLOOKUP(transakcje[[#This Row],[podkategoria]],parametr[podkategoria],parametr[kategoria])</f>
        <v>opłaty stałe</v>
      </c>
      <c r="H3459" t="str">
        <f>_xlfn.XLOOKUP(transakcje[[#This Row],[kategoria]],parametr[kategoria],parametr[typ])</f>
        <v>wydatki</v>
      </c>
      <c r="I3459" s="1">
        <f>ABS(transakcje[[#This Row],[kwota]])</f>
        <v>5.8</v>
      </c>
    </row>
    <row r="3460" spans="1:9" x14ac:dyDescent="0.3">
      <c r="A3460">
        <v>3459</v>
      </c>
      <c r="B3460">
        <v>2021</v>
      </c>
      <c r="C3460">
        <v>5</v>
      </c>
      <c r="D3460">
        <v>3</v>
      </c>
      <c r="E3460" s="1">
        <v>-7.38</v>
      </c>
      <c r="F3460" t="s">
        <v>23</v>
      </c>
      <c r="G3460" t="str">
        <f>_xlfn.XLOOKUP(transakcje[[#This Row],[podkategoria]],parametr[podkategoria],parametr[kategoria])</f>
        <v>opłaty stałe</v>
      </c>
      <c r="H3460" t="str">
        <f>_xlfn.XLOOKUP(transakcje[[#This Row],[kategoria]],parametr[kategoria],parametr[typ])</f>
        <v>wydatki</v>
      </c>
      <c r="I3460" s="1">
        <f>ABS(transakcje[[#This Row],[kwota]])</f>
        <v>7.38</v>
      </c>
    </row>
    <row r="3461" spans="1:9" x14ac:dyDescent="0.3">
      <c r="A3461">
        <v>3460</v>
      </c>
      <c r="B3461">
        <v>2021</v>
      </c>
      <c r="C3461">
        <v>5</v>
      </c>
      <c r="D3461">
        <v>3</v>
      </c>
      <c r="E3461" s="1">
        <v>-72.304000000000002</v>
      </c>
      <c r="F3461" t="s">
        <v>31</v>
      </c>
      <c r="G3461" t="str">
        <f>_xlfn.XLOOKUP(transakcje[[#This Row],[podkategoria]],parametr[podkategoria],parametr[kategoria])</f>
        <v>opłaty stałe</v>
      </c>
      <c r="H3461" t="str">
        <f>_xlfn.XLOOKUP(transakcje[[#This Row],[kategoria]],parametr[kategoria],parametr[typ])</f>
        <v>wydatki</v>
      </c>
      <c r="I3461" s="1">
        <f>ABS(transakcje[[#This Row],[kwota]])</f>
        <v>72.304000000000002</v>
      </c>
    </row>
    <row r="3462" spans="1:9" x14ac:dyDescent="0.3">
      <c r="A3462">
        <v>3461</v>
      </c>
      <c r="B3462">
        <v>2021</v>
      </c>
      <c r="C3462">
        <v>5</v>
      </c>
      <c r="D3462">
        <v>3</v>
      </c>
      <c r="E3462" s="1">
        <v>-1</v>
      </c>
      <c r="F3462" t="s">
        <v>11</v>
      </c>
      <c r="G3462" t="str">
        <f>_xlfn.XLOOKUP(transakcje[[#This Row],[podkategoria]],parametr[podkategoria],parametr[kategoria])</f>
        <v>wydatki inne</v>
      </c>
      <c r="H3462" t="str">
        <f>_xlfn.XLOOKUP(transakcje[[#This Row],[kategoria]],parametr[kategoria],parametr[typ])</f>
        <v>wydatki</v>
      </c>
      <c r="I3462" s="1">
        <f>ABS(transakcje[[#This Row],[kwota]])</f>
        <v>1</v>
      </c>
    </row>
    <row r="3463" spans="1:9" x14ac:dyDescent="0.3">
      <c r="A3463">
        <v>3462</v>
      </c>
      <c r="B3463">
        <v>2021</v>
      </c>
      <c r="C3463">
        <v>5</v>
      </c>
      <c r="D3463">
        <v>4</v>
      </c>
      <c r="E3463" s="1">
        <v>-23.8</v>
      </c>
      <c r="F3463" t="s">
        <v>32</v>
      </c>
      <c r="G3463" t="str">
        <f>_xlfn.XLOOKUP(transakcje[[#This Row],[podkategoria]],parametr[podkategoria],parametr[kategoria])</f>
        <v>opłaty stałe</v>
      </c>
      <c r="H3463" t="str">
        <f>_xlfn.XLOOKUP(transakcje[[#This Row],[kategoria]],parametr[kategoria],parametr[typ])</f>
        <v>wydatki</v>
      </c>
      <c r="I3463" s="1">
        <f>ABS(transakcje[[#This Row],[kwota]])</f>
        <v>23.8</v>
      </c>
    </row>
    <row r="3464" spans="1:9" x14ac:dyDescent="0.3">
      <c r="A3464">
        <v>3463</v>
      </c>
      <c r="B3464">
        <v>2021</v>
      </c>
      <c r="C3464">
        <v>5</v>
      </c>
      <c r="D3464">
        <v>5</v>
      </c>
      <c r="E3464" s="1">
        <v>-12.684000000000001</v>
      </c>
      <c r="F3464" t="s">
        <v>11</v>
      </c>
      <c r="G3464" t="str">
        <f>_xlfn.XLOOKUP(transakcje[[#This Row],[podkategoria]],parametr[podkategoria],parametr[kategoria])</f>
        <v>wydatki inne</v>
      </c>
      <c r="H3464" t="str">
        <f>_xlfn.XLOOKUP(transakcje[[#This Row],[kategoria]],parametr[kategoria],parametr[typ])</f>
        <v>wydatki</v>
      </c>
      <c r="I3464" s="1">
        <f>ABS(transakcje[[#This Row],[kwota]])</f>
        <v>12.684000000000001</v>
      </c>
    </row>
    <row r="3465" spans="1:9" x14ac:dyDescent="0.3">
      <c r="A3465">
        <v>3464</v>
      </c>
      <c r="B3465">
        <v>2021</v>
      </c>
      <c r="C3465">
        <v>5</v>
      </c>
      <c r="D3465">
        <v>8</v>
      </c>
      <c r="E3465" s="1">
        <v>-32.188000000000002</v>
      </c>
      <c r="F3465" t="s">
        <v>11</v>
      </c>
      <c r="G3465" t="str">
        <f>_xlfn.XLOOKUP(transakcje[[#This Row],[podkategoria]],parametr[podkategoria],parametr[kategoria])</f>
        <v>wydatki inne</v>
      </c>
      <c r="H3465" t="str">
        <f>_xlfn.XLOOKUP(transakcje[[#This Row],[kategoria]],parametr[kategoria],parametr[typ])</f>
        <v>wydatki</v>
      </c>
      <c r="I3465" s="1">
        <f>ABS(transakcje[[#This Row],[kwota]])</f>
        <v>32.188000000000002</v>
      </c>
    </row>
    <row r="3466" spans="1:9" x14ac:dyDescent="0.3">
      <c r="A3466">
        <v>3465</v>
      </c>
      <c r="B3466">
        <v>2021</v>
      </c>
      <c r="C3466">
        <v>5</v>
      </c>
      <c r="D3466">
        <v>11</v>
      </c>
      <c r="E3466" s="1">
        <v>-1.8839999999999999</v>
      </c>
      <c r="F3466" t="s">
        <v>26</v>
      </c>
      <c r="G3466" t="str">
        <f>_xlfn.XLOOKUP(transakcje[[#This Row],[podkategoria]],parametr[podkategoria],parametr[kategoria])</f>
        <v>życie</v>
      </c>
      <c r="H3466" t="str">
        <f>_xlfn.XLOOKUP(transakcje[[#This Row],[kategoria]],parametr[kategoria],parametr[typ])</f>
        <v>wydatki</v>
      </c>
      <c r="I3466" s="1">
        <f>ABS(transakcje[[#This Row],[kwota]])</f>
        <v>1.8839999999999999</v>
      </c>
    </row>
    <row r="3467" spans="1:9" x14ac:dyDescent="0.3">
      <c r="A3467">
        <v>3466</v>
      </c>
      <c r="B3467">
        <v>2021</v>
      </c>
      <c r="C3467">
        <v>5</v>
      </c>
      <c r="D3467">
        <v>12</v>
      </c>
      <c r="E3467" s="1">
        <v>-11.998000000000001</v>
      </c>
      <c r="F3467" t="s">
        <v>11</v>
      </c>
      <c r="G3467" t="str">
        <f>_xlfn.XLOOKUP(transakcje[[#This Row],[podkategoria]],parametr[podkategoria],parametr[kategoria])</f>
        <v>wydatki inne</v>
      </c>
      <c r="H3467" t="str">
        <f>_xlfn.XLOOKUP(transakcje[[#This Row],[kategoria]],parametr[kategoria],parametr[typ])</f>
        <v>wydatki</v>
      </c>
      <c r="I3467" s="1">
        <f>ABS(transakcje[[#This Row],[kwota]])</f>
        <v>11.998000000000001</v>
      </c>
    </row>
    <row r="3468" spans="1:9" x14ac:dyDescent="0.3">
      <c r="A3468">
        <v>3467</v>
      </c>
      <c r="B3468">
        <v>2021</v>
      </c>
      <c r="C3468">
        <v>5</v>
      </c>
      <c r="D3468">
        <v>14</v>
      </c>
      <c r="E3468" s="1">
        <v>-20</v>
      </c>
      <c r="F3468" t="s">
        <v>26</v>
      </c>
      <c r="G3468" t="str">
        <f>_xlfn.XLOOKUP(transakcje[[#This Row],[podkategoria]],parametr[podkategoria],parametr[kategoria])</f>
        <v>życie</v>
      </c>
      <c r="H3468" t="str">
        <f>_xlfn.XLOOKUP(transakcje[[#This Row],[kategoria]],parametr[kategoria],parametr[typ])</f>
        <v>wydatki</v>
      </c>
      <c r="I3468" s="1">
        <f>ABS(transakcje[[#This Row],[kwota]])</f>
        <v>20</v>
      </c>
    </row>
    <row r="3469" spans="1:9" x14ac:dyDescent="0.3">
      <c r="A3469">
        <v>3468</v>
      </c>
      <c r="B3469">
        <v>2021</v>
      </c>
      <c r="C3469">
        <v>5</v>
      </c>
      <c r="D3469">
        <v>14</v>
      </c>
      <c r="E3469" s="1">
        <v>-37.353999999999999</v>
      </c>
      <c r="F3469" t="s">
        <v>26</v>
      </c>
      <c r="G3469" t="str">
        <f>_xlfn.XLOOKUP(transakcje[[#This Row],[podkategoria]],parametr[podkategoria],parametr[kategoria])</f>
        <v>życie</v>
      </c>
      <c r="H3469" t="str">
        <f>_xlfn.XLOOKUP(transakcje[[#This Row],[kategoria]],parametr[kategoria],parametr[typ])</f>
        <v>wydatki</v>
      </c>
      <c r="I3469" s="1">
        <f>ABS(transakcje[[#This Row],[kwota]])</f>
        <v>37.353999999999999</v>
      </c>
    </row>
    <row r="3470" spans="1:9" x14ac:dyDescent="0.3">
      <c r="A3470">
        <v>3469</v>
      </c>
      <c r="B3470">
        <v>2021</v>
      </c>
      <c r="C3470">
        <v>5</v>
      </c>
      <c r="D3470">
        <v>18</v>
      </c>
      <c r="E3470" s="1">
        <v>-0.72399999999999998</v>
      </c>
      <c r="F3470" t="s">
        <v>26</v>
      </c>
      <c r="G3470" t="str">
        <f>_xlfn.XLOOKUP(transakcje[[#This Row],[podkategoria]],parametr[podkategoria],parametr[kategoria])</f>
        <v>życie</v>
      </c>
      <c r="H3470" t="str">
        <f>_xlfn.XLOOKUP(transakcje[[#This Row],[kategoria]],parametr[kategoria],parametr[typ])</f>
        <v>wydatki</v>
      </c>
      <c r="I3470" s="1">
        <f>ABS(transakcje[[#This Row],[kwota]])</f>
        <v>0.72399999999999998</v>
      </c>
    </row>
    <row r="3471" spans="1:9" x14ac:dyDescent="0.3">
      <c r="A3471">
        <v>3470</v>
      </c>
      <c r="B3471">
        <v>2021</v>
      </c>
      <c r="C3471">
        <v>5</v>
      </c>
      <c r="D3471">
        <v>18</v>
      </c>
      <c r="E3471" s="1">
        <v>-7.1260000000000003</v>
      </c>
      <c r="F3471" t="s">
        <v>26</v>
      </c>
      <c r="G3471" t="str">
        <f>_xlfn.XLOOKUP(transakcje[[#This Row],[podkategoria]],parametr[podkategoria],parametr[kategoria])</f>
        <v>życie</v>
      </c>
      <c r="H3471" t="str">
        <f>_xlfn.XLOOKUP(transakcje[[#This Row],[kategoria]],parametr[kategoria],parametr[typ])</f>
        <v>wydatki</v>
      </c>
      <c r="I3471" s="1">
        <f>ABS(transakcje[[#This Row],[kwota]])</f>
        <v>7.1260000000000003</v>
      </c>
    </row>
    <row r="3472" spans="1:9" x14ac:dyDescent="0.3">
      <c r="A3472">
        <v>3471</v>
      </c>
      <c r="B3472">
        <v>2021</v>
      </c>
      <c r="C3472">
        <v>5</v>
      </c>
      <c r="D3472">
        <v>18</v>
      </c>
      <c r="E3472" s="1">
        <v>-0.39800000000000002</v>
      </c>
      <c r="F3472" t="s">
        <v>14</v>
      </c>
      <c r="G3472" t="str">
        <f>_xlfn.XLOOKUP(transakcje[[#This Row],[podkategoria]],parametr[podkategoria],parametr[kategoria])</f>
        <v>opłaty stałe</v>
      </c>
      <c r="H3472" t="str">
        <f>_xlfn.XLOOKUP(transakcje[[#This Row],[kategoria]],parametr[kategoria],parametr[typ])</f>
        <v>wydatki</v>
      </c>
      <c r="I3472" s="1">
        <f>ABS(transakcje[[#This Row],[kwota]])</f>
        <v>0.39800000000000002</v>
      </c>
    </row>
    <row r="3473" spans="1:9" x14ac:dyDescent="0.3">
      <c r="A3473">
        <v>3472</v>
      </c>
      <c r="B3473">
        <v>2021</v>
      </c>
      <c r="C3473">
        <v>5</v>
      </c>
      <c r="D3473">
        <v>24</v>
      </c>
      <c r="E3473" s="1">
        <v>-0.72399999999999998</v>
      </c>
      <c r="F3473" t="s">
        <v>26</v>
      </c>
      <c r="G3473" t="str">
        <f>_xlfn.XLOOKUP(transakcje[[#This Row],[podkategoria]],parametr[podkategoria],parametr[kategoria])</f>
        <v>życie</v>
      </c>
      <c r="H3473" t="str">
        <f>_xlfn.XLOOKUP(transakcje[[#This Row],[kategoria]],parametr[kategoria],parametr[typ])</f>
        <v>wydatki</v>
      </c>
      <c r="I3473" s="1">
        <f>ABS(transakcje[[#This Row],[kwota]])</f>
        <v>0.72399999999999998</v>
      </c>
    </row>
    <row r="3474" spans="1:9" x14ac:dyDescent="0.3">
      <c r="A3474">
        <v>3473</v>
      </c>
      <c r="B3474">
        <v>2021</v>
      </c>
      <c r="C3474">
        <v>5</v>
      </c>
      <c r="D3474">
        <v>26</v>
      </c>
      <c r="E3474" s="1">
        <v>740.91800000000001</v>
      </c>
      <c r="F3474" t="s">
        <v>8</v>
      </c>
      <c r="G3474" t="str">
        <f>_xlfn.XLOOKUP(transakcje[[#This Row],[podkategoria]],parametr[podkategoria],parametr[kategoria])</f>
        <v>dochody z pracy</v>
      </c>
      <c r="H3474" t="str">
        <f>_xlfn.XLOOKUP(transakcje[[#This Row],[kategoria]],parametr[kategoria],parametr[typ])</f>
        <v>dochody</v>
      </c>
      <c r="I3474" s="1">
        <f>ABS(transakcje[[#This Row],[kwota]])</f>
        <v>740.91800000000001</v>
      </c>
    </row>
    <row r="3475" spans="1:9" x14ac:dyDescent="0.3">
      <c r="A3475">
        <v>3474</v>
      </c>
      <c r="B3475">
        <v>2021</v>
      </c>
      <c r="C3475">
        <v>5</v>
      </c>
      <c r="D3475">
        <v>27</v>
      </c>
      <c r="E3475" s="1">
        <v>-0.72399999999999998</v>
      </c>
      <c r="F3475" t="s">
        <v>26</v>
      </c>
      <c r="G3475" t="str">
        <f>_xlfn.XLOOKUP(transakcje[[#This Row],[podkategoria]],parametr[podkategoria],parametr[kategoria])</f>
        <v>życie</v>
      </c>
      <c r="H3475" t="str">
        <f>_xlfn.XLOOKUP(transakcje[[#This Row],[kategoria]],parametr[kategoria],parametr[typ])</f>
        <v>wydatki</v>
      </c>
      <c r="I3475" s="1">
        <f>ABS(transakcje[[#This Row],[kwota]])</f>
        <v>0.72399999999999998</v>
      </c>
    </row>
    <row r="3476" spans="1:9" x14ac:dyDescent="0.3">
      <c r="A3476">
        <v>3475</v>
      </c>
      <c r="B3476">
        <v>2021</v>
      </c>
      <c r="C3476">
        <v>5</v>
      </c>
      <c r="D3476">
        <v>27</v>
      </c>
      <c r="E3476" s="1">
        <v>-3.1760000000000002</v>
      </c>
      <c r="F3476" t="s">
        <v>26</v>
      </c>
      <c r="G3476" t="str">
        <f>_xlfn.XLOOKUP(transakcje[[#This Row],[podkategoria]],parametr[podkategoria],parametr[kategoria])</f>
        <v>życie</v>
      </c>
      <c r="H3476" t="str">
        <f>_xlfn.XLOOKUP(transakcje[[#This Row],[kategoria]],parametr[kategoria],parametr[typ])</f>
        <v>wydatki</v>
      </c>
      <c r="I3476" s="1">
        <f>ABS(transakcje[[#This Row],[kwota]])</f>
        <v>3.1760000000000002</v>
      </c>
    </row>
    <row r="3477" spans="1:9" x14ac:dyDescent="0.3">
      <c r="A3477">
        <v>3476</v>
      </c>
      <c r="B3477">
        <v>2021</v>
      </c>
      <c r="C3477">
        <v>5</v>
      </c>
      <c r="D3477">
        <v>27</v>
      </c>
      <c r="E3477" s="1">
        <v>-11.238</v>
      </c>
      <c r="F3477" t="s">
        <v>26</v>
      </c>
      <c r="G3477" t="str">
        <f>_xlfn.XLOOKUP(transakcje[[#This Row],[podkategoria]],parametr[podkategoria],parametr[kategoria])</f>
        <v>życie</v>
      </c>
      <c r="H3477" t="str">
        <f>_xlfn.XLOOKUP(transakcje[[#This Row],[kategoria]],parametr[kategoria],parametr[typ])</f>
        <v>wydatki</v>
      </c>
      <c r="I3477" s="1">
        <f>ABS(transakcje[[#This Row],[kwota]])</f>
        <v>11.238</v>
      </c>
    </row>
    <row r="3478" spans="1:9" x14ac:dyDescent="0.3">
      <c r="A3478">
        <v>3477</v>
      </c>
      <c r="B3478">
        <v>2021</v>
      </c>
      <c r="C3478">
        <v>5</v>
      </c>
      <c r="D3478">
        <v>31</v>
      </c>
      <c r="E3478" s="1">
        <v>-0.7</v>
      </c>
      <c r="F3478" t="s">
        <v>14</v>
      </c>
      <c r="G3478" t="str">
        <f>_xlfn.XLOOKUP(transakcje[[#This Row],[podkategoria]],parametr[podkategoria],parametr[kategoria])</f>
        <v>opłaty stałe</v>
      </c>
      <c r="H3478" t="str">
        <f>_xlfn.XLOOKUP(transakcje[[#This Row],[kategoria]],parametr[kategoria],parametr[typ])</f>
        <v>wydatki</v>
      </c>
      <c r="I3478" s="1">
        <f>ABS(transakcje[[#This Row],[kwota]])</f>
        <v>0.7</v>
      </c>
    </row>
    <row r="3479" spans="1:9" x14ac:dyDescent="0.3">
      <c r="A3479">
        <v>3478</v>
      </c>
      <c r="B3479">
        <v>2021</v>
      </c>
      <c r="C3479">
        <v>5</v>
      </c>
      <c r="D3479">
        <v>31</v>
      </c>
      <c r="E3479" s="1">
        <v>-1.3980000000000001</v>
      </c>
      <c r="F3479" t="s">
        <v>14</v>
      </c>
      <c r="G3479" t="str">
        <f>_xlfn.XLOOKUP(transakcje[[#This Row],[podkategoria]],parametr[podkategoria],parametr[kategoria])</f>
        <v>opłaty stałe</v>
      </c>
      <c r="H3479" t="str">
        <f>_xlfn.XLOOKUP(transakcje[[#This Row],[kategoria]],parametr[kategoria],parametr[typ])</f>
        <v>wydatki</v>
      </c>
      <c r="I3479" s="1">
        <f>ABS(transakcje[[#This Row],[kwota]])</f>
        <v>1.3980000000000001</v>
      </c>
    </row>
    <row r="3480" spans="1:9" x14ac:dyDescent="0.3">
      <c r="A3480">
        <v>3479</v>
      </c>
      <c r="B3480">
        <v>2021</v>
      </c>
      <c r="C3480">
        <v>5</v>
      </c>
      <c r="D3480">
        <v>31</v>
      </c>
      <c r="E3480" s="1">
        <v>8.0000000000000002E-3</v>
      </c>
      <c r="F3480" t="s">
        <v>17</v>
      </c>
      <c r="G3480" t="str">
        <f>_xlfn.XLOOKUP(transakcje[[#This Row],[podkategoria]],parametr[podkategoria],parametr[kategoria])</f>
        <v>dochody pozostałe</v>
      </c>
      <c r="H3480" t="str">
        <f>_xlfn.XLOOKUP(transakcje[[#This Row],[kategoria]],parametr[kategoria],parametr[typ])</f>
        <v>dochody</v>
      </c>
      <c r="I3480" s="1">
        <f>ABS(transakcje[[#This Row],[kwota]])</f>
        <v>8.0000000000000002E-3</v>
      </c>
    </row>
    <row r="3481" spans="1:9" x14ac:dyDescent="0.3">
      <c r="A3481">
        <v>3480</v>
      </c>
      <c r="B3481">
        <v>2021</v>
      </c>
      <c r="C3481">
        <v>5</v>
      </c>
      <c r="D3481">
        <v>31</v>
      </c>
      <c r="E3481" s="1">
        <v>-2E-3</v>
      </c>
      <c r="F3481" t="s">
        <v>14</v>
      </c>
      <c r="G3481" t="str">
        <f>_xlfn.XLOOKUP(transakcje[[#This Row],[podkategoria]],parametr[podkategoria],parametr[kategoria])</f>
        <v>opłaty stałe</v>
      </c>
      <c r="H3481" t="str">
        <f>_xlfn.XLOOKUP(transakcje[[#This Row],[kategoria]],parametr[kategoria],parametr[typ])</f>
        <v>wydatki</v>
      </c>
      <c r="I3481" s="1">
        <f>ABS(transakcje[[#This Row],[kwota]])</f>
        <v>2E-3</v>
      </c>
    </row>
    <row r="3482" spans="1:9" x14ac:dyDescent="0.3">
      <c r="A3482">
        <v>3481</v>
      </c>
      <c r="B3482">
        <v>2021</v>
      </c>
      <c r="C3482">
        <v>5</v>
      </c>
      <c r="D3482">
        <v>31</v>
      </c>
      <c r="E3482" s="1">
        <v>-2.2280000000000002</v>
      </c>
      <c r="F3482" t="s">
        <v>26</v>
      </c>
      <c r="G3482" t="str">
        <f>_xlfn.XLOOKUP(transakcje[[#This Row],[podkategoria]],parametr[podkategoria],parametr[kategoria])</f>
        <v>życie</v>
      </c>
      <c r="H3482" t="str">
        <f>_xlfn.XLOOKUP(transakcje[[#This Row],[kategoria]],parametr[kategoria],parametr[typ])</f>
        <v>wydatki</v>
      </c>
      <c r="I3482" s="1">
        <f>ABS(transakcje[[#This Row],[kwota]])</f>
        <v>2.2280000000000002</v>
      </c>
    </row>
    <row r="3483" spans="1:9" x14ac:dyDescent="0.3">
      <c r="A3483">
        <v>3482</v>
      </c>
      <c r="B3483">
        <v>2021</v>
      </c>
      <c r="C3483">
        <v>5</v>
      </c>
      <c r="D3483">
        <v>31</v>
      </c>
      <c r="E3483" s="1">
        <v>-1.448</v>
      </c>
      <c r="F3483" t="s">
        <v>26</v>
      </c>
      <c r="G3483" t="str">
        <f>_xlfn.XLOOKUP(transakcje[[#This Row],[podkategoria]],parametr[podkategoria],parametr[kategoria])</f>
        <v>życie</v>
      </c>
      <c r="H3483" t="str">
        <f>_xlfn.XLOOKUP(transakcje[[#This Row],[kategoria]],parametr[kategoria],parametr[typ])</f>
        <v>wydatki</v>
      </c>
      <c r="I3483" s="1">
        <f>ABS(transakcje[[#This Row],[kwota]])</f>
        <v>1.448</v>
      </c>
    </row>
    <row r="3484" spans="1:9" x14ac:dyDescent="0.3">
      <c r="A3484">
        <v>3483</v>
      </c>
      <c r="B3484">
        <v>2021</v>
      </c>
      <c r="C3484">
        <v>5</v>
      </c>
      <c r="D3484">
        <v>31</v>
      </c>
      <c r="E3484" s="1">
        <v>-359.22800000000001</v>
      </c>
      <c r="F3484" t="s">
        <v>11</v>
      </c>
      <c r="G3484" t="str">
        <f>_xlfn.XLOOKUP(transakcje[[#This Row],[podkategoria]],parametr[podkategoria],parametr[kategoria])</f>
        <v>wydatki inne</v>
      </c>
      <c r="H3484" t="str">
        <f>_xlfn.XLOOKUP(transakcje[[#This Row],[kategoria]],parametr[kategoria],parametr[typ])</f>
        <v>wydatki</v>
      </c>
      <c r="I3484" s="1">
        <f>ABS(transakcje[[#This Row],[kwota]])</f>
        <v>359.22800000000001</v>
      </c>
    </row>
    <row r="3485" spans="1:9" x14ac:dyDescent="0.3">
      <c r="A3485">
        <v>3484</v>
      </c>
      <c r="B3485">
        <v>2021</v>
      </c>
      <c r="C3485">
        <v>5</v>
      </c>
      <c r="D3485">
        <v>31</v>
      </c>
      <c r="E3485" s="1">
        <v>-38.56</v>
      </c>
      <c r="F3485" t="s">
        <v>11</v>
      </c>
      <c r="G3485" t="str">
        <f>_xlfn.XLOOKUP(transakcje[[#This Row],[podkategoria]],parametr[podkategoria],parametr[kategoria])</f>
        <v>wydatki inne</v>
      </c>
      <c r="H3485" t="str">
        <f>_xlfn.XLOOKUP(transakcje[[#This Row],[kategoria]],parametr[kategoria],parametr[typ])</f>
        <v>wydatki</v>
      </c>
      <c r="I3485" s="1">
        <f>ABS(transakcje[[#This Row],[kwota]])</f>
        <v>38.56</v>
      </c>
    </row>
    <row r="3486" spans="1:9" x14ac:dyDescent="0.3">
      <c r="A3486">
        <v>3485</v>
      </c>
      <c r="B3486">
        <v>2021</v>
      </c>
      <c r="C3486">
        <v>6</v>
      </c>
      <c r="D3486">
        <v>1</v>
      </c>
      <c r="E3486" s="1">
        <v>-7.8280000000000003</v>
      </c>
      <c r="F3486" t="s">
        <v>26</v>
      </c>
      <c r="G3486" t="str">
        <f>_xlfn.XLOOKUP(transakcje[[#This Row],[podkategoria]],parametr[podkategoria],parametr[kategoria])</f>
        <v>życie</v>
      </c>
      <c r="H3486" t="str">
        <f>_xlfn.XLOOKUP(transakcje[[#This Row],[kategoria]],parametr[kategoria],parametr[typ])</f>
        <v>wydatki</v>
      </c>
      <c r="I3486" s="1">
        <f>ABS(transakcje[[#This Row],[kwota]])</f>
        <v>7.8280000000000003</v>
      </c>
    </row>
    <row r="3487" spans="1:9" x14ac:dyDescent="0.3">
      <c r="A3487">
        <v>3486</v>
      </c>
      <c r="B3487">
        <v>2021</v>
      </c>
      <c r="C3487">
        <v>6</v>
      </c>
      <c r="D3487">
        <v>3</v>
      </c>
      <c r="E3487" s="1">
        <v>-23.8</v>
      </c>
      <c r="F3487" t="s">
        <v>32</v>
      </c>
      <c r="G3487" t="str">
        <f>_xlfn.XLOOKUP(transakcje[[#This Row],[podkategoria]],parametr[podkategoria],parametr[kategoria])</f>
        <v>opłaty stałe</v>
      </c>
      <c r="H3487" t="str">
        <f>_xlfn.XLOOKUP(transakcje[[#This Row],[kategoria]],parametr[kategoria],parametr[typ])</f>
        <v>wydatki</v>
      </c>
      <c r="I3487" s="1">
        <f>ABS(transakcje[[#This Row],[kwota]])</f>
        <v>23.8</v>
      </c>
    </row>
    <row r="3488" spans="1:9" x14ac:dyDescent="0.3">
      <c r="A3488">
        <v>3487</v>
      </c>
      <c r="B3488">
        <v>2021</v>
      </c>
      <c r="C3488">
        <v>6</v>
      </c>
      <c r="D3488">
        <v>3</v>
      </c>
      <c r="E3488" s="1">
        <v>-4.9000000000000004</v>
      </c>
      <c r="F3488" t="s">
        <v>37</v>
      </c>
      <c r="G3488" t="str">
        <f>_xlfn.XLOOKUP(transakcje[[#This Row],[podkategoria]],parametr[podkategoria],parametr[kategoria])</f>
        <v>opłaty stałe</v>
      </c>
      <c r="H3488" t="str">
        <f>_xlfn.XLOOKUP(transakcje[[#This Row],[kategoria]],parametr[kategoria],parametr[typ])</f>
        <v>wydatki</v>
      </c>
      <c r="I3488" s="1">
        <f>ABS(transakcje[[#This Row],[kwota]])</f>
        <v>4.9000000000000004</v>
      </c>
    </row>
    <row r="3489" spans="1:9" x14ac:dyDescent="0.3">
      <c r="A3489">
        <v>3488</v>
      </c>
      <c r="B3489">
        <v>2021</v>
      </c>
      <c r="C3489">
        <v>6</v>
      </c>
      <c r="D3489">
        <v>3</v>
      </c>
      <c r="E3489" s="1">
        <v>-5.8</v>
      </c>
      <c r="F3489" t="s">
        <v>25</v>
      </c>
      <c r="G3489" t="str">
        <f>_xlfn.XLOOKUP(transakcje[[#This Row],[podkategoria]],parametr[podkategoria],parametr[kategoria])</f>
        <v>opłaty stałe</v>
      </c>
      <c r="H3489" t="str">
        <f>_xlfn.XLOOKUP(transakcje[[#This Row],[kategoria]],parametr[kategoria],parametr[typ])</f>
        <v>wydatki</v>
      </c>
      <c r="I3489" s="1">
        <f>ABS(transakcje[[#This Row],[kwota]])</f>
        <v>5.8</v>
      </c>
    </row>
    <row r="3490" spans="1:9" x14ac:dyDescent="0.3">
      <c r="A3490">
        <v>3489</v>
      </c>
      <c r="B3490">
        <v>2021</v>
      </c>
      <c r="C3490">
        <v>6</v>
      </c>
      <c r="D3490">
        <v>3</v>
      </c>
      <c r="E3490" s="1">
        <v>-7.38</v>
      </c>
      <c r="F3490" t="s">
        <v>23</v>
      </c>
      <c r="G3490" t="str">
        <f>_xlfn.XLOOKUP(transakcje[[#This Row],[podkategoria]],parametr[podkategoria],parametr[kategoria])</f>
        <v>opłaty stałe</v>
      </c>
      <c r="H3490" t="str">
        <f>_xlfn.XLOOKUP(transakcje[[#This Row],[kategoria]],parametr[kategoria],parametr[typ])</f>
        <v>wydatki</v>
      </c>
      <c r="I3490" s="1">
        <f>ABS(transakcje[[#This Row],[kwota]])</f>
        <v>7.38</v>
      </c>
    </row>
    <row r="3491" spans="1:9" x14ac:dyDescent="0.3">
      <c r="A3491">
        <v>3490</v>
      </c>
      <c r="B3491">
        <v>2021</v>
      </c>
      <c r="C3491">
        <v>6</v>
      </c>
      <c r="D3491">
        <v>3</v>
      </c>
      <c r="E3491" s="1">
        <v>-72.304000000000002</v>
      </c>
      <c r="F3491" t="s">
        <v>31</v>
      </c>
      <c r="G3491" t="str">
        <f>_xlfn.XLOOKUP(transakcje[[#This Row],[podkategoria]],parametr[podkategoria],parametr[kategoria])</f>
        <v>opłaty stałe</v>
      </c>
      <c r="H3491" t="str">
        <f>_xlfn.XLOOKUP(transakcje[[#This Row],[kategoria]],parametr[kategoria],parametr[typ])</f>
        <v>wydatki</v>
      </c>
      <c r="I3491" s="1">
        <f>ABS(transakcje[[#This Row],[kwota]])</f>
        <v>72.304000000000002</v>
      </c>
    </row>
    <row r="3492" spans="1:9" x14ac:dyDescent="0.3">
      <c r="A3492">
        <v>3491</v>
      </c>
      <c r="B3492">
        <v>2021</v>
      </c>
      <c r="C3492">
        <v>6</v>
      </c>
      <c r="D3492">
        <v>3</v>
      </c>
      <c r="E3492" s="1">
        <v>-8.6</v>
      </c>
      <c r="F3492" t="s">
        <v>26</v>
      </c>
      <c r="G3492" t="str">
        <f>_xlfn.XLOOKUP(transakcje[[#This Row],[podkategoria]],parametr[podkategoria],parametr[kategoria])</f>
        <v>życie</v>
      </c>
      <c r="H3492" t="str">
        <f>_xlfn.XLOOKUP(transakcje[[#This Row],[kategoria]],parametr[kategoria],parametr[typ])</f>
        <v>wydatki</v>
      </c>
      <c r="I3492" s="1">
        <f>ABS(transakcje[[#This Row],[kwota]])</f>
        <v>8.6</v>
      </c>
    </row>
    <row r="3493" spans="1:9" x14ac:dyDescent="0.3">
      <c r="A3493">
        <v>3492</v>
      </c>
      <c r="B3493">
        <v>2021</v>
      </c>
      <c r="C3493">
        <v>6</v>
      </c>
      <c r="D3493">
        <v>4</v>
      </c>
      <c r="E3493" s="1">
        <v>-1.9</v>
      </c>
      <c r="F3493" t="s">
        <v>26</v>
      </c>
      <c r="G3493" t="str">
        <f>_xlfn.XLOOKUP(transakcje[[#This Row],[podkategoria]],parametr[podkategoria],parametr[kategoria])</f>
        <v>życie</v>
      </c>
      <c r="H3493" t="str">
        <f>_xlfn.XLOOKUP(transakcje[[#This Row],[kategoria]],parametr[kategoria],parametr[typ])</f>
        <v>wydatki</v>
      </c>
      <c r="I3493" s="1">
        <f>ABS(transakcje[[#This Row],[kwota]])</f>
        <v>1.9</v>
      </c>
    </row>
    <row r="3494" spans="1:9" x14ac:dyDescent="0.3">
      <c r="A3494">
        <v>3493</v>
      </c>
      <c r="B3494">
        <v>2021</v>
      </c>
      <c r="C3494">
        <v>6</v>
      </c>
      <c r="D3494">
        <v>4</v>
      </c>
      <c r="E3494" s="1">
        <v>-0.72399999999999998</v>
      </c>
      <c r="F3494" t="s">
        <v>26</v>
      </c>
      <c r="G3494" t="str">
        <f>_xlfn.XLOOKUP(transakcje[[#This Row],[podkategoria]],parametr[podkategoria],parametr[kategoria])</f>
        <v>życie</v>
      </c>
      <c r="H3494" t="str">
        <f>_xlfn.XLOOKUP(transakcje[[#This Row],[kategoria]],parametr[kategoria],parametr[typ])</f>
        <v>wydatki</v>
      </c>
      <c r="I3494" s="1">
        <f>ABS(transakcje[[#This Row],[kwota]])</f>
        <v>0.72399999999999998</v>
      </c>
    </row>
    <row r="3495" spans="1:9" x14ac:dyDescent="0.3">
      <c r="A3495">
        <v>3494</v>
      </c>
      <c r="B3495">
        <v>2021</v>
      </c>
      <c r="C3495">
        <v>6</v>
      </c>
      <c r="D3495">
        <v>7</v>
      </c>
      <c r="E3495" s="1">
        <v>-9.2560000000000002</v>
      </c>
      <c r="F3495" t="s">
        <v>26</v>
      </c>
      <c r="G3495" t="str">
        <f>_xlfn.XLOOKUP(transakcje[[#This Row],[podkategoria]],parametr[podkategoria],parametr[kategoria])</f>
        <v>życie</v>
      </c>
      <c r="H3495" t="str">
        <f>_xlfn.XLOOKUP(transakcje[[#This Row],[kategoria]],parametr[kategoria],parametr[typ])</f>
        <v>wydatki</v>
      </c>
      <c r="I3495" s="1">
        <f>ABS(transakcje[[#This Row],[kwota]])</f>
        <v>9.2560000000000002</v>
      </c>
    </row>
    <row r="3496" spans="1:9" x14ac:dyDescent="0.3">
      <c r="A3496">
        <v>3495</v>
      </c>
      <c r="B3496">
        <v>2021</v>
      </c>
      <c r="C3496">
        <v>6</v>
      </c>
      <c r="D3496">
        <v>8</v>
      </c>
      <c r="E3496" s="1">
        <v>-3.5680000000000001</v>
      </c>
      <c r="F3496" t="s">
        <v>26</v>
      </c>
      <c r="G3496" t="str">
        <f>_xlfn.XLOOKUP(transakcje[[#This Row],[podkategoria]],parametr[podkategoria],parametr[kategoria])</f>
        <v>życie</v>
      </c>
      <c r="H3496" t="str">
        <f>_xlfn.XLOOKUP(transakcje[[#This Row],[kategoria]],parametr[kategoria],parametr[typ])</f>
        <v>wydatki</v>
      </c>
      <c r="I3496" s="1">
        <f>ABS(transakcje[[#This Row],[kwota]])</f>
        <v>3.5680000000000001</v>
      </c>
    </row>
    <row r="3497" spans="1:9" x14ac:dyDescent="0.3">
      <c r="A3497">
        <v>3496</v>
      </c>
      <c r="B3497">
        <v>2021</v>
      </c>
      <c r="C3497">
        <v>6</v>
      </c>
      <c r="D3497">
        <v>8</v>
      </c>
      <c r="E3497" s="1">
        <v>-2.6</v>
      </c>
      <c r="F3497" t="s">
        <v>26</v>
      </c>
      <c r="G3497" t="str">
        <f>_xlfn.XLOOKUP(transakcje[[#This Row],[podkategoria]],parametr[podkategoria],parametr[kategoria])</f>
        <v>życie</v>
      </c>
      <c r="H3497" t="str">
        <f>_xlfn.XLOOKUP(transakcje[[#This Row],[kategoria]],parametr[kategoria],parametr[typ])</f>
        <v>wydatki</v>
      </c>
      <c r="I3497" s="1">
        <f>ABS(transakcje[[#This Row],[kwota]])</f>
        <v>2.6</v>
      </c>
    </row>
    <row r="3498" spans="1:9" x14ac:dyDescent="0.3">
      <c r="A3498">
        <v>3497</v>
      </c>
      <c r="B3498">
        <v>2021</v>
      </c>
      <c r="C3498">
        <v>6</v>
      </c>
      <c r="D3498">
        <v>8</v>
      </c>
      <c r="E3498" s="1">
        <v>-8.1660000000000004</v>
      </c>
      <c r="F3498" t="s">
        <v>26</v>
      </c>
      <c r="G3498" t="str">
        <f>_xlfn.XLOOKUP(transakcje[[#This Row],[podkategoria]],parametr[podkategoria],parametr[kategoria])</f>
        <v>życie</v>
      </c>
      <c r="H3498" t="str">
        <f>_xlfn.XLOOKUP(transakcje[[#This Row],[kategoria]],parametr[kategoria],parametr[typ])</f>
        <v>wydatki</v>
      </c>
      <c r="I3498" s="1">
        <f>ABS(transakcje[[#This Row],[kwota]])</f>
        <v>8.1660000000000004</v>
      </c>
    </row>
    <row r="3499" spans="1:9" x14ac:dyDescent="0.3">
      <c r="A3499">
        <v>3498</v>
      </c>
      <c r="B3499">
        <v>2021</v>
      </c>
      <c r="C3499">
        <v>6</v>
      </c>
      <c r="D3499">
        <v>10</v>
      </c>
      <c r="E3499" s="1">
        <v>-0.72399999999999998</v>
      </c>
      <c r="F3499" t="s">
        <v>26</v>
      </c>
      <c r="G3499" t="str">
        <f>_xlfn.XLOOKUP(transakcje[[#This Row],[podkategoria]],parametr[podkategoria],parametr[kategoria])</f>
        <v>życie</v>
      </c>
      <c r="H3499" t="str">
        <f>_xlfn.XLOOKUP(transakcje[[#This Row],[kategoria]],parametr[kategoria],parametr[typ])</f>
        <v>wydatki</v>
      </c>
      <c r="I3499" s="1">
        <f>ABS(transakcje[[#This Row],[kwota]])</f>
        <v>0.72399999999999998</v>
      </c>
    </row>
    <row r="3500" spans="1:9" x14ac:dyDescent="0.3">
      <c r="A3500">
        <v>3499</v>
      </c>
      <c r="B3500">
        <v>2021</v>
      </c>
      <c r="C3500">
        <v>6</v>
      </c>
      <c r="D3500">
        <v>10</v>
      </c>
      <c r="E3500" s="1">
        <v>-2.34</v>
      </c>
      <c r="F3500" t="s">
        <v>26</v>
      </c>
      <c r="G3500" t="str">
        <f>_xlfn.XLOOKUP(transakcje[[#This Row],[podkategoria]],parametr[podkategoria],parametr[kategoria])</f>
        <v>życie</v>
      </c>
      <c r="H3500" t="str">
        <f>_xlfn.XLOOKUP(transakcje[[#This Row],[kategoria]],parametr[kategoria],parametr[typ])</f>
        <v>wydatki</v>
      </c>
      <c r="I3500" s="1">
        <f>ABS(transakcje[[#This Row],[kwota]])</f>
        <v>2.34</v>
      </c>
    </row>
    <row r="3501" spans="1:9" x14ac:dyDescent="0.3">
      <c r="A3501">
        <v>3500</v>
      </c>
      <c r="B3501">
        <v>2021</v>
      </c>
      <c r="C3501">
        <v>6</v>
      </c>
      <c r="D3501">
        <v>14</v>
      </c>
      <c r="E3501" s="1">
        <v>-0.72399999999999998</v>
      </c>
      <c r="F3501" t="s">
        <v>26</v>
      </c>
      <c r="G3501" t="str">
        <f>_xlfn.XLOOKUP(transakcje[[#This Row],[podkategoria]],parametr[podkategoria],parametr[kategoria])</f>
        <v>życie</v>
      </c>
      <c r="H3501" t="str">
        <f>_xlfn.XLOOKUP(transakcje[[#This Row],[kategoria]],parametr[kategoria],parametr[typ])</f>
        <v>wydatki</v>
      </c>
      <c r="I3501" s="1">
        <f>ABS(transakcje[[#This Row],[kwota]])</f>
        <v>0.72399999999999998</v>
      </c>
    </row>
    <row r="3502" spans="1:9" x14ac:dyDescent="0.3">
      <c r="A3502">
        <v>3501</v>
      </c>
      <c r="B3502">
        <v>2021</v>
      </c>
      <c r="C3502">
        <v>6</v>
      </c>
      <c r="D3502">
        <v>15</v>
      </c>
      <c r="E3502" s="1">
        <v>-13.084</v>
      </c>
      <c r="F3502" t="s">
        <v>26</v>
      </c>
      <c r="G3502" t="str">
        <f>_xlfn.XLOOKUP(transakcje[[#This Row],[podkategoria]],parametr[podkategoria],parametr[kategoria])</f>
        <v>życie</v>
      </c>
      <c r="H3502" t="str">
        <f>_xlfn.XLOOKUP(transakcje[[#This Row],[kategoria]],parametr[kategoria],parametr[typ])</f>
        <v>wydatki</v>
      </c>
      <c r="I3502" s="1">
        <f>ABS(transakcje[[#This Row],[kwota]])</f>
        <v>13.084</v>
      </c>
    </row>
    <row r="3503" spans="1:9" x14ac:dyDescent="0.3">
      <c r="A3503">
        <v>3502</v>
      </c>
      <c r="B3503">
        <v>2021</v>
      </c>
      <c r="C3503">
        <v>6</v>
      </c>
      <c r="D3503">
        <v>15</v>
      </c>
      <c r="E3503" s="1">
        <v>-0.39800000000000002</v>
      </c>
      <c r="F3503" t="s">
        <v>14</v>
      </c>
      <c r="G3503" t="str">
        <f>_xlfn.XLOOKUP(transakcje[[#This Row],[podkategoria]],parametr[podkategoria],parametr[kategoria])</f>
        <v>opłaty stałe</v>
      </c>
      <c r="H3503" t="str">
        <f>_xlfn.XLOOKUP(transakcje[[#This Row],[kategoria]],parametr[kategoria],parametr[typ])</f>
        <v>wydatki</v>
      </c>
      <c r="I3503" s="1">
        <f>ABS(transakcje[[#This Row],[kwota]])</f>
        <v>0.39800000000000002</v>
      </c>
    </row>
    <row r="3504" spans="1:9" x14ac:dyDescent="0.3">
      <c r="A3504">
        <v>3503</v>
      </c>
      <c r="B3504">
        <v>2021</v>
      </c>
      <c r="C3504">
        <v>6</v>
      </c>
      <c r="D3504">
        <v>16</v>
      </c>
      <c r="E3504" s="1">
        <v>-2.2000000000000002</v>
      </c>
      <c r="F3504" t="s">
        <v>26</v>
      </c>
      <c r="G3504" t="str">
        <f>_xlfn.XLOOKUP(transakcje[[#This Row],[podkategoria]],parametr[podkategoria],parametr[kategoria])</f>
        <v>życie</v>
      </c>
      <c r="H3504" t="str">
        <f>_xlfn.XLOOKUP(transakcje[[#This Row],[kategoria]],parametr[kategoria],parametr[typ])</f>
        <v>wydatki</v>
      </c>
      <c r="I3504" s="1">
        <f>ABS(transakcje[[#This Row],[kwota]])</f>
        <v>2.2000000000000002</v>
      </c>
    </row>
    <row r="3505" spans="1:9" x14ac:dyDescent="0.3">
      <c r="A3505">
        <v>3504</v>
      </c>
      <c r="B3505">
        <v>2021</v>
      </c>
      <c r="C3505">
        <v>6</v>
      </c>
      <c r="D3505">
        <v>16</v>
      </c>
      <c r="E3505" s="1">
        <v>-10.356</v>
      </c>
      <c r="F3505" t="s">
        <v>26</v>
      </c>
      <c r="G3505" t="str">
        <f>_xlfn.XLOOKUP(transakcje[[#This Row],[podkategoria]],parametr[podkategoria],parametr[kategoria])</f>
        <v>życie</v>
      </c>
      <c r="H3505" t="str">
        <f>_xlfn.XLOOKUP(transakcje[[#This Row],[kategoria]],parametr[kategoria],parametr[typ])</f>
        <v>wydatki</v>
      </c>
      <c r="I3505" s="1">
        <f>ABS(transakcje[[#This Row],[kwota]])</f>
        <v>10.356</v>
      </c>
    </row>
    <row r="3506" spans="1:9" x14ac:dyDescent="0.3">
      <c r="A3506">
        <v>3505</v>
      </c>
      <c r="B3506">
        <v>2021</v>
      </c>
      <c r="C3506">
        <v>6</v>
      </c>
      <c r="D3506">
        <v>16</v>
      </c>
      <c r="E3506" s="1">
        <v>-2.7760000000000002</v>
      </c>
      <c r="F3506" t="s">
        <v>26</v>
      </c>
      <c r="G3506" t="str">
        <f>_xlfn.XLOOKUP(transakcje[[#This Row],[podkategoria]],parametr[podkategoria],parametr[kategoria])</f>
        <v>życie</v>
      </c>
      <c r="H3506" t="str">
        <f>_xlfn.XLOOKUP(transakcje[[#This Row],[kategoria]],parametr[kategoria],parametr[typ])</f>
        <v>wydatki</v>
      </c>
      <c r="I3506" s="1">
        <f>ABS(transakcje[[#This Row],[kwota]])</f>
        <v>2.7760000000000002</v>
      </c>
    </row>
    <row r="3507" spans="1:9" x14ac:dyDescent="0.3">
      <c r="A3507">
        <v>3506</v>
      </c>
      <c r="B3507">
        <v>2021</v>
      </c>
      <c r="C3507">
        <v>6</v>
      </c>
      <c r="D3507">
        <v>17</v>
      </c>
      <c r="E3507" s="1">
        <v>-3.8520000000000003</v>
      </c>
      <c r="F3507" t="s">
        <v>26</v>
      </c>
      <c r="G3507" t="str">
        <f>_xlfn.XLOOKUP(transakcje[[#This Row],[podkategoria]],parametr[podkategoria],parametr[kategoria])</f>
        <v>życie</v>
      </c>
      <c r="H3507" t="str">
        <f>_xlfn.XLOOKUP(transakcje[[#This Row],[kategoria]],parametr[kategoria],parametr[typ])</f>
        <v>wydatki</v>
      </c>
      <c r="I3507" s="1">
        <f>ABS(transakcje[[#This Row],[kwota]])</f>
        <v>3.8520000000000003</v>
      </c>
    </row>
    <row r="3508" spans="1:9" x14ac:dyDescent="0.3">
      <c r="A3508">
        <v>3507</v>
      </c>
      <c r="B3508">
        <v>2021</v>
      </c>
      <c r="C3508">
        <v>6</v>
      </c>
      <c r="D3508">
        <v>18</v>
      </c>
      <c r="E3508" s="1">
        <v>-0.72399999999999998</v>
      </c>
      <c r="F3508" t="s">
        <v>26</v>
      </c>
      <c r="G3508" t="str">
        <f>_xlfn.XLOOKUP(transakcje[[#This Row],[podkategoria]],parametr[podkategoria],parametr[kategoria])</f>
        <v>życie</v>
      </c>
      <c r="H3508" t="str">
        <f>_xlfn.XLOOKUP(transakcje[[#This Row],[kategoria]],parametr[kategoria],parametr[typ])</f>
        <v>wydatki</v>
      </c>
      <c r="I3508" s="1">
        <f>ABS(transakcje[[#This Row],[kwota]])</f>
        <v>0.72399999999999998</v>
      </c>
    </row>
    <row r="3509" spans="1:9" x14ac:dyDescent="0.3">
      <c r="A3509">
        <v>3508</v>
      </c>
      <c r="B3509">
        <v>2021</v>
      </c>
      <c r="C3509">
        <v>6</v>
      </c>
      <c r="D3509">
        <v>21</v>
      </c>
      <c r="E3509" s="1">
        <v>-0.72399999999999998</v>
      </c>
      <c r="F3509" t="s">
        <v>26</v>
      </c>
      <c r="G3509" t="str">
        <f>_xlfn.XLOOKUP(transakcje[[#This Row],[podkategoria]],parametr[podkategoria],parametr[kategoria])</f>
        <v>życie</v>
      </c>
      <c r="H3509" t="str">
        <f>_xlfn.XLOOKUP(transakcje[[#This Row],[kategoria]],parametr[kategoria],parametr[typ])</f>
        <v>wydatki</v>
      </c>
      <c r="I3509" s="1">
        <f>ABS(transakcje[[#This Row],[kwota]])</f>
        <v>0.72399999999999998</v>
      </c>
    </row>
    <row r="3510" spans="1:9" x14ac:dyDescent="0.3">
      <c r="A3510">
        <v>3509</v>
      </c>
      <c r="B3510">
        <v>2021</v>
      </c>
      <c r="C3510">
        <v>6</v>
      </c>
      <c r="D3510">
        <v>23</v>
      </c>
      <c r="E3510" s="1">
        <v>-1.5720000000000001</v>
      </c>
      <c r="F3510" t="s">
        <v>26</v>
      </c>
      <c r="G3510" t="str">
        <f>_xlfn.XLOOKUP(transakcje[[#This Row],[podkategoria]],parametr[podkategoria],parametr[kategoria])</f>
        <v>życie</v>
      </c>
      <c r="H3510" t="str">
        <f>_xlfn.XLOOKUP(transakcje[[#This Row],[kategoria]],parametr[kategoria],parametr[typ])</f>
        <v>wydatki</v>
      </c>
      <c r="I3510" s="1">
        <f>ABS(transakcje[[#This Row],[kwota]])</f>
        <v>1.5720000000000001</v>
      </c>
    </row>
    <row r="3511" spans="1:9" x14ac:dyDescent="0.3">
      <c r="A3511">
        <v>3510</v>
      </c>
      <c r="B3511">
        <v>2021</v>
      </c>
      <c r="C3511">
        <v>6</v>
      </c>
      <c r="D3511">
        <v>23</v>
      </c>
      <c r="E3511" s="1">
        <v>-16.641999999999999</v>
      </c>
      <c r="F3511" t="s">
        <v>26</v>
      </c>
      <c r="G3511" t="str">
        <f>_xlfn.XLOOKUP(transakcje[[#This Row],[podkategoria]],parametr[podkategoria],parametr[kategoria])</f>
        <v>życie</v>
      </c>
      <c r="H3511" t="str">
        <f>_xlfn.XLOOKUP(transakcje[[#This Row],[kategoria]],parametr[kategoria],parametr[typ])</f>
        <v>wydatki</v>
      </c>
      <c r="I3511" s="1">
        <f>ABS(transakcje[[#This Row],[kwota]])</f>
        <v>16.641999999999999</v>
      </c>
    </row>
    <row r="3512" spans="1:9" x14ac:dyDescent="0.3">
      <c r="A3512">
        <v>3511</v>
      </c>
      <c r="B3512">
        <v>2021</v>
      </c>
      <c r="C3512">
        <v>6</v>
      </c>
      <c r="D3512">
        <v>24</v>
      </c>
      <c r="E3512" s="1">
        <v>-8.0440000000000005</v>
      </c>
      <c r="F3512" t="s">
        <v>26</v>
      </c>
      <c r="G3512" t="str">
        <f>_xlfn.XLOOKUP(transakcje[[#This Row],[podkategoria]],parametr[podkategoria],parametr[kategoria])</f>
        <v>życie</v>
      </c>
      <c r="H3512" t="str">
        <f>_xlfn.XLOOKUP(transakcje[[#This Row],[kategoria]],parametr[kategoria],parametr[typ])</f>
        <v>wydatki</v>
      </c>
      <c r="I3512" s="1">
        <f>ABS(transakcje[[#This Row],[kwota]])</f>
        <v>8.0440000000000005</v>
      </c>
    </row>
    <row r="3513" spans="1:9" x14ac:dyDescent="0.3">
      <c r="A3513">
        <v>3512</v>
      </c>
      <c r="B3513">
        <v>2021</v>
      </c>
      <c r="C3513">
        <v>6</v>
      </c>
      <c r="D3513">
        <v>24</v>
      </c>
      <c r="E3513" s="1">
        <v>-0.72399999999999998</v>
      </c>
      <c r="F3513" t="s">
        <v>26</v>
      </c>
      <c r="G3513" t="str">
        <f>_xlfn.XLOOKUP(transakcje[[#This Row],[podkategoria]],parametr[podkategoria],parametr[kategoria])</f>
        <v>życie</v>
      </c>
      <c r="H3513" t="str">
        <f>_xlfn.XLOOKUP(transakcje[[#This Row],[kategoria]],parametr[kategoria],parametr[typ])</f>
        <v>wydatki</v>
      </c>
      <c r="I3513" s="1">
        <f>ABS(transakcje[[#This Row],[kwota]])</f>
        <v>0.72399999999999998</v>
      </c>
    </row>
    <row r="3514" spans="1:9" x14ac:dyDescent="0.3">
      <c r="A3514">
        <v>3513</v>
      </c>
      <c r="B3514">
        <v>2021</v>
      </c>
      <c r="C3514">
        <v>6</v>
      </c>
      <c r="D3514">
        <v>24</v>
      </c>
      <c r="E3514" s="1">
        <v>-10.373999999999999</v>
      </c>
      <c r="F3514" t="s">
        <v>26</v>
      </c>
      <c r="G3514" t="str">
        <f>_xlfn.XLOOKUP(transakcje[[#This Row],[podkategoria]],parametr[podkategoria],parametr[kategoria])</f>
        <v>życie</v>
      </c>
      <c r="H3514" t="str">
        <f>_xlfn.XLOOKUP(transakcje[[#This Row],[kategoria]],parametr[kategoria],parametr[typ])</f>
        <v>wydatki</v>
      </c>
      <c r="I3514" s="1">
        <f>ABS(transakcje[[#This Row],[kwota]])</f>
        <v>10.373999999999999</v>
      </c>
    </row>
    <row r="3515" spans="1:9" x14ac:dyDescent="0.3">
      <c r="A3515">
        <v>3514</v>
      </c>
      <c r="B3515">
        <v>2021</v>
      </c>
      <c r="C3515">
        <v>6</v>
      </c>
      <c r="D3515">
        <v>25</v>
      </c>
      <c r="E3515" s="1">
        <v>-6.0600000000000005</v>
      </c>
      <c r="F3515" t="s">
        <v>26</v>
      </c>
      <c r="G3515" t="str">
        <f>_xlfn.XLOOKUP(transakcje[[#This Row],[podkategoria]],parametr[podkategoria],parametr[kategoria])</f>
        <v>życie</v>
      </c>
      <c r="H3515" t="str">
        <f>_xlfn.XLOOKUP(transakcje[[#This Row],[kategoria]],parametr[kategoria],parametr[typ])</f>
        <v>wydatki</v>
      </c>
      <c r="I3515" s="1">
        <f>ABS(transakcje[[#This Row],[kwota]])</f>
        <v>6.0600000000000005</v>
      </c>
    </row>
    <row r="3516" spans="1:9" x14ac:dyDescent="0.3">
      <c r="A3516">
        <v>3515</v>
      </c>
      <c r="B3516">
        <v>2021</v>
      </c>
      <c r="C3516">
        <v>6</v>
      </c>
      <c r="D3516">
        <v>25</v>
      </c>
      <c r="E3516" s="1">
        <v>-3.3479999999999999</v>
      </c>
      <c r="F3516" t="s">
        <v>26</v>
      </c>
      <c r="G3516" t="str">
        <f>_xlfn.XLOOKUP(transakcje[[#This Row],[podkategoria]],parametr[podkategoria],parametr[kategoria])</f>
        <v>życie</v>
      </c>
      <c r="H3516" t="str">
        <f>_xlfn.XLOOKUP(transakcje[[#This Row],[kategoria]],parametr[kategoria],parametr[typ])</f>
        <v>wydatki</v>
      </c>
      <c r="I3516" s="1">
        <f>ABS(transakcje[[#This Row],[kwota]])</f>
        <v>3.3479999999999999</v>
      </c>
    </row>
    <row r="3517" spans="1:9" x14ac:dyDescent="0.3">
      <c r="A3517">
        <v>3516</v>
      </c>
      <c r="B3517">
        <v>2021</v>
      </c>
      <c r="C3517">
        <v>6</v>
      </c>
      <c r="D3517">
        <v>25</v>
      </c>
      <c r="E3517" s="1">
        <v>740.91800000000001</v>
      </c>
      <c r="F3517" t="s">
        <v>8</v>
      </c>
      <c r="G3517" t="str">
        <f>_xlfn.XLOOKUP(transakcje[[#This Row],[podkategoria]],parametr[podkategoria],parametr[kategoria])</f>
        <v>dochody z pracy</v>
      </c>
      <c r="H3517" t="str">
        <f>_xlfn.XLOOKUP(transakcje[[#This Row],[kategoria]],parametr[kategoria],parametr[typ])</f>
        <v>dochody</v>
      </c>
      <c r="I3517" s="1">
        <f>ABS(transakcje[[#This Row],[kwota]])</f>
        <v>740.91800000000001</v>
      </c>
    </row>
    <row r="3518" spans="1:9" x14ac:dyDescent="0.3">
      <c r="A3518">
        <v>3517</v>
      </c>
      <c r="B3518">
        <v>2021</v>
      </c>
      <c r="C3518">
        <v>6</v>
      </c>
      <c r="D3518">
        <v>28</v>
      </c>
      <c r="E3518" s="1">
        <v>-8.0259999999999998</v>
      </c>
      <c r="F3518" t="s">
        <v>26</v>
      </c>
      <c r="G3518" t="str">
        <f>_xlfn.XLOOKUP(transakcje[[#This Row],[podkategoria]],parametr[podkategoria],parametr[kategoria])</f>
        <v>życie</v>
      </c>
      <c r="H3518" t="str">
        <f>_xlfn.XLOOKUP(transakcje[[#This Row],[kategoria]],parametr[kategoria],parametr[typ])</f>
        <v>wydatki</v>
      </c>
      <c r="I3518" s="1">
        <f>ABS(transakcje[[#This Row],[kwota]])</f>
        <v>8.0259999999999998</v>
      </c>
    </row>
    <row r="3519" spans="1:9" x14ac:dyDescent="0.3">
      <c r="A3519">
        <v>3518</v>
      </c>
      <c r="B3519">
        <v>2021</v>
      </c>
      <c r="C3519">
        <v>6</v>
      </c>
      <c r="D3519">
        <v>29</v>
      </c>
      <c r="E3519" s="1">
        <v>-0.36199999999999999</v>
      </c>
      <c r="F3519" t="s">
        <v>26</v>
      </c>
      <c r="G3519" t="str">
        <f>_xlfn.XLOOKUP(transakcje[[#This Row],[podkategoria]],parametr[podkategoria],parametr[kategoria])</f>
        <v>życie</v>
      </c>
      <c r="H3519" t="str">
        <f>_xlfn.XLOOKUP(transakcje[[#This Row],[kategoria]],parametr[kategoria],parametr[typ])</f>
        <v>wydatki</v>
      </c>
      <c r="I3519" s="1">
        <f>ABS(transakcje[[#This Row],[kwota]])</f>
        <v>0.36199999999999999</v>
      </c>
    </row>
    <row r="3520" spans="1:9" x14ac:dyDescent="0.3">
      <c r="A3520">
        <v>3519</v>
      </c>
      <c r="B3520">
        <v>2021</v>
      </c>
      <c r="C3520">
        <v>6</v>
      </c>
      <c r="D3520">
        <v>30</v>
      </c>
      <c r="E3520" s="1">
        <v>-0.4</v>
      </c>
      <c r="F3520" t="s">
        <v>14</v>
      </c>
      <c r="G3520" t="str">
        <f>_xlfn.XLOOKUP(transakcje[[#This Row],[podkategoria]],parametr[podkategoria],parametr[kategoria])</f>
        <v>opłaty stałe</v>
      </c>
      <c r="H3520" t="str">
        <f>_xlfn.XLOOKUP(transakcje[[#This Row],[kategoria]],parametr[kategoria],parametr[typ])</f>
        <v>wydatki</v>
      </c>
      <c r="I3520" s="1">
        <f>ABS(transakcje[[#This Row],[kwota]])</f>
        <v>0.4</v>
      </c>
    </row>
    <row r="3521" spans="1:9" x14ac:dyDescent="0.3">
      <c r="A3521">
        <v>3520</v>
      </c>
      <c r="B3521">
        <v>2021</v>
      </c>
      <c r="C3521">
        <v>6</v>
      </c>
      <c r="D3521">
        <v>30</v>
      </c>
      <c r="E3521" s="1">
        <v>-1.3980000000000001</v>
      </c>
      <c r="F3521" t="s">
        <v>14</v>
      </c>
      <c r="G3521" t="str">
        <f>_xlfn.XLOOKUP(transakcje[[#This Row],[podkategoria]],parametr[podkategoria],parametr[kategoria])</f>
        <v>opłaty stałe</v>
      </c>
      <c r="H3521" t="str">
        <f>_xlfn.XLOOKUP(transakcje[[#This Row],[kategoria]],parametr[kategoria],parametr[typ])</f>
        <v>wydatki</v>
      </c>
      <c r="I3521" s="1">
        <f>ABS(transakcje[[#This Row],[kwota]])</f>
        <v>1.3980000000000001</v>
      </c>
    </row>
    <row r="3522" spans="1:9" x14ac:dyDescent="0.3">
      <c r="A3522">
        <v>3521</v>
      </c>
      <c r="B3522">
        <v>2021</v>
      </c>
      <c r="C3522">
        <v>6</v>
      </c>
      <c r="D3522">
        <v>30</v>
      </c>
      <c r="E3522" s="1">
        <v>6.0000000000000001E-3</v>
      </c>
      <c r="F3522" t="s">
        <v>17</v>
      </c>
      <c r="G3522" t="str">
        <f>_xlfn.XLOOKUP(transakcje[[#This Row],[podkategoria]],parametr[podkategoria],parametr[kategoria])</f>
        <v>dochody pozostałe</v>
      </c>
      <c r="H3522" t="str">
        <f>_xlfn.XLOOKUP(transakcje[[#This Row],[kategoria]],parametr[kategoria],parametr[typ])</f>
        <v>dochody</v>
      </c>
      <c r="I3522" s="1">
        <f>ABS(transakcje[[#This Row],[kwota]])</f>
        <v>6.0000000000000001E-3</v>
      </c>
    </row>
    <row r="3523" spans="1:9" x14ac:dyDescent="0.3">
      <c r="A3523">
        <v>3522</v>
      </c>
      <c r="B3523">
        <v>2021</v>
      </c>
      <c r="C3523">
        <v>6</v>
      </c>
      <c r="D3523">
        <v>30</v>
      </c>
      <c r="E3523" s="1">
        <v>-2E-3</v>
      </c>
      <c r="F3523" t="s">
        <v>14</v>
      </c>
      <c r="G3523" t="str">
        <f>_xlfn.XLOOKUP(transakcje[[#This Row],[podkategoria]],parametr[podkategoria],parametr[kategoria])</f>
        <v>opłaty stałe</v>
      </c>
      <c r="H3523" t="str">
        <f>_xlfn.XLOOKUP(transakcje[[#This Row],[kategoria]],parametr[kategoria],parametr[typ])</f>
        <v>wydatki</v>
      </c>
      <c r="I3523" s="1">
        <f>ABS(transakcje[[#This Row],[kwota]])</f>
        <v>2E-3</v>
      </c>
    </row>
    <row r="3524" spans="1:9" x14ac:dyDescent="0.3">
      <c r="A3524">
        <v>3523</v>
      </c>
      <c r="B3524">
        <v>2021</v>
      </c>
      <c r="C3524">
        <v>7</v>
      </c>
      <c r="D3524">
        <v>1</v>
      </c>
      <c r="E3524" s="1">
        <v>-8.7959999999999994</v>
      </c>
      <c r="F3524" t="s">
        <v>26</v>
      </c>
      <c r="G3524" t="str">
        <f>_xlfn.XLOOKUP(transakcje[[#This Row],[podkategoria]],parametr[podkategoria],parametr[kategoria])</f>
        <v>życie</v>
      </c>
      <c r="H3524" t="str">
        <f>_xlfn.XLOOKUP(transakcje[[#This Row],[kategoria]],parametr[kategoria],parametr[typ])</f>
        <v>wydatki</v>
      </c>
      <c r="I3524" s="1">
        <f>ABS(transakcje[[#This Row],[kwota]])</f>
        <v>8.7959999999999994</v>
      </c>
    </row>
    <row r="3525" spans="1:9" x14ac:dyDescent="0.3">
      <c r="A3525">
        <v>3524</v>
      </c>
      <c r="B3525">
        <v>2021</v>
      </c>
      <c r="C3525">
        <v>7</v>
      </c>
      <c r="D3525">
        <v>2</v>
      </c>
      <c r="E3525" s="1">
        <v>-5.9740000000000002</v>
      </c>
      <c r="F3525" t="s">
        <v>26</v>
      </c>
      <c r="G3525" t="str">
        <f>_xlfn.XLOOKUP(transakcje[[#This Row],[podkategoria]],parametr[podkategoria],parametr[kategoria])</f>
        <v>życie</v>
      </c>
      <c r="H3525" t="str">
        <f>_xlfn.XLOOKUP(transakcje[[#This Row],[kategoria]],parametr[kategoria],parametr[typ])</f>
        <v>wydatki</v>
      </c>
      <c r="I3525" s="1">
        <f>ABS(transakcje[[#This Row],[kwota]])</f>
        <v>5.9740000000000002</v>
      </c>
    </row>
    <row r="3526" spans="1:9" x14ac:dyDescent="0.3">
      <c r="A3526">
        <v>3525</v>
      </c>
      <c r="B3526">
        <v>2021</v>
      </c>
      <c r="C3526">
        <v>7</v>
      </c>
      <c r="D3526">
        <v>3</v>
      </c>
      <c r="E3526" s="1">
        <v>-13.98</v>
      </c>
      <c r="F3526" t="s">
        <v>11</v>
      </c>
      <c r="G3526" t="str">
        <f>_xlfn.XLOOKUP(transakcje[[#This Row],[podkategoria]],parametr[podkategoria],parametr[kategoria])</f>
        <v>wydatki inne</v>
      </c>
      <c r="H3526" t="str">
        <f>_xlfn.XLOOKUP(transakcje[[#This Row],[kategoria]],parametr[kategoria],parametr[typ])</f>
        <v>wydatki</v>
      </c>
      <c r="I3526" s="1">
        <f>ABS(transakcje[[#This Row],[kwota]])</f>
        <v>13.98</v>
      </c>
    </row>
    <row r="3527" spans="1:9" x14ac:dyDescent="0.3">
      <c r="A3527">
        <v>3526</v>
      </c>
      <c r="B3527">
        <v>2021</v>
      </c>
      <c r="C3527">
        <v>7</v>
      </c>
      <c r="D3527">
        <v>3</v>
      </c>
      <c r="E3527" s="1">
        <v>-4.9000000000000004</v>
      </c>
      <c r="F3527" t="s">
        <v>37</v>
      </c>
      <c r="G3527" t="str">
        <f>_xlfn.XLOOKUP(transakcje[[#This Row],[podkategoria]],parametr[podkategoria],parametr[kategoria])</f>
        <v>opłaty stałe</v>
      </c>
      <c r="H3527" t="str">
        <f>_xlfn.XLOOKUP(transakcje[[#This Row],[kategoria]],parametr[kategoria],parametr[typ])</f>
        <v>wydatki</v>
      </c>
      <c r="I3527" s="1">
        <f>ABS(transakcje[[#This Row],[kwota]])</f>
        <v>4.9000000000000004</v>
      </c>
    </row>
    <row r="3528" spans="1:9" x14ac:dyDescent="0.3">
      <c r="A3528">
        <v>3527</v>
      </c>
      <c r="B3528">
        <v>2021</v>
      </c>
      <c r="C3528">
        <v>7</v>
      </c>
      <c r="D3528">
        <v>3</v>
      </c>
      <c r="E3528" s="1">
        <v>-22.747999999999998</v>
      </c>
      <c r="F3528" t="s">
        <v>34</v>
      </c>
      <c r="G3528" t="str">
        <f>_xlfn.XLOOKUP(transakcje[[#This Row],[podkategoria]],parametr[podkategoria],parametr[kategoria])</f>
        <v>opłaty stałe</v>
      </c>
      <c r="H3528" t="str">
        <f>_xlfn.XLOOKUP(transakcje[[#This Row],[kategoria]],parametr[kategoria],parametr[typ])</f>
        <v>wydatki</v>
      </c>
      <c r="I3528" s="1">
        <f>ABS(transakcje[[#This Row],[kwota]])</f>
        <v>22.747999999999998</v>
      </c>
    </row>
    <row r="3529" spans="1:9" x14ac:dyDescent="0.3">
      <c r="A3529">
        <v>3528</v>
      </c>
      <c r="B3529">
        <v>2021</v>
      </c>
      <c r="C3529">
        <v>7</v>
      </c>
      <c r="D3529">
        <v>3</v>
      </c>
      <c r="E3529" s="1">
        <v>-38.134</v>
      </c>
      <c r="F3529" t="s">
        <v>35</v>
      </c>
      <c r="G3529" t="str">
        <f>_xlfn.XLOOKUP(transakcje[[#This Row],[podkategoria]],parametr[podkategoria],parametr[kategoria])</f>
        <v>opłaty stałe</v>
      </c>
      <c r="H3529" t="str">
        <f>_xlfn.XLOOKUP(transakcje[[#This Row],[kategoria]],parametr[kategoria],parametr[typ])</f>
        <v>wydatki</v>
      </c>
      <c r="I3529" s="1">
        <f>ABS(transakcje[[#This Row],[kwota]])</f>
        <v>38.134</v>
      </c>
    </row>
    <row r="3530" spans="1:9" x14ac:dyDescent="0.3">
      <c r="A3530">
        <v>3529</v>
      </c>
      <c r="B3530">
        <v>2021</v>
      </c>
      <c r="C3530">
        <v>7</v>
      </c>
      <c r="D3530">
        <v>3</v>
      </c>
      <c r="E3530" s="1">
        <v>-5.8</v>
      </c>
      <c r="F3530" t="s">
        <v>25</v>
      </c>
      <c r="G3530" t="str">
        <f>_xlfn.XLOOKUP(transakcje[[#This Row],[podkategoria]],parametr[podkategoria],parametr[kategoria])</f>
        <v>opłaty stałe</v>
      </c>
      <c r="H3530" t="str">
        <f>_xlfn.XLOOKUP(transakcje[[#This Row],[kategoria]],parametr[kategoria],parametr[typ])</f>
        <v>wydatki</v>
      </c>
      <c r="I3530" s="1">
        <f>ABS(transakcje[[#This Row],[kwota]])</f>
        <v>5.8</v>
      </c>
    </row>
    <row r="3531" spans="1:9" x14ac:dyDescent="0.3">
      <c r="A3531">
        <v>3530</v>
      </c>
      <c r="B3531">
        <v>2021</v>
      </c>
      <c r="C3531">
        <v>7</v>
      </c>
      <c r="D3531">
        <v>3</v>
      </c>
      <c r="E3531" s="1">
        <v>-7.38</v>
      </c>
      <c r="F3531" t="s">
        <v>23</v>
      </c>
      <c r="G3531" t="str">
        <f>_xlfn.XLOOKUP(transakcje[[#This Row],[podkategoria]],parametr[podkategoria],parametr[kategoria])</f>
        <v>opłaty stałe</v>
      </c>
      <c r="H3531" t="str">
        <f>_xlfn.XLOOKUP(transakcje[[#This Row],[kategoria]],parametr[kategoria],parametr[typ])</f>
        <v>wydatki</v>
      </c>
      <c r="I3531" s="1">
        <f>ABS(transakcje[[#This Row],[kwota]])</f>
        <v>7.38</v>
      </c>
    </row>
    <row r="3532" spans="1:9" x14ac:dyDescent="0.3">
      <c r="A3532">
        <v>3531</v>
      </c>
      <c r="B3532">
        <v>2021</v>
      </c>
      <c r="C3532">
        <v>7</v>
      </c>
      <c r="D3532">
        <v>3</v>
      </c>
      <c r="E3532" s="1">
        <v>-72.304000000000002</v>
      </c>
      <c r="F3532" t="s">
        <v>31</v>
      </c>
      <c r="G3532" t="str">
        <f>_xlfn.XLOOKUP(transakcje[[#This Row],[podkategoria]],parametr[podkategoria],parametr[kategoria])</f>
        <v>opłaty stałe</v>
      </c>
      <c r="H3532" t="str">
        <f>_xlfn.XLOOKUP(transakcje[[#This Row],[kategoria]],parametr[kategoria],parametr[typ])</f>
        <v>wydatki</v>
      </c>
      <c r="I3532" s="1">
        <f>ABS(transakcje[[#This Row],[kwota]])</f>
        <v>72.304000000000002</v>
      </c>
    </row>
    <row r="3533" spans="1:9" x14ac:dyDescent="0.3">
      <c r="A3533">
        <v>3532</v>
      </c>
      <c r="B3533">
        <v>2021</v>
      </c>
      <c r="C3533">
        <v>7</v>
      </c>
      <c r="D3533">
        <v>3</v>
      </c>
      <c r="E3533" s="1">
        <v>-31.96</v>
      </c>
      <c r="F3533" t="s">
        <v>32</v>
      </c>
      <c r="G3533" t="str">
        <f>_xlfn.XLOOKUP(transakcje[[#This Row],[podkategoria]],parametr[podkategoria],parametr[kategoria])</f>
        <v>opłaty stałe</v>
      </c>
      <c r="H3533" t="str">
        <f>_xlfn.XLOOKUP(transakcje[[#This Row],[kategoria]],parametr[kategoria],parametr[typ])</f>
        <v>wydatki</v>
      </c>
      <c r="I3533" s="1">
        <f>ABS(transakcje[[#This Row],[kwota]])</f>
        <v>31.96</v>
      </c>
    </row>
    <row r="3534" spans="1:9" x14ac:dyDescent="0.3">
      <c r="A3534">
        <v>3533</v>
      </c>
      <c r="B3534">
        <v>2021</v>
      </c>
      <c r="C3534">
        <v>7</v>
      </c>
      <c r="D3534">
        <v>5</v>
      </c>
      <c r="E3534" s="1">
        <v>-0.72399999999999998</v>
      </c>
      <c r="F3534" t="s">
        <v>26</v>
      </c>
      <c r="G3534" t="str">
        <f>_xlfn.XLOOKUP(transakcje[[#This Row],[podkategoria]],parametr[podkategoria],parametr[kategoria])</f>
        <v>życie</v>
      </c>
      <c r="H3534" t="str">
        <f>_xlfn.XLOOKUP(transakcje[[#This Row],[kategoria]],parametr[kategoria],parametr[typ])</f>
        <v>wydatki</v>
      </c>
      <c r="I3534" s="1">
        <f>ABS(transakcje[[#This Row],[kwota]])</f>
        <v>0.72399999999999998</v>
      </c>
    </row>
    <row r="3535" spans="1:9" x14ac:dyDescent="0.3">
      <c r="A3535">
        <v>3534</v>
      </c>
      <c r="B3535">
        <v>2021</v>
      </c>
      <c r="C3535">
        <v>7</v>
      </c>
      <c r="D3535">
        <v>6</v>
      </c>
      <c r="E3535" s="1">
        <v>-9.8659999999999997</v>
      </c>
      <c r="F3535" t="s">
        <v>26</v>
      </c>
      <c r="G3535" t="str">
        <f>_xlfn.XLOOKUP(transakcje[[#This Row],[podkategoria]],parametr[podkategoria],parametr[kategoria])</f>
        <v>życie</v>
      </c>
      <c r="H3535" t="str">
        <f>_xlfn.XLOOKUP(transakcje[[#This Row],[kategoria]],parametr[kategoria],parametr[typ])</f>
        <v>wydatki</v>
      </c>
      <c r="I3535" s="1">
        <f>ABS(transakcje[[#This Row],[kwota]])</f>
        <v>9.8659999999999997</v>
      </c>
    </row>
    <row r="3536" spans="1:9" x14ac:dyDescent="0.3">
      <c r="A3536">
        <v>3535</v>
      </c>
      <c r="B3536">
        <v>2021</v>
      </c>
      <c r="C3536">
        <v>7</v>
      </c>
      <c r="D3536">
        <v>7</v>
      </c>
      <c r="E3536" s="1">
        <v>-4.8840000000000003</v>
      </c>
      <c r="F3536" t="s">
        <v>26</v>
      </c>
      <c r="G3536" t="str">
        <f>_xlfn.XLOOKUP(transakcje[[#This Row],[podkategoria]],parametr[podkategoria],parametr[kategoria])</f>
        <v>życie</v>
      </c>
      <c r="H3536" t="str">
        <f>_xlfn.XLOOKUP(transakcje[[#This Row],[kategoria]],parametr[kategoria],parametr[typ])</f>
        <v>wydatki</v>
      </c>
      <c r="I3536" s="1">
        <f>ABS(transakcje[[#This Row],[kwota]])</f>
        <v>4.8840000000000003</v>
      </c>
    </row>
    <row r="3537" spans="1:9" x14ac:dyDescent="0.3">
      <c r="A3537">
        <v>3536</v>
      </c>
      <c r="B3537">
        <v>2021</v>
      </c>
      <c r="C3537">
        <v>7</v>
      </c>
      <c r="D3537">
        <v>7</v>
      </c>
      <c r="E3537" s="1">
        <v>-11.302</v>
      </c>
      <c r="F3537" t="s">
        <v>26</v>
      </c>
      <c r="G3537" t="str">
        <f>_xlfn.XLOOKUP(transakcje[[#This Row],[podkategoria]],parametr[podkategoria],parametr[kategoria])</f>
        <v>życie</v>
      </c>
      <c r="H3537" t="str">
        <f>_xlfn.XLOOKUP(transakcje[[#This Row],[kategoria]],parametr[kategoria],parametr[typ])</f>
        <v>wydatki</v>
      </c>
      <c r="I3537" s="1">
        <f>ABS(transakcje[[#This Row],[kwota]])</f>
        <v>11.302</v>
      </c>
    </row>
    <row r="3538" spans="1:9" x14ac:dyDescent="0.3">
      <c r="A3538">
        <v>3537</v>
      </c>
      <c r="B3538">
        <v>2021</v>
      </c>
      <c r="C3538">
        <v>7</v>
      </c>
      <c r="D3538">
        <v>8</v>
      </c>
      <c r="E3538" s="1">
        <v>-0.72399999999999998</v>
      </c>
      <c r="F3538" t="s">
        <v>26</v>
      </c>
      <c r="G3538" t="str">
        <f>_xlfn.XLOOKUP(transakcje[[#This Row],[podkategoria]],parametr[podkategoria],parametr[kategoria])</f>
        <v>życie</v>
      </c>
      <c r="H3538" t="str">
        <f>_xlfn.XLOOKUP(transakcje[[#This Row],[kategoria]],parametr[kategoria],parametr[typ])</f>
        <v>wydatki</v>
      </c>
      <c r="I3538" s="1">
        <f>ABS(transakcje[[#This Row],[kwota]])</f>
        <v>0.72399999999999998</v>
      </c>
    </row>
    <row r="3539" spans="1:9" x14ac:dyDescent="0.3">
      <c r="A3539">
        <v>3538</v>
      </c>
      <c r="B3539">
        <v>2021</v>
      </c>
      <c r="C3539">
        <v>7</v>
      </c>
      <c r="D3539">
        <v>8</v>
      </c>
      <c r="E3539" s="1">
        <v>-7.2060000000000004</v>
      </c>
      <c r="F3539" t="s">
        <v>26</v>
      </c>
      <c r="G3539" t="str">
        <f>_xlfn.XLOOKUP(transakcje[[#This Row],[podkategoria]],parametr[podkategoria],parametr[kategoria])</f>
        <v>życie</v>
      </c>
      <c r="H3539" t="str">
        <f>_xlfn.XLOOKUP(transakcje[[#This Row],[kategoria]],parametr[kategoria],parametr[typ])</f>
        <v>wydatki</v>
      </c>
      <c r="I3539" s="1">
        <f>ABS(transakcje[[#This Row],[kwota]])</f>
        <v>7.2060000000000004</v>
      </c>
    </row>
    <row r="3540" spans="1:9" x14ac:dyDescent="0.3">
      <c r="A3540">
        <v>3539</v>
      </c>
      <c r="B3540">
        <v>2021</v>
      </c>
      <c r="C3540">
        <v>7</v>
      </c>
      <c r="D3540">
        <v>10</v>
      </c>
      <c r="E3540" s="1">
        <v>-31.6</v>
      </c>
      <c r="F3540" t="s">
        <v>11</v>
      </c>
      <c r="G3540" t="str">
        <f>_xlfn.XLOOKUP(transakcje[[#This Row],[podkategoria]],parametr[podkategoria],parametr[kategoria])</f>
        <v>wydatki inne</v>
      </c>
      <c r="H3540" t="str">
        <f>_xlfn.XLOOKUP(transakcje[[#This Row],[kategoria]],parametr[kategoria],parametr[typ])</f>
        <v>wydatki</v>
      </c>
      <c r="I3540" s="1">
        <f>ABS(transakcje[[#This Row],[kwota]])</f>
        <v>31.6</v>
      </c>
    </row>
    <row r="3541" spans="1:9" x14ac:dyDescent="0.3">
      <c r="A3541">
        <v>3540</v>
      </c>
      <c r="B3541">
        <v>2021</v>
      </c>
      <c r="C3541">
        <v>7</v>
      </c>
      <c r="D3541">
        <v>12</v>
      </c>
      <c r="E3541" s="1">
        <v>-3.3579999999999997</v>
      </c>
      <c r="F3541" t="s">
        <v>26</v>
      </c>
      <c r="G3541" t="str">
        <f>_xlfn.XLOOKUP(transakcje[[#This Row],[podkategoria]],parametr[podkategoria],parametr[kategoria])</f>
        <v>życie</v>
      </c>
      <c r="H3541" t="str">
        <f>_xlfn.XLOOKUP(transakcje[[#This Row],[kategoria]],parametr[kategoria],parametr[typ])</f>
        <v>wydatki</v>
      </c>
      <c r="I3541" s="1">
        <f>ABS(transakcje[[#This Row],[kwota]])</f>
        <v>3.3579999999999997</v>
      </c>
    </row>
    <row r="3542" spans="1:9" x14ac:dyDescent="0.3">
      <c r="A3542">
        <v>3541</v>
      </c>
      <c r="B3542">
        <v>2021</v>
      </c>
      <c r="C3542">
        <v>7</v>
      </c>
      <c r="D3542">
        <v>12</v>
      </c>
      <c r="E3542" s="1">
        <v>-0.72399999999999998</v>
      </c>
      <c r="F3542" t="s">
        <v>26</v>
      </c>
      <c r="G3542" t="str">
        <f>_xlfn.XLOOKUP(transakcje[[#This Row],[podkategoria]],parametr[podkategoria],parametr[kategoria])</f>
        <v>życie</v>
      </c>
      <c r="H3542" t="str">
        <f>_xlfn.XLOOKUP(transakcje[[#This Row],[kategoria]],parametr[kategoria],parametr[typ])</f>
        <v>wydatki</v>
      </c>
      <c r="I3542" s="1">
        <f>ABS(transakcje[[#This Row],[kwota]])</f>
        <v>0.72399999999999998</v>
      </c>
    </row>
    <row r="3543" spans="1:9" x14ac:dyDescent="0.3">
      <c r="A3543">
        <v>3542</v>
      </c>
      <c r="B3543">
        <v>2021</v>
      </c>
      <c r="C3543">
        <v>7</v>
      </c>
      <c r="D3543">
        <v>12</v>
      </c>
      <c r="E3543" s="1">
        <v>-5.0640000000000001</v>
      </c>
      <c r="F3543" t="s">
        <v>26</v>
      </c>
      <c r="G3543" t="str">
        <f>_xlfn.XLOOKUP(transakcje[[#This Row],[podkategoria]],parametr[podkategoria],parametr[kategoria])</f>
        <v>życie</v>
      </c>
      <c r="H3543" t="str">
        <f>_xlfn.XLOOKUP(transakcje[[#This Row],[kategoria]],parametr[kategoria],parametr[typ])</f>
        <v>wydatki</v>
      </c>
      <c r="I3543" s="1">
        <f>ABS(transakcje[[#This Row],[kwota]])</f>
        <v>5.0640000000000001</v>
      </c>
    </row>
    <row r="3544" spans="1:9" x14ac:dyDescent="0.3">
      <c r="A3544">
        <v>3543</v>
      </c>
      <c r="B3544">
        <v>2021</v>
      </c>
      <c r="C3544">
        <v>7</v>
      </c>
      <c r="D3544">
        <v>13</v>
      </c>
      <c r="E3544" s="1">
        <v>-0.39800000000000002</v>
      </c>
      <c r="F3544" t="s">
        <v>14</v>
      </c>
      <c r="G3544" t="str">
        <f>_xlfn.XLOOKUP(transakcje[[#This Row],[podkategoria]],parametr[podkategoria],parametr[kategoria])</f>
        <v>opłaty stałe</v>
      </c>
      <c r="H3544" t="str">
        <f>_xlfn.XLOOKUP(transakcje[[#This Row],[kategoria]],parametr[kategoria],parametr[typ])</f>
        <v>wydatki</v>
      </c>
      <c r="I3544" s="1">
        <f>ABS(transakcje[[#This Row],[kwota]])</f>
        <v>0.39800000000000002</v>
      </c>
    </row>
    <row r="3545" spans="1:9" x14ac:dyDescent="0.3">
      <c r="A3545">
        <v>3544</v>
      </c>
      <c r="B3545">
        <v>2021</v>
      </c>
      <c r="C3545">
        <v>7</v>
      </c>
      <c r="D3545">
        <v>15</v>
      </c>
      <c r="E3545" s="1">
        <v>-0.72399999999999998</v>
      </c>
      <c r="F3545" t="s">
        <v>26</v>
      </c>
      <c r="G3545" t="str">
        <f>_xlfn.XLOOKUP(transakcje[[#This Row],[podkategoria]],parametr[podkategoria],parametr[kategoria])</f>
        <v>życie</v>
      </c>
      <c r="H3545" t="str">
        <f>_xlfn.XLOOKUP(transakcje[[#This Row],[kategoria]],parametr[kategoria],parametr[typ])</f>
        <v>wydatki</v>
      </c>
      <c r="I3545" s="1">
        <f>ABS(transakcje[[#This Row],[kwota]])</f>
        <v>0.72399999999999998</v>
      </c>
    </row>
    <row r="3546" spans="1:9" x14ac:dyDescent="0.3">
      <c r="A3546">
        <v>3545</v>
      </c>
      <c r="B3546">
        <v>2021</v>
      </c>
      <c r="C3546">
        <v>7</v>
      </c>
      <c r="D3546">
        <v>15</v>
      </c>
      <c r="E3546" s="1">
        <v>-4.8499999999999996</v>
      </c>
      <c r="F3546" t="s">
        <v>26</v>
      </c>
      <c r="G3546" t="str">
        <f>_xlfn.XLOOKUP(transakcje[[#This Row],[podkategoria]],parametr[podkategoria],parametr[kategoria])</f>
        <v>życie</v>
      </c>
      <c r="H3546" t="str">
        <f>_xlfn.XLOOKUP(transakcje[[#This Row],[kategoria]],parametr[kategoria],parametr[typ])</f>
        <v>wydatki</v>
      </c>
      <c r="I3546" s="1">
        <f>ABS(transakcje[[#This Row],[kwota]])</f>
        <v>4.8499999999999996</v>
      </c>
    </row>
    <row r="3547" spans="1:9" x14ac:dyDescent="0.3">
      <c r="A3547">
        <v>3546</v>
      </c>
      <c r="B3547">
        <v>2021</v>
      </c>
      <c r="C3547">
        <v>7</v>
      </c>
      <c r="D3547">
        <v>17</v>
      </c>
      <c r="E3547" s="1">
        <v>-47.998000000000005</v>
      </c>
      <c r="F3547" t="s">
        <v>11</v>
      </c>
      <c r="G3547" t="str">
        <f>_xlfn.XLOOKUP(transakcje[[#This Row],[podkategoria]],parametr[podkategoria],parametr[kategoria])</f>
        <v>wydatki inne</v>
      </c>
      <c r="H3547" t="str">
        <f>_xlfn.XLOOKUP(transakcje[[#This Row],[kategoria]],parametr[kategoria],parametr[typ])</f>
        <v>wydatki</v>
      </c>
      <c r="I3547" s="1">
        <f>ABS(transakcje[[#This Row],[kwota]])</f>
        <v>47.998000000000005</v>
      </c>
    </row>
    <row r="3548" spans="1:9" x14ac:dyDescent="0.3">
      <c r="A3548">
        <v>3547</v>
      </c>
      <c r="B3548">
        <v>2021</v>
      </c>
      <c r="C3548">
        <v>7</v>
      </c>
      <c r="D3548">
        <v>19</v>
      </c>
      <c r="E3548" s="1">
        <v>-6.9959999999999996</v>
      </c>
      <c r="F3548" t="s">
        <v>26</v>
      </c>
      <c r="G3548" t="str">
        <f>_xlfn.XLOOKUP(transakcje[[#This Row],[podkategoria]],parametr[podkategoria],parametr[kategoria])</f>
        <v>życie</v>
      </c>
      <c r="H3548" t="str">
        <f>_xlfn.XLOOKUP(transakcje[[#This Row],[kategoria]],parametr[kategoria],parametr[typ])</f>
        <v>wydatki</v>
      </c>
      <c r="I3548" s="1">
        <f>ABS(transakcje[[#This Row],[kwota]])</f>
        <v>6.9959999999999996</v>
      </c>
    </row>
    <row r="3549" spans="1:9" x14ac:dyDescent="0.3">
      <c r="A3549">
        <v>3548</v>
      </c>
      <c r="B3549">
        <v>2021</v>
      </c>
      <c r="C3549">
        <v>7</v>
      </c>
      <c r="D3549">
        <v>19</v>
      </c>
      <c r="E3549" s="1">
        <v>-5.3040000000000003</v>
      </c>
      <c r="F3549" t="s">
        <v>26</v>
      </c>
      <c r="G3549" t="str">
        <f>_xlfn.XLOOKUP(transakcje[[#This Row],[podkategoria]],parametr[podkategoria],parametr[kategoria])</f>
        <v>życie</v>
      </c>
      <c r="H3549" t="str">
        <f>_xlfn.XLOOKUP(transakcje[[#This Row],[kategoria]],parametr[kategoria],parametr[typ])</f>
        <v>wydatki</v>
      </c>
      <c r="I3549" s="1">
        <f>ABS(transakcje[[#This Row],[kwota]])</f>
        <v>5.3040000000000003</v>
      </c>
    </row>
    <row r="3550" spans="1:9" x14ac:dyDescent="0.3">
      <c r="A3550">
        <v>3549</v>
      </c>
      <c r="B3550">
        <v>2021</v>
      </c>
      <c r="C3550">
        <v>7</v>
      </c>
      <c r="D3550">
        <v>20</v>
      </c>
      <c r="E3550" s="1">
        <v>-0.72399999999999998</v>
      </c>
      <c r="F3550" t="s">
        <v>26</v>
      </c>
      <c r="G3550" t="str">
        <f>_xlfn.XLOOKUP(transakcje[[#This Row],[podkategoria]],parametr[podkategoria],parametr[kategoria])</f>
        <v>życie</v>
      </c>
      <c r="H3550" t="str">
        <f>_xlfn.XLOOKUP(transakcje[[#This Row],[kategoria]],parametr[kategoria],parametr[typ])</f>
        <v>wydatki</v>
      </c>
      <c r="I3550" s="1">
        <f>ABS(transakcje[[#This Row],[kwota]])</f>
        <v>0.72399999999999998</v>
      </c>
    </row>
    <row r="3551" spans="1:9" x14ac:dyDescent="0.3">
      <c r="A3551">
        <v>3550</v>
      </c>
      <c r="B3551">
        <v>2021</v>
      </c>
      <c r="C3551">
        <v>7</v>
      </c>
      <c r="D3551">
        <v>21</v>
      </c>
      <c r="E3551" s="1">
        <v>155.15199999999999</v>
      </c>
      <c r="F3551" t="s">
        <v>19</v>
      </c>
      <c r="G3551" t="str">
        <f>_xlfn.XLOOKUP(transakcje[[#This Row],[podkategoria]],parametr[podkategoria],parametr[kategoria])</f>
        <v>dochody z pracy</v>
      </c>
      <c r="H3551" t="str">
        <f>_xlfn.XLOOKUP(transakcje[[#This Row],[kategoria]],parametr[kategoria],parametr[typ])</f>
        <v>dochody</v>
      </c>
      <c r="I3551" s="1">
        <f>ABS(transakcje[[#This Row],[kwota]])</f>
        <v>155.15199999999999</v>
      </c>
    </row>
    <row r="3552" spans="1:9" x14ac:dyDescent="0.3">
      <c r="A3552">
        <v>3551</v>
      </c>
      <c r="B3552">
        <v>2021</v>
      </c>
      <c r="C3552">
        <v>7</v>
      </c>
      <c r="D3552">
        <v>21</v>
      </c>
      <c r="E3552" s="1">
        <v>-9.2480000000000011</v>
      </c>
      <c r="F3552" t="s">
        <v>26</v>
      </c>
      <c r="G3552" t="str">
        <f>_xlfn.XLOOKUP(transakcje[[#This Row],[podkategoria]],parametr[podkategoria],parametr[kategoria])</f>
        <v>życie</v>
      </c>
      <c r="H3552" t="str">
        <f>_xlfn.XLOOKUP(transakcje[[#This Row],[kategoria]],parametr[kategoria],parametr[typ])</f>
        <v>wydatki</v>
      </c>
      <c r="I3552" s="1">
        <f>ABS(transakcje[[#This Row],[kwota]])</f>
        <v>9.2480000000000011</v>
      </c>
    </row>
    <row r="3553" spans="1:9" x14ac:dyDescent="0.3">
      <c r="A3553">
        <v>3552</v>
      </c>
      <c r="B3553">
        <v>2021</v>
      </c>
      <c r="C3553">
        <v>7</v>
      </c>
      <c r="D3553">
        <v>22</v>
      </c>
      <c r="E3553" s="1">
        <v>740.91800000000001</v>
      </c>
      <c r="F3553" t="s">
        <v>8</v>
      </c>
      <c r="G3553" t="str">
        <f>_xlfn.XLOOKUP(transakcje[[#This Row],[podkategoria]],parametr[podkategoria],parametr[kategoria])</f>
        <v>dochody z pracy</v>
      </c>
      <c r="H3553" t="str">
        <f>_xlfn.XLOOKUP(transakcje[[#This Row],[kategoria]],parametr[kategoria],parametr[typ])</f>
        <v>dochody</v>
      </c>
      <c r="I3553" s="1">
        <f>ABS(transakcje[[#This Row],[kwota]])</f>
        <v>740.91800000000001</v>
      </c>
    </row>
    <row r="3554" spans="1:9" x14ac:dyDescent="0.3">
      <c r="A3554">
        <v>3553</v>
      </c>
      <c r="B3554">
        <v>2021</v>
      </c>
      <c r="C3554">
        <v>7</v>
      </c>
      <c r="D3554">
        <v>22</v>
      </c>
      <c r="E3554" s="1">
        <v>-1.524</v>
      </c>
      <c r="F3554" t="s">
        <v>26</v>
      </c>
      <c r="G3554" t="str">
        <f>_xlfn.XLOOKUP(transakcje[[#This Row],[podkategoria]],parametr[podkategoria],parametr[kategoria])</f>
        <v>życie</v>
      </c>
      <c r="H3554" t="str">
        <f>_xlfn.XLOOKUP(transakcje[[#This Row],[kategoria]],parametr[kategoria],parametr[typ])</f>
        <v>wydatki</v>
      </c>
      <c r="I3554" s="1">
        <f>ABS(transakcje[[#This Row],[kwota]])</f>
        <v>1.524</v>
      </c>
    </row>
    <row r="3555" spans="1:9" x14ac:dyDescent="0.3">
      <c r="A3555">
        <v>3554</v>
      </c>
      <c r="B3555">
        <v>2021</v>
      </c>
      <c r="C3555">
        <v>7</v>
      </c>
      <c r="D3555">
        <v>22</v>
      </c>
      <c r="E3555" s="1">
        <v>-2.798</v>
      </c>
      <c r="F3555" t="s">
        <v>26</v>
      </c>
      <c r="G3555" t="str">
        <f>_xlfn.XLOOKUP(transakcje[[#This Row],[podkategoria]],parametr[podkategoria],parametr[kategoria])</f>
        <v>życie</v>
      </c>
      <c r="H3555" t="str">
        <f>_xlfn.XLOOKUP(transakcje[[#This Row],[kategoria]],parametr[kategoria],parametr[typ])</f>
        <v>wydatki</v>
      </c>
      <c r="I3555" s="1">
        <f>ABS(transakcje[[#This Row],[kwota]])</f>
        <v>2.798</v>
      </c>
    </row>
    <row r="3556" spans="1:9" x14ac:dyDescent="0.3">
      <c r="A3556">
        <v>3555</v>
      </c>
      <c r="B3556">
        <v>2021</v>
      </c>
      <c r="C3556">
        <v>7</v>
      </c>
      <c r="D3556">
        <v>23</v>
      </c>
      <c r="E3556" s="1">
        <v>-17.091999999999999</v>
      </c>
      <c r="F3556" t="s">
        <v>26</v>
      </c>
      <c r="G3556" t="str">
        <f>_xlfn.XLOOKUP(transakcje[[#This Row],[podkategoria]],parametr[podkategoria],parametr[kategoria])</f>
        <v>życie</v>
      </c>
      <c r="H3556" t="str">
        <f>_xlfn.XLOOKUP(transakcje[[#This Row],[kategoria]],parametr[kategoria],parametr[typ])</f>
        <v>wydatki</v>
      </c>
      <c r="I3556" s="1">
        <f>ABS(transakcje[[#This Row],[kwota]])</f>
        <v>17.091999999999999</v>
      </c>
    </row>
    <row r="3557" spans="1:9" x14ac:dyDescent="0.3">
      <c r="A3557">
        <v>3556</v>
      </c>
      <c r="B3557">
        <v>2021</v>
      </c>
      <c r="C3557">
        <v>7</v>
      </c>
      <c r="D3557">
        <v>24</v>
      </c>
      <c r="E3557" s="1">
        <v>-61.224000000000004</v>
      </c>
      <c r="F3557" t="s">
        <v>11</v>
      </c>
      <c r="G3557" t="str">
        <f>_xlfn.XLOOKUP(transakcje[[#This Row],[podkategoria]],parametr[podkategoria],parametr[kategoria])</f>
        <v>wydatki inne</v>
      </c>
      <c r="H3557" t="str">
        <f>_xlfn.XLOOKUP(transakcje[[#This Row],[kategoria]],parametr[kategoria],parametr[typ])</f>
        <v>wydatki</v>
      </c>
      <c r="I3557" s="1">
        <f>ABS(transakcje[[#This Row],[kwota]])</f>
        <v>61.224000000000004</v>
      </c>
    </row>
    <row r="3558" spans="1:9" x14ac:dyDescent="0.3">
      <c r="A3558">
        <v>3557</v>
      </c>
      <c r="B3558">
        <v>2021</v>
      </c>
      <c r="C3558">
        <v>7</v>
      </c>
      <c r="D3558">
        <v>24</v>
      </c>
      <c r="E3558" s="1">
        <v>-97.72</v>
      </c>
      <c r="F3558" t="s">
        <v>11</v>
      </c>
      <c r="G3558" t="str">
        <f>_xlfn.XLOOKUP(transakcje[[#This Row],[podkategoria]],parametr[podkategoria],parametr[kategoria])</f>
        <v>wydatki inne</v>
      </c>
      <c r="H3558" t="str">
        <f>_xlfn.XLOOKUP(transakcje[[#This Row],[kategoria]],parametr[kategoria],parametr[typ])</f>
        <v>wydatki</v>
      </c>
      <c r="I3558" s="1">
        <f>ABS(transakcje[[#This Row],[kwota]])</f>
        <v>97.72</v>
      </c>
    </row>
    <row r="3559" spans="1:9" x14ac:dyDescent="0.3">
      <c r="A3559">
        <v>3558</v>
      </c>
      <c r="B3559">
        <v>2021</v>
      </c>
      <c r="C3559">
        <v>7</v>
      </c>
      <c r="D3559">
        <v>24</v>
      </c>
      <c r="E3559" s="1">
        <v>-27.998000000000001</v>
      </c>
      <c r="F3559" t="s">
        <v>11</v>
      </c>
      <c r="G3559" t="str">
        <f>_xlfn.XLOOKUP(transakcje[[#This Row],[podkategoria]],parametr[podkategoria],parametr[kategoria])</f>
        <v>wydatki inne</v>
      </c>
      <c r="H3559" t="str">
        <f>_xlfn.XLOOKUP(transakcje[[#This Row],[kategoria]],parametr[kategoria],parametr[typ])</f>
        <v>wydatki</v>
      </c>
      <c r="I3559" s="1">
        <f>ABS(transakcje[[#This Row],[kwota]])</f>
        <v>27.998000000000001</v>
      </c>
    </row>
    <row r="3560" spans="1:9" x14ac:dyDescent="0.3">
      <c r="A3560">
        <v>3559</v>
      </c>
      <c r="B3560">
        <v>2021</v>
      </c>
      <c r="C3560">
        <v>7</v>
      </c>
      <c r="D3560">
        <v>27</v>
      </c>
      <c r="E3560" s="1">
        <v>-1.1460000000000001</v>
      </c>
      <c r="F3560" t="s">
        <v>26</v>
      </c>
      <c r="G3560" t="str">
        <f>_xlfn.XLOOKUP(transakcje[[#This Row],[podkategoria]],parametr[podkategoria],parametr[kategoria])</f>
        <v>życie</v>
      </c>
      <c r="H3560" t="str">
        <f>_xlfn.XLOOKUP(transakcje[[#This Row],[kategoria]],parametr[kategoria],parametr[typ])</f>
        <v>wydatki</v>
      </c>
      <c r="I3560" s="1">
        <f>ABS(transakcje[[#This Row],[kwota]])</f>
        <v>1.1460000000000001</v>
      </c>
    </row>
    <row r="3561" spans="1:9" x14ac:dyDescent="0.3">
      <c r="A3561">
        <v>3560</v>
      </c>
      <c r="B3561">
        <v>2021</v>
      </c>
      <c r="C3561">
        <v>7</v>
      </c>
      <c r="D3561">
        <v>27</v>
      </c>
      <c r="E3561" s="1">
        <v>-6.4319999999999995</v>
      </c>
      <c r="F3561" t="s">
        <v>26</v>
      </c>
      <c r="G3561" t="str">
        <f>_xlfn.XLOOKUP(transakcje[[#This Row],[podkategoria]],parametr[podkategoria],parametr[kategoria])</f>
        <v>życie</v>
      </c>
      <c r="H3561" t="str">
        <f>_xlfn.XLOOKUP(transakcje[[#This Row],[kategoria]],parametr[kategoria],parametr[typ])</f>
        <v>wydatki</v>
      </c>
      <c r="I3561" s="1">
        <f>ABS(transakcje[[#This Row],[kwota]])</f>
        <v>6.4319999999999995</v>
      </c>
    </row>
    <row r="3562" spans="1:9" x14ac:dyDescent="0.3">
      <c r="A3562">
        <v>3561</v>
      </c>
      <c r="B3562">
        <v>2021</v>
      </c>
      <c r="C3562">
        <v>7</v>
      </c>
      <c r="D3562">
        <v>28</v>
      </c>
      <c r="E3562" s="1">
        <v>-0.72399999999999998</v>
      </c>
      <c r="F3562" t="s">
        <v>26</v>
      </c>
      <c r="G3562" t="str">
        <f>_xlfn.XLOOKUP(transakcje[[#This Row],[podkategoria]],parametr[podkategoria],parametr[kategoria])</f>
        <v>życie</v>
      </c>
      <c r="H3562" t="str">
        <f>_xlfn.XLOOKUP(transakcje[[#This Row],[kategoria]],parametr[kategoria],parametr[typ])</f>
        <v>wydatki</v>
      </c>
      <c r="I3562" s="1">
        <f>ABS(transakcje[[#This Row],[kwota]])</f>
        <v>0.72399999999999998</v>
      </c>
    </row>
    <row r="3563" spans="1:9" x14ac:dyDescent="0.3">
      <c r="A3563">
        <v>3562</v>
      </c>
      <c r="B3563">
        <v>2021</v>
      </c>
      <c r="C3563">
        <v>7</v>
      </c>
      <c r="D3563">
        <v>30</v>
      </c>
      <c r="E3563" s="1">
        <v>-5.1020000000000003</v>
      </c>
      <c r="F3563" t="s">
        <v>26</v>
      </c>
      <c r="G3563" t="str">
        <f>_xlfn.XLOOKUP(transakcje[[#This Row],[podkategoria]],parametr[podkategoria],parametr[kategoria])</f>
        <v>życie</v>
      </c>
      <c r="H3563" t="str">
        <f>_xlfn.XLOOKUP(transakcje[[#This Row],[kategoria]],parametr[kategoria],parametr[typ])</f>
        <v>wydatki</v>
      </c>
      <c r="I3563" s="1">
        <f>ABS(transakcje[[#This Row],[kwota]])</f>
        <v>5.1020000000000003</v>
      </c>
    </row>
    <row r="3564" spans="1:9" x14ac:dyDescent="0.3">
      <c r="A3564">
        <v>3563</v>
      </c>
      <c r="B3564">
        <v>2021</v>
      </c>
      <c r="C3564">
        <v>7</v>
      </c>
      <c r="D3564">
        <v>30</v>
      </c>
      <c r="E3564" s="1">
        <v>-13.6</v>
      </c>
      <c r="F3564" t="s">
        <v>26</v>
      </c>
      <c r="G3564" t="str">
        <f>_xlfn.XLOOKUP(transakcje[[#This Row],[podkategoria]],parametr[podkategoria],parametr[kategoria])</f>
        <v>życie</v>
      </c>
      <c r="H3564" t="str">
        <f>_xlfn.XLOOKUP(transakcje[[#This Row],[kategoria]],parametr[kategoria],parametr[typ])</f>
        <v>wydatki</v>
      </c>
      <c r="I3564" s="1">
        <f>ABS(transakcje[[#This Row],[kwota]])</f>
        <v>13.6</v>
      </c>
    </row>
    <row r="3565" spans="1:9" x14ac:dyDescent="0.3">
      <c r="A3565">
        <v>3564</v>
      </c>
      <c r="B3565">
        <v>2021</v>
      </c>
      <c r="C3565">
        <v>7</v>
      </c>
      <c r="D3565">
        <v>31</v>
      </c>
      <c r="E3565" s="1">
        <v>-1</v>
      </c>
      <c r="F3565" t="s">
        <v>14</v>
      </c>
      <c r="G3565" t="str">
        <f>_xlfn.XLOOKUP(transakcje[[#This Row],[podkategoria]],parametr[podkategoria],parametr[kategoria])</f>
        <v>opłaty stałe</v>
      </c>
      <c r="H3565" t="str">
        <f>_xlfn.XLOOKUP(transakcje[[#This Row],[kategoria]],parametr[kategoria],parametr[typ])</f>
        <v>wydatki</v>
      </c>
      <c r="I3565" s="1">
        <f>ABS(transakcje[[#This Row],[kwota]])</f>
        <v>1</v>
      </c>
    </row>
    <row r="3566" spans="1:9" x14ac:dyDescent="0.3">
      <c r="A3566">
        <v>3565</v>
      </c>
      <c r="B3566">
        <v>2021</v>
      </c>
      <c r="C3566">
        <v>7</v>
      </c>
      <c r="D3566">
        <v>31</v>
      </c>
      <c r="E3566" s="1">
        <v>-1.3980000000000001</v>
      </c>
      <c r="F3566" t="s">
        <v>14</v>
      </c>
      <c r="G3566" t="str">
        <f>_xlfn.XLOOKUP(transakcje[[#This Row],[podkategoria]],parametr[podkategoria],parametr[kategoria])</f>
        <v>opłaty stałe</v>
      </c>
      <c r="H3566" t="str">
        <f>_xlfn.XLOOKUP(transakcje[[#This Row],[kategoria]],parametr[kategoria],parametr[typ])</f>
        <v>wydatki</v>
      </c>
      <c r="I3566" s="1">
        <f>ABS(transakcje[[#This Row],[kwota]])</f>
        <v>1.3980000000000001</v>
      </c>
    </row>
    <row r="3567" spans="1:9" x14ac:dyDescent="0.3">
      <c r="A3567">
        <v>3566</v>
      </c>
      <c r="B3567">
        <v>2021</v>
      </c>
      <c r="C3567">
        <v>7</v>
      </c>
      <c r="D3567">
        <v>31</v>
      </c>
      <c r="E3567" s="1">
        <v>6.0000000000000001E-3</v>
      </c>
      <c r="F3567" t="s">
        <v>17</v>
      </c>
      <c r="G3567" t="str">
        <f>_xlfn.XLOOKUP(transakcje[[#This Row],[podkategoria]],parametr[podkategoria],parametr[kategoria])</f>
        <v>dochody pozostałe</v>
      </c>
      <c r="H3567" t="str">
        <f>_xlfn.XLOOKUP(transakcje[[#This Row],[kategoria]],parametr[kategoria],parametr[typ])</f>
        <v>dochody</v>
      </c>
      <c r="I3567" s="1">
        <f>ABS(transakcje[[#This Row],[kwota]])</f>
        <v>6.0000000000000001E-3</v>
      </c>
    </row>
    <row r="3568" spans="1:9" x14ac:dyDescent="0.3">
      <c r="A3568">
        <v>3567</v>
      </c>
      <c r="B3568">
        <v>2021</v>
      </c>
      <c r="C3568">
        <v>7</v>
      </c>
      <c r="D3568">
        <v>31</v>
      </c>
      <c r="E3568" s="1">
        <v>-2E-3</v>
      </c>
      <c r="F3568" t="s">
        <v>14</v>
      </c>
      <c r="G3568" t="str">
        <f>_xlfn.XLOOKUP(transakcje[[#This Row],[podkategoria]],parametr[podkategoria],parametr[kategoria])</f>
        <v>opłaty stałe</v>
      </c>
      <c r="H3568" t="str">
        <f>_xlfn.XLOOKUP(transakcje[[#This Row],[kategoria]],parametr[kategoria],parametr[typ])</f>
        <v>wydatki</v>
      </c>
      <c r="I3568" s="1">
        <f>ABS(transakcje[[#This Row],[kwota]])</f>
        <v>2E-3</v>
      </c>
    </row>
    <row r="3569" spans="1:9" x14ac:dyDescent="0.3">
      <c r="A3569">
        <v>3568</v>
      </c>
      <c r="B3569">
        <v>2021</v>
      </c>
      <c r="C3569">
        <v>7</v>
      </c>
      <c r="D3569">
        <v>31</v>
      </c>
      <c r="E3569" s="1">
        <v>-33.799999999999997</v>
      </c>
      <c r="F3569" t="s">
        <v>11</v>
      </c>
      <c r="G3569" t="str">
        <f>_xlfn.XLOOKUP(transakcje[[#This Row],[podkategoria]],parametr[podkategoria],parametr[kategoria])</f>
        <v>wydatki inne</v>
      </c>
      <c r="H3569" t="str">
        <f>_xlfn.XLOOKUP(transakcje[[#This Row],[kategoria]],parametr[kategoria],parametr[typ])</f>
        <v>wydatki</v>
      </c>
      <c r="I3569" s="1">
        <f>ABS(transakcje[[#This Row],[kwota]])</f>
        <v>33.799999999999997</v>
      </c>
    </row>
    <row r="3570" spans="1:9" x14ac:dyDescent="0.3">
      <c r="A3570">
        <v>3569</v>
      </c>
      <c r="B3570">
        <v>2021</v>
      </c>
      <c r="C3570">
        <v>8</v>
      </c>
      <c r="D3570">
        <v>2</v>
      </c>
      <c r="E3570" s="1">
        <v>-4.9000000000000004</v>
      </c>
      <c r="F3570" t="s">
        <v>37</v>
      </c>
      <c r="G3570" t="str">
        <f>_xlfn.XLOOKUP(transakcje[[#This Row],[podkategoria]],parametr[podkategoria],parametr[kategoria])</f>
        <v>opłaty stałe</v>
      </c>
      <c r="H3570" t="str">
        <f>_xlfn.XLOOKUP(transakcje[[#This Row],[kategoria]],parametr[kategoria],parametr[typ])</f>
        <v>wydatki</v>
      </c>
      <c r="I3570" s="1">
        <f>ABS(transakcje[[#This Row],[kwota]])</f>
        <v>4.9000000000000004</v>
      </c>
    </row>
    <row r="3571" spans="1:9" x14ac:dyDescent="0.3">
      <c r="A3571">
        <v>3570</v>
      </c>
      <c r="B3571">
        <v>2021</v>
      </c>
      <c r="C3571">
        <v>8</v>
      </c>
      <c r="D3571">
        <v>2</v>
      </c>
      <c r="E3571" s="1">
        <v>-6.04</v>
      </c>
      <c r="F3571" t="s">
        <v>25</v>
      </c>
      <c r="G3571" t="str">
        <f>_xlfn.XLOOKUP(transakcje[[#This Row],[podkategoria]],parametr[podkategoria],parametr[kategoria])</f>
        <v>opłaty stałe</v>
      </c>
      <c r="H3571" t="str">
        <f>_xlfn.XLOOKUP(transakcje[[#This Row],[kategoria]],parametr[kategoria],parametr[typ])</f>
        <v>wydatki</v>
      </c>
      <c r="I3571" s="1">
        <f>ABS(transakcje[[#This Row],[kwota]])</f>
        <v>6.04</v>
      </c>
    </row>
    <row r="3572" spans="1:9" x14ac:dyDescent="0.3">
      <c r="A3572">
        <v>3571</v>
      </c>
      <c r="B3572">
        <v>2021</v>
      </c>
      <c r="C3572">
        <v>8</v>
      </c>
      <c r="D3572">
        <v>2</v>
      </c>
      <c r="E3572" s="1">
        <v>-7.38</v>
      </c>
      <c r="F3572" t="s">
        <v>23</v>
      </c>
      <c r="G3572" t="str">
        <f>_xlfn.XLOOKUP(transakcje[[#This Row],[podkategoria]],parametr[podkategoria],parametr[kategoria])</f>
        <v>opłaty stałe</v>
      </c>
      <c r="H3572" t="str">
        <f>_xlfn.XLOOKUP(transakcje[[#This Row],[kategoria]],parametr[kategoria],parametr[typ])</f>
        <v>wydatki</v>
      </c>
      <c r="I3572" s="1">
        <f>ABS(transakcje[[#This Row],[kwota]])</f>
        <v>7.38</v>
      </c>
    </row>
    <row r="3573" spans="1:9" x14ac:dyDescent="0.3">
      <c r="A3573">
        <v>3572</v>
      </c>
      <c r="B3573">
        <v>2021</v>
      </c>
      <c r="C3573">
        <v>8</v>
      </c>
      <c r="D3573">
        <v>2</v>
      </c>
      <c r="E3573" s="1">
        <v>-72.304000000000002</v>
      </c>
      <c r="F3573" t="s">
        <v>31</v>
      </c>
      <c r="G3573" t="str">
        <f>_xlfn.XLOOKUP(transakcje[[#This Row],[podkategoria]],parametr[podkategoria],parametr[kategoria])</f>
        <v>opłaty stałe</v>
      </c>
      <c r="H3573" t="str">
        <f>_xlfn.XLOOKUP(transakcje[[#This Row],[kategoria]],parametr[kategoria],parametr[typ])</f>
        <v>wydatki</v>
      </c>
      <c r="I3573" s="1">
        <f>ABS(transakcje[[#This Row],[kwota]])</f>
        <v>72.304000000000002</v>
      </c>
    </row>
    <row r="3574" spans="1:9" x14ac:dyDescent="0.3">
      <c r="A3574">
        <v>3573</v>
      </c>
      <c r="B3574">
        <v>2021</v>
      </c>
      <c r="C3574">
        <v>8</v>
      </c>
      <c r="D3574">
        <v>2</v>
      </c>
      <c r="E3574" s="1">
        <v>-20.399999999999999</v>
      </c>
      <c r="F3574" t="s">
        <v>11</v>
      </c>
      <c r="G3574" t="str">
        <f>_xlfn.XLOOKUP(transakcje[[#This Row],[podkategoria]],parametr[podkategoria],parametr[kategoria])</f>
        <v>wydatki inne</v>
      </c>
      <c r="H3574" t="str">
        <f>_xlfn.XLOOKUP(transakcje[[#This Row],[kategoria]],parametr[kategoria],parametr[typ])</f>
        <v>wydatki</v>
      </c>
      <c r="I3574" s="1">
        <f>ABS(transakcje[[#This Row],[kwota]])</f>
        <v>20.399999999999999</v>
      </c>
    </row>
    <row r="3575" spans="1:9" x14ac:dyDescent="0.3">
      <c r="A3575">
        <v>3574</v>
      </c>
      <c r="B3575">
        <v>2021</v>
      </c>
      <c r="C3575">
        <v>8</v>
      </c>
      <c r="D3575">
        <v>2</v>
      </c>
      <c r="E3575" s="1">
        <v>-0.36199999999999999</v>
      </c>
      <c r="F3575" t="s">
        <v>26</v>
      </c>
      <c r="G3575" t="str">
        <f>_xlfn.XLOOKUP(transakcje[[#This Row],[podkategoria]],parametr[podkategoria],parametr[kategoria])</f>
        <v>życie</v>
      </c>
      <c r="H3575" t="str">
        <f>_xlfn.XLOOKUP(transakcje[[#This Row],[kategoria]],parametr[kategoria],parametr[typ])</f>
        <v>wydatki</v>
      </c>
      <c r="I3575" s="1">
        <f>ABS(transakcje[[#This Row],[kwota]])</f>
        <v>0.36199999999999999</v>
      </c>
    </row>
    <row r="3576" spans="1:9" x14ac:dyDescent="0.3">
      <c r="A3576">
        <v>3575</v>
      </c>
      <c r="B3576">
        <v>2021</v>
      </c>
      <c r="C3576">
        <v>8</v>
      </c>
      <c r="D3576">
        <v>4</v>
      </c>
      <c r="E3576" s="1">
        <v>-3.34</v>
      </c>
      <c r="F3576" t="s">
        <v>26</v>
      </c>
      <c r="G3576" t="str">
        <f>_xlfn.XLOOKUP(transakcje[[#This Row],[podkategoria]],parametr[podkategoria],parametr[kategoria])</f>
        <v>życie</v>
      </c>
      <c r="H3576" t="str">
        <f>_xlfn.XLOOKUP(transakcje[[#This Row],[kategoria]],parametr[kategoria],parametr[typ])</f>
        <v>wydatki</v>
      </c>
      <c r="I3576" s="1">
        <f>ABS(transakcje[[#This Row],[kwota]])</f>
        <v>3.34</v>
      </c>
    </row>
    <row r="3577" spans="1:9" x14ac:dyDescent="0.3">
      <c r="A3577">
        <v>3576</v>
      </c>
      <c r="B3577">
        <v>2021</v>
      </c>
      <c r="C3577">
        <v>8</v>
      </c>
      <c r="D3577">
        <v>5</v>
      </c>
      <c r="E3577" s="1">
        <v>-24.85</v>
      </c>
      <c r="F3577" t="s">
        <v>26</v>
      </c>
      <c r="G3577" t="str">
        <f>_xlfn.XLOOKUP(transakcje[[#This Row],[podkategoria]],parametr[podkategoria],parametr[kategoria])</f>
        <v>życie</v>
      </c>
      <c r="H3577" t="str">
        <f>_xlfn.XLOOKUP(transakcje[[#This Row],[kategoria]],parametr[kategoria],parametr[typ])</f>
        <v>wydatki</v>
      </c>
      <c r="I3577" s="1">
        <f>ABS(transakcje[[#This Row],[kwota]])</f>
        <v>24.85</v>
      </c>
    </row>
    <row r="3578" spans="1:9" x14ac:dyDescent="0.3">
      <c r="A3578">
        <v>3577</v>
      </c>
      <c r="B3578">
        <v>2021</v>
      </c>
      <c r="C3578">
        <v>8</v>
      </c>
      <c r="D3578">
        <v>6</v>
      </c>
      <c r="E3578" s="1">
        <v>-6.21</v>
      </c>
      <c r="F3578" t="s">
        <v>26</v>
      </c>
      <c r="G3578" t="str">
        <f>_xlfn.XLOOKUP(transakcje[[#This Row],[podkategoria]],parametr[podkategoria],parametr[kategoria])</f>
        <v>życie</v>
      </c>
      <c r="H3578" t="str">
        <f>_xlfn.XLOOKUP(transakcje[[#This Row],[kategoria]],parametr[kategoria],parametr[typ])</f>
        <v>wydatki</v>
      </c>
      <c r="I3578" s="1">
        <f>ABS(transakcje[[#This Row],[kwota]])</f>
        <v>6.21</v>
      </c>
    </row>
    <row r="3579" spans="1:9" x14ac:dyDescent="0.3">
      <c r="A3579">
        <v>3578</v>
      </c>
      <c r="B3579">
        <v>2021</v>
      </c>
      <c r="C3579">
        <v>8</v>
      </c>
      <c r="D3579">
        <v>6</v>
      </c>
      <c r="E3579" s="1">
        <v>-1.272</v>
      </c>
      <c r="F3579" t="s">
        <v>26</v>
      </c>
      <c r="G3579" t="str">
        <f>_xlfn.XLOOKUP(transakcje[[#This Row],[podkategoria]],parametr[podkategoria],parametr[kategoria])</f>
        <v>życie</v>
      </c>
      <c r="H3579" t="str">
        <f>_xlfn.XLOOKUP(transakcje[[#This Row],[kategoria]],parametr[kategoria],parametr[typ])</f>
        <v>wydatki</v>
      </c>
      <c r="I3579" s="1">
        <f>ABS(transakcje[[#This Row],[kwota]])</f>
        <v>1.272</v>
      </c>
    </row>
    <row r="3580" spans="1:9" x14ac:dyDescent="0.3">
      <c r="A3580">
        <v>3579</v>
      </c>
      <c r="B3580">
        <v>2021</v>
      </c>
      <c r="C3580">
        <v>8</v>
      </c>
      <c r="D3580">
        <v>9</v>
      </c>
      <c r="E3580" s="1">
        <v>-30.6</v>
      </c>
      <c r="F3580" t="s">
        <v>32</v>
      </c>
      <c r="G3580" t="str">
        <f>_xlfn.XLOOKUP(transakcje[[#This Row],[podkategoria]],parametr[podkategoria],parametr[kategoria])</f>
        <v>opłaty stałe</v>
      </c>
      <c r="H3580" t="str">
        <f>_xlfn.XLOOKUP(transakcje[[#This Row],[kategoria]],parametr[kategoria],parametr[typ])</f>
        <v>wydatki</v>
      </c>
      <c r="I3580" s="1">
        <f>ABS(transakcje[[#This Row],[kwota]])</f>
        <v>30.6</v>
      </c>
    </row>
    <row r="3581" spans="1:9" x14ac:dyDescent="0.3">
      <c r="A3581">
        <v>3580</v>
      </c>
      <c r="B3581">
        <v>2021</v>
      </c>
      <c r="C3581">
        <v>8</v>
      </c>
      <c r="D3581">
        <v>10</v>
      </c>
      <c r="E3581" s="1">
        <v>-0.72399999999999998</v>
      </c>
      <c r="F3581" t="s">
        <v>26</v>
      </c>
      <c r="G3581" t="str">
        <f>_xlfn.XLOOKUP(transakcje[[#This Row],[podkategoria]],parametr[podkategoria],parametr[kategoria])</f>
        <v>życie</v>
      </c>
      <c r="H3581" t="str">
        <f>_xlfn.XLOOKUP(transakcje[[#This Row],[kategoria]],parametr[kategoria],parametr[typ])</f>
        <v>wydatki</v>
      </c>
      <c r="I3581" s="1">
        <f>ABS(transakcje[[#This Row],[kwota]])</f>
        <v>0.72399999999999998</v>
      </c>
    </row>
    <row r="3582" spans="1:9" x14ac:dyDescent="0.3">
      <c r="A3582">
        <v>3581</v>
      </c>
      <c r="B3582">
        <v>2021</v>
      </c>
      <c r="C3582">
        <v>8</v>
      </c>
      <c r="D3582">
        <v>11</v>
      </c>
      <c r="E3582" s="1">
        <v>-13.852</v>
      </c>
      <c r="F3582" t="s">
        <v>26</v>
      </c>
      <c r="G3582" t="str">
        <f>_xlfn.XLOOKUP(transakcje[[#This Row],[podkategoria]],parametr[podkategoria],parametr[kategoria])</f>
        <v>życie</v>
      </c>
      <c r="H3582" t="str">
        <f>_xlfn.XLOOKUP(transakcje[[#This Row],[kategoria]],parametr[kategoria],parametr[typ])</f>
        <v>wydatki</v>
      </c>
      <c r="I3582" s="1">
        <f>ABS(transakcje[[#This Row],[kwota]])</f>
        <v>13.852</v>
      </c>
    </row>
    <row r="3583" spans="1:9" x14ac:dyDescent="0.3">
      <c r="A3583">
        <v>3582</v>
      </c>
      <c r="B3583">
        <v>2021</v>
      </c>
      <c r="C3583">
        <v>8</v>
      </c>
      <c r="D3583">
        <v>12</v>
      </c>
      <c r="E3583" s="1">
        <v>-17.874000000000002</v>
      </c>
      <c r="F3583" t="s">
        <v>26</v>
      </c>
      <c r="G3583" t="str">
        <f>_xlfn.XLOOKUP(transakcje[[#This Row],[podkategoria]],parametr[podkategoria],parametr[kategoria])</f>
        <v>życie</v>
      </c>
      <c r="H3583" t="str">
        <f>_xlfn.XLOOKUP(transakcje[[#This Row],[kategoria]],parametr[kategoria],parametr[typ])</f>
        <v>wydatki</v>
      </c>
      <c r="I3583" s="1">
        <f>ABS(transakcje[[#This Row],[kwota]])</f>
        <v>17.874000000000002</v>
      </c>
    </row>
    <row r="3584" spans="1:9" x14ac:dyDescent="0.3">
      <c r="A3584">
        <v>3583</v>
      </c>
      <c r="B3584">
        <v>2021</v>
      </c>
      <c r="C3584">
        <v>8</v>
      </c>
      <c r="D3584">
        <v>13</v>
      </c>
      <c r="E3584" s="1">
        <v>-0.72399999999999998</v>
      </c>
      <c r="F3584" t="s">
        <v>26</v>
      </c>
      <c r="G3584" t="str">
        <f>_xlfn.XLOOKUP(transakcje[[#This Row],[podkategoria]],parametr[podkategoria],parametr[kategoria])</f>
        <v>życie</v>
      </c>
      <c r="H3584" t="str">
        <f>_xlfn.XLOOKUP(transakcje[[#This Row],[kategoria]],parametr[kategoria],parametr[typ])</f>
        <v>wydatki</v>
      </c>
      <c r="I3584" s="1">
        <f>ABS(transakcje[[#This Row],[kwota]])</f>
        <v>0.72399999999999998</v>
      </c>
    </row>
    <row r="3585" spans="1:9" x14ac:dyDescent="0.3">
      <c r="A3585">
        <v>3584</v>
      </c>
      <c r="B3585">
        <v>2021</v>
      </c>
      <c r="C3585">
        <v>8</v>
      </c>
      <c r="D3585">
        <v>13</v>
      </c>
      <c r="E3585" s="1">
        <v>-0.39800000000000002</v>
      </c>
      <c r="F3585" t="s">
        <v>14</v>
      </c>
      <c r="G3585" t="str">
        <f>_xlfn.XLOOKUP(transakcje[[#This Row],[podkategoria]],parametr[podkategoria],parametr[kategoria])</f>
        <v>opłaty stałe</v>
      </c>
      <c r="H3585" t="str">
        <f>_xlfn.XLOOKUP(transakcje[[#This Row],[kategoria]],parametr[kategoria],parametr[typ])</f>
        <v>wydatki</v>
      </c>
      <c r="I3585" s="1">
        <f>ABS(transakcje[[#This Row],[kwota]])</f>
        <v>0.39800000000000002</v>
      </c>
    </row>
    <row r="3586" spans="1:9" x14ac:dyDescent="0.3">
      <c r="A3586">
        <v>3585</v>
      </c>
      <c r="B3586">
        <v>2021</v>
      </c>
      <c r="C3586">
        <v>8</v>
      </c>
      <c r="D3586">
        <v>14</v>
      </c>
      <c r="E3586" s="1">
        <v>-46.545999999999999</v>
      </c>
      <c r="F3586" t="s">
        <v>11</v>
      </c>
      <c r="G3586" t="str">
        <f>_xlfn.XLOOKUP(transakcje[[#This Row],[podkategoria]],parametr[podkategoria],parametr[kategoria])</f>
        <v>wydatki inne</v>
      </c>
      <c r="H3586" t="str">
        <f>_xlfn.XLOOKUP(transakcje[[#This Row],[kategoria]],parametr[kategoria],parametr[typ])</f>
        <v>wydatki</v>
      </c>
      <c r="I3586" s="1">
        <f>ABS(transakcje[[#This Row],[kwota]])</f>
        <v>46.545999999999999</v>
      </c>
    </row>
    <row r="3587" spans="1:9" x14ac:dyDescent="0.3">
      <c r="A3587">
        <v>3586</v>
      </c>
      <c r="B3587">
        <v>2021</v>
      </c>
      <c r="C3587">
        <v>8</v>
      </c>
      <c r="D3587">
        <v>14</v>
      </c>
      <c r="E3587" s="1">
        <v>-19.716000000000001</v>
      </c>
      <c r="F3587" t="s">
        <v>11</v>
      </c>
      <c r="G3587" t="str">
        <f>_xlfn.XLOOKUP(transakcje[[#This Row],[podkategoria]],parametr[podkategoria],parametr[kategoria])</f>
        <v>wydatki inne</v>
      </c>
      <c r="H3587" t="str">
        <f>_xlfn.XLOOKUP(transakcje[[#This Row],[kategoria]],parametr[kategoria],parametr[typ])</f>
        <v>wydatki</v>
      </c>
      <c r="I3587" s="1">
        <f>ABS(transakcje[[#This Row],[kwota]])</f>
        <v>19.716000000000001</v>
      </c>
    </row>
    <row r="3588" spans="1:9" x14ac:dyDescent="0.3">
      <c r="A3588">
        <v>3587</v>
      </c>
      <c r="B3588">
        <v>2021</v>
      </c>
      <c r="C3588">
        <v>8</v>
      </c>
      <c r="D3588">
        <v>16</v>
      </c>
      <c r="E3588" s="1">
        <v>-8.1879999999999988</v>
      </c>
      <c r="F3588" t="s">
        <v>26</v>
      </c>
      <c r="G3588" t="str">
        <f>_xlfn.XLOOKUP(transakcje[[#This Row],[podkategoria]],parametr[podkategoria],parametr[kategoria])</f>
        <v>życie</v>
      </c>
      <c r="H3588" t="str">
        <f>_xlfn.XLOOKUP(transakcje[[#This Row],[kategoria]],parametr[kategoria],parametr[typ])</f>
        <v>wydatki</v>
      </c>
      <c r="I3588" s="1">
        <f>ABS(transakcje[[#This Row],[kwota]])</f>
        <v>8.1879999999999988</v>
      </c>
    </row>
    <row r="3589" spans="1:9" x14ac:dyDescent="0.3">
      <c r="A3589">
        <v>3588</v>
      </c>
      <c r="B3589">
        <v>2021</v>
      </c>
      <c r="C3589">
        <v>8</v>
      </c>
      <c r="D3589">
        <v>17</v>
      </c>
      <c r="E3589" s="1">
        <v>-0.72399999999999998</v>
      </c>
      <c r="F3589" t="s">
        <v>26</v>
      </c>
      <c r="G3589" t="str">
        <f>_xlfn.XLOOKUP(transakcje[[#This Row],[podkategoria]],parametr[podkategoria],parametr[kategoria])</f>
        <v>życie</v>
      </c>
      <c r="H3589" t="str">
        <f>_xlfn.XLOOKUP(transakcje[[#This Row],[kategoria]],parametr[kategoria],parametr[typ])</f>
        <v>wydatki</v>
      </c>
      <c r="I3589" s="1">
        <f>ABS(transakcje[[#This Row],[kwota]])</f>
        <v>0.72399999999999998</v>
      </c>
    </row>
    <row r="3590" spans="1:9" x14ac:dyDescent="0.3">
      <c r="A3590">
        <v>3589</v>
      </c>
      <c r="B3590">
        <v>2021</v>
      </c>
      <c r="C3590">
        <v>8</v>
      </c>
      <c r="D3590">
        <v>18</v>
      </c>
      <c r="E3590" s="1">
        <v>-1.9219999999999999</v>
      </c>
      <c r="F3590" t="s">
        <v>26</v>
      </c>
      <c r="G3590" t="str">
        <f>_xlfn.XLOOKUP(transakcje[[#This Row],[podkategoria]],parametr[podkategoria],parametr[kategoria])</f>
        <v>życie</v>
      </c>
      <c r="H3590" t="str">
        <f>_xlfn.XLOOKUP(transakcje[[#This Row],[kategoria]],parametr[kategoria],parametr[typ])</f>
        <v>wydatki</v>
      </c>
      <c r="I3590" s="1">
        <f>ABS(transakcje[[#This Row],[kwota]])</f>
        <v>1.9219999999999999</v>
      </c>
    </row>
    <row r="3591" spans="1:9" x14ac:dyDescent="0.3">
      <c r="A3591">
        <v>3590</v>
      </c>
      <c r="B3591">
        <v>2021</v>
      </c>
      <c r="C3591">
        <v>8</v>
      </c>
      <c r="D3591">
        <v>19</v>
      </c>
      <c r="E3591" s="1">
        <v>-4</v>
      </c>
      <c r="F3591" t="s">
        <v>26</v>
      </c>
      <c r="G3591" t="str">
        <f>_xlfn.XLOOKUP(transakcje[[#This Row],[podkategoria]],parametr[podkategoria],parametr[kategoria])</f>
        <v>życie</v>
      </c>
      <c r="H3591" t="str">
        <f>_xlfn.XLOOKUP(transakcje[[#This Row],[kategoria]],parametr[kategoria],parametr[typ])</f>
        <v>wydatki</v>
      </c>
      <c r="I3591" s="1">
        <f>ABS(transakcje[[#This Row],[kwota]])</f>
        <v>4</v>
      </c>
    </row>
    <row r="3592" spans="1:9" x14ac:dyDescent="0.3">
      <c r="A3592">
        <v>3591</v>
      </c>
      <c r="B3592">
        <v>2021</v>
      </c>
      <c r="C3592">
        <v>8</v>
      </c>
      <c r="D3592">
        <v>19</v>
      </c>
      <c r="E3592" s="1">
        <v>-12.104000000000001</v>
      </c>
      <c r="F3592" t="s">
        <v>26</v>
      </c>
      <c r="G3592" t="str">
        <f>_xlfn.XLOOKUP(transakcje[[#This Row],[podkategoria]],parametr[podkategoria],parametr[kategoria])</f>
        <v>życie</v>
      </c>
      <c r="H3592" t="str">
        <f>_xlfn.XLOOKUP(transakcje[[#This Row],[kategoria]],parametr[kategoria],parametr[typ])</f>
        <v>wydatki</v>
      </c>
      <c r="I3592" s="1">
        <f>ABS(transakcje[[#This Row],[kwota]])</f>
        <v>12.104000000000001</v>
      </c>
    </row>
    <row r="3593" spans="1:9" x14ac:dyDescent="0.3">
      <c r="A3593">
        <v>3592</v>
      </c>
      <c r="B3593">
        <v>2021</v>
      </c>
      <c r="C3593">
        <v>8</v>
      </c>
      <c r="D3593">
        <v>20</v>
      </c>
      <c r="E3593" s="1">
        <v>-4</v>
      </c>
      <c r="F3593" t="s">
        <v>26</v>
      </c>
      <c r="G3593" t="str">
        <f>_xlfn.XLOOKUP(transakcje[[#This Row],[podkategoria]],parametr[podkategoria],parametr[kategoria])</f>
        <v>życie</v>
      </c>
      <c r="H3593" t="str">
        <f>_xlfn.XLOOKUP(transakcje[[#This Row],[kategoria]],parametr[kategoria],parametr[typ])</f>
        <v>wydatki</v>
      </c>
      <c r="I3593" s="1">
        <f>ABS(transakcje[[#This Row],[kwota]])</f>
        <v>4</v>
      </c>
    </row>
    <row r="3594" spans="1:9" x14ac:dyDescent="0.3">
      <c r="A3594">
        <v>3593</v>
      </c>
      <c r="B3594">
        <v>2021</v>
      </c>
      <c r="C3594">
        <v>8</v>
      </c>
      <c r="D3594">
        <v>20</v>
      </c>
      <c r="E3594" s="1">
        <v>-5</v>
      </c>
      <c r="F3594" t="s">
        <v>26</v>
      </c>
      <c r="G3594" t="str">
        <f>_xlfn.XLOOKUP(transakcje[[#This Row],[podkategoria]],parametr[podkategoria],parametr[kategoria])</f>
        <v>życie</v>
      </c>
      <c r="H3594" t="str">
        <f>_xlfn.XLOOKUP(transakcje[[#This Row],[kategoria]],parametr[kategoria],parametr[typ])</f>
        <v>wydatki</v>
      </c>
      <c r="I3594" s="1">
        <f>ABS(transakcje[[#This Row],[kwota]])</f>
        <v>5</v>
      </c>
    </row>
    <row r="3595" spans="1:9" x14ac:dyDescent="0.3">
      <c r="A3595">
        <v>3594</v>
      </c>
      <c r="B3595">
        <v>2021</v>
      </c>
      <c r="C3595">
        <v>8</v>
      </c>
      <c r="D3595">
        <v>23</v>
      </c>
      <c r="E3595" s="1">
        <v>-0.38400000000000001</v>
      </c>
      <c r="F3595" t="s">
        <v>26</v>
      </c>
      <c r="G3595" t="str">
        <f>_xlfn.XLOOKUP(transakcje[[#This Row],[podkategoria]],parametr[podkategoria],parametr[kategoria])</f>
        <v>życie</v>
      </c>
      <c r="H3595" t="str">
        <f>_xlfn.XLOOKUP(transakcje[[#This Row],[kategoria]],parametr[kategoria],parametr[typ])</f>
        <v>wydatki</v>
      </c>
      <c r="I3595" s="1">
        <f>ABS(transakcje[[#This Row],[kwota]])</f>
        <v>0.38400000000000001</v>
      </c>
    </row>
    <row r="3596" spans="1:9" x14ac:dyDescent="0.3">
      <c r="A3596">
        <v>3595</v>
      </c>
      <c r="B3596">
        <v>2021</v>
      </c>
      <c r="C3596">
        <v>8</v>
      </c>
      <c r="D3596">
        <v>24</v>
      </c>
      <c r="E3596" s="1">
        <v>-0.36199999999999999</v>
      </c>
      <c r="F3596" t="s">
        <v>26</v>
      </c>
      <c r="G3596" t="str">
        <f>_xlfn.XLOOKUP(transakcje[[#This Row],[podkategoria]],parametr[podkategoria],parametr[kategoria])</f>
        <v>życie</v>
      </c>
      <c r="H3596" t="str">
        <f>_xlfn.XLOOKUP(transakcje[[#This Row],[kategoria]],parametr[kategoria],parametr[typ])</f>
        <v>wydatki</v>
      </c>
      <c r="I3596" s="1">
        <f>ABS(transakcje[[#This Row],[kwota]])</f>
        <v>0.36199999999999999</v>
      </c>
    </row>
    <row r="3597" spans="1:9" x14ac:dyDescent="0.3">
      <c r="A3597">
        <v>3596</v>
      </c>
      <c r="B3597">
        <v>2021</v>
      </c>
      <c r="C3597">
        <v>8</v>
      </c>
      <c r="D3597">
        <v>25</v>
      </c>
      <c r="E3597" s="1">
        <v>740.91800000000001</v>
      </c>
      <c r="F3597" t="s">
        <v>8</v>
      </c>
      <c r="G3597" t="str">
        <f>_xlfn.XLOOKUP(transakcje[[#This Row],[podkategoria]],parametr[podkategoria],parametr[kategoria])</f>
        <v>dochody z pracy</v>
      </c>
      <c r="H3597" t="str">
        <f>_xlfn.XLOOKUP(transakcje[[#This Row],[kategoria]],parametr[kategoria],parametr[typ])</f>
        <v>dochody</v>
      </c>
      <c r="I3597" s="1">
        <f>ABS(transakcje[[#This Row],[kwota]])</f>
        <v>740.91800000000001</v>
      </c>
    </row>
    <row r="3598" spans="1:9" x14ac:dyDescent="0.3">
      <c r="A3598">
        <v>3597</v>
      </c>
      <c r="B3598">
        <v>2021</v>
      </c>
      <c r="C3598">
        <v>8</v>
      </c>
      <c r="D3598">
        <v>25</v>
      </c>
      <c r="E3598" s="1">
        <v>-17.826000000000001</v>
      </c>
      <c r="F3598" t="s">
        <v>26</v>
      </c>
      <c r="G3598" t="str">
        <f>_xlfn.XLOOKUP(transakcje[[#This Row],[podkategoria]],parametr[podkategoria],parametr[kategoria])</f>
        <v>życie</v>
      </c>
      <c r="H3598" t="str">
        <f>_xlfn.XLOOKUP(transakcje[[#This Row],[kategoria]],parametr[kategoria],parametr[typ])</f>
        <v>wydatki</v>
      </c>
      <c r="I3598" s="1">
        <f>ABS(transakcje[[#This Row],[kwota]])</f>
        <v>17.826000000000001</v>
      </c>
    </row>
    <row r="3599" spans="1:9" x14ac:dyDescent="0.3">
      <c r="A3599">
        <v>3598</v>
      </c>
      <c r="B3599">
        <v>2021</v>
      </c>
      <c r="C3599">
        <v>8</v>
      </c>
      <c r="D3599">
        <v>27</v>
      </c>
      <c r="E3599" s="1">
        <v>-0.72399999999999998</v>
      </c>
      <c r="F3599" t="s">
        <v>26</v>
      </c>
      <c r="G3599" t="str">
        <f>_xlfn.XLOOKUP(transakcje[[#This Row],[podkategoria]],parametr[podkategoria],parametr[kategoria])</f>
        <v>życie</v>
      </c>
      <c r="H3599" t="str">
        <f>_xlfn.XLOOKUP(transakcje[[#This Row],[kategoria]],parametr[kategoria],parametr[typ])</f>
        <v>wydatki</v>
      </c>
      <c r="I3599" s="1">
        <f>ABS(transakcje[[#This Row],[kwota]])</f>
        <v>0.72399999999999998</v>
      </c>
    </row>
    <row r="3600" spans="1:9" x14ac:dyDescent="0.3">
      <c r="A3600">
        <v>3599</v>
      </c>
      <c r="B3600">
        <v>2021</v>
      </c>
      <c r="C3600">
        <v>8</v>
      </c>
      <c r="D3600">
        <v>31</v>
      </c>
      <c r="E3600" s="1">
        <v>-0.1</v>
      </c>
      <c r="F3600" t="s">
        <v>14</v>
      </c>
      <c r="G3600" t="str">
        <f>_xlfn.XLOOKUP(transakcje[[#This Row],[podkategoria]],parametr[podkategoria],parametr[kategoria])</f>
        <v>opłaty stałe</v>
      </c>
      <c r="H3600" t="str">
        <f>_xlfn.XLOOKUP(transakcje[[#This Row],[kategoria]],parametr[kategoria],parametr[typ])</f>
        <v>wydatki</v>
      </c>
      <c r="I3600" s="1">
        <f>ABS(transakcje[[#This Row],[kwota]])</f>
        <v>0.1</v>
      </c>
    </row>
    <row r="3601" spans="1:9" x14ac:dyDescent="0.3">
      <c r="A3601">
        <v>3600</v>
      </c>
      <c r="B3601">
        <v>2021</v>
      </c>
      <c r="C3601">
        <v>8</v>
      </c>
      <c r="D3601">
        <v>31</v>
      </c>
      <c r="E3601" s="1">
        <v>-1.3980000000000001</v>
      </c>
      <c r="F3601" t="s">
        <v>14</v>
      </c>
      <c r="G3601" t="str">
        <f>_xlfn.XLOOKUP(transakcje[[#This Row],[podkategoria]],parametr[podkategoria],parametr[kategoria])</f>
        <v>opłaty stałe</v>
      </c>
      <c r="H3601" t="str">
        <f>_xlfn.XLOOKUP(transakcje[[#This Row],[kategoria]],parametr[kategoria],parametr[typ])</f>
        <v>wydatki</v>
      </c>
      <c r="I3601" s="1">
        <f>ABS(transakcje[[#This Row],[kwota]])</f>
        <v>1.3980000000000001</v>
      </c>
    </row>
    <row r="3602" spans="1:9" x14ac:dyDescent="0.3">
      <c r="A3602">
        <v>3601</v>
      </c>
      <c r="B3602">
        <v>2021</v>
      </c>
      <c r="C3602">
        <v>8</v>
      </c>
      <c r="D3602">
        <v>31</v>
      </c>
      <c r="E3602" s="1">
        <v>2E-3</v>
      </c>
      <c r="F3602" t="s">
        <v>17</v>
      </c>
      <c r="G3602" t="str">
        <f>_xlfn.XLOOKUP(transakcje[[#This Row],[podkategoria]],parametr[podkategoria],parametr[kategoria])</f>
        <v>dochody pozostałe</v>
      </c>
      <c r="H3602" t="str">
        <f>_xlfn.XLOOKUP(transakcje[[#This Row],[kategoria]],parametr[kategoria],parametr[typ])</f>
        <v>dochody</v>
      </c>
      <c r="I3602" s="1">
        <f>ABS(transakcje[[#This Row],[kwota]])</f>
        <v>2E-3</v>
      </c>
    </row>
    <row r="3603" spans="1:9" x14ac:dyDescent="0.3">
      <c r="A3603">
        <v>3602</v>
      </c>
      <c r="B3603">
        <v>2021</v>
      </c>
      <c r="C3603">
        <v>8</v>
      </c>
      <c r="D3603">
        <v>31</v>
      </c>
      <c r="E3603" s="1">
        <v>-2E-3</v>
      </c>
      <c r="F3603" t="s">
        <v>14</v>
      </c>
      <c r="G3603" t="str">
        <f>_xlfn.XLOOKUP(transakcje[[#This Row],[podkategoria]],parametr[podkategoria],parametr[kategoria])</f>
        <v>opłaty stałe</v>
      </c>
      <c r="H3603" t="str">
        <f>_xlfn.XLOOKUP(transakcje[[#This Row],[kategoria]],parametr[kategoria],parametr[typ])</f>
        <v>wydatki</v>
      </c>
      <c r="I3603" s="1">
        <f>ABS(transakcje[[#This Row],[kwota]])</f>
        <v>2E-3</v>
      </c>
    </row>
    <row r="3604" spans="1:9" x14ac:dyDescent="0.3">
      <c r="A3604">
        <v>3603</v>
      </c>
      <c r="B3604">
        <v>2021</v>
      </c>
      <c r="C3604">
        <v>8</v>
      </c>
      <c r="D3604">
        <v>31</v>
      </c>
      <c r="E3604" s="1">
        <v>-45.82</v>
      </c>
      <c r="F3604" t="s">
        <v>11</v>
      </c>
      <c r="G3604" t="str">
        <f>_xlfn.XLOOKUP(transakcje[[#This Row],[podkategoria]],parametr[podkategoria],parametr[kategoria])</f>
        <v>wydatki inne</v>
      </c>
      <c r="H3604" t="str">
        <f>_xlfn.XLOOKUP(transakcje[[#This Row],[kategoria]],parametr[kategoria],parametr[typ])</f>
        <v>wydatki</v>
      </c>
      <c r="I3604" s="1">
        <f>ABS(transakcje[[#This Row],[kwota]])</f>
        <v>45.82</v>
      </c>
    </row>
    <row r="3605" spans="1:9" x14ac:dyDescent="0.3">
      <c r="A3605">
        <v>3604</v>
      </c>
      <c r="B3605">
        <v>2021</v>
      </c>
      <c r="C3605">
        <v>9</v>
      </c>
      <c r="D3605">
        <v>1</v>
      </c>
      <c r="E3605" s="1">
        <v>-46.4</v>
      </c>
      <c r="F3605" t="s">
        <v>30</v>
      </c>
      <c r="G3605" t="str">
        <f>_xlfn.XLOOKUP(transakcje[[#This Row],[podkategoria]],parametr[podkategoria],parametr[kategoria])</f>
        <v>opłaty stałe</v>
      </c>
      <c r="H3605" t="str">
        <f>_xlfn.XLOOKUP(transakcje[[#This Row],[kategoria]],parametr[kategoria],parametr[typ])</f>
        <v>wydatki</v>
      </c>
      <c r="I3605" s="1">
        <f>ABS(transakcje[[#This Row],[kwota]])</f>
        <v>46.4</v>
      </c>
    </row>
    <row r="3606" spans="1:9" x14ac:dyDescent="0.3">
      <c r="A3606">
        <v>3605</v>
      </c>
      <c r="B3606">
        <v>2021</v>
      </c>
      <c r="C3606">
        <v>9</v>
      </c>
      <c r="D3606">
        <v>1</v>
      </c>
      <c r="E3606" s="1">
        <v>-4.9000000000000004</v>
      </c>
      <c r="F3606" t="s">
        <v>37</v>
      </c>
      <c r="G3606" t="str">
        <f>_xlfn.XLOOKUP(transakcje[[#This Row],[podkategoria]],parametr[podkategoria],parametr[kategoria])</f>
        <v>opłaty stałe</v>
      </c>
      <c r="H3606" t="str">
        <f>_xlfn.XLOOKUP(transakcje[[#This Row],[kategoria]],parametr[kategoria],parametr[typ])</f>
        <v>wydatki</v>
      </c>
      <c r="I3606" s="1">
        <f>ABS(transakcje[[#This Row],[kwota]])</f>
        <v>4.9000000000000004</v>
      </c>
    </row>
    <row r="3607" spans="1:9" x14ac:dyDescent="0.3">
      <c r="A3607">
        <v>3606</v>
      </c>
      <c r="B3607">
        <v>2021</v>
      </c>
      <c r="C3607">
        <v>9</v>
      </c>
      <c r="D3607">
        <v>1</v>
      </c>
      <c r="E3607" s="1">
        <v>-15.446000000000002</v>
      </c>
      <c r="F3607" t="s">
        <v>34</v>
      </c>
      <c r="G3607" t="str">
        <f>_xlfn.XLOOKUP(transakcje[[#This Row],[podkategoria]],parametr[podkategoria],parametr[kategoria])</f>
        <v>opłaty stałe</v>
      </c>
      <c r="H3607" t="str">
        <f>_xlfn.XLOOKUP(transakcje[[#This Row],[kategoria]],parametr[kategoria],parametr[typ])</f>
        <v>wydatki</v>
      </c>
      <c r="I3607" s="1">
        <f>ABS(transakcje[[#This Row],[kwota]])</f>
        <v>15.446000000000002</v>
      </c>
    </row>
    <row r="3608" spans="1:9" x14ac:dyDescent="0.3">
      <c r="A3608">
        <v>3607</v>
      </c>
      <c r="B3608">
        <v>2021</v>
      </c>
      <c r="C3608">
        <v>9</v>
      </c>
      <c r="D3608">
        <v>1</v>
      </c>
      <c r="E3608" s="1">
        <v>-5.8</v>
      </c>
      <c r="F3608" t="s">
        <v>25</v>
      </c>
      <c r="G3608" t="str">
        <f>_xlfn.XLOOKUP(transakcje[[#This Row],[podkategoria]],parametr[podkategoria],parametr[kategoria])</f>
        <v>opłaty stałe</v>
      </c>
      <c r="H3608" t="str">
        <f>_xlfn.XLOOKUP(transakcje[[#This Row],[kategoria]],parametr[kategoria],parametr[typ])</f>
        <v>wydatki</v>
      </c>
      <c r="I3608" s="1">
        <f>ABS(transakcje[[#This Row],[kwota]])</f>
        <v>5.8</v>
      </c>
    </row>
    <row r="3609" spans="1:9" x14ac:dyDescent="0.3">
      <c r="A3609">
        <v>3608</v>
      </c>
      <c r="B3609">
        <v>2021</v>
      </c>
      <c r="C3609">
        <v>9</v>
      </c>
      <c r="D3609">
        <v>1</v>
      </c>
      <c r="E3609" s="1">
        <v>-7.38</v>
      </c>
      <c r="F3609" t="s">
        <v>23</v>
      </c>
      <c r="G3609" t="str">
        <f>_xlfn.XLOOKUP(transakcje[[#This Row],[podkategoria]],parametr[podkategoria],parametr[kategoria])</f>
        <v>opłaty stałe</v>
      </c>
      <c r="H3609" t="str">
        <f>_xlfn.XLOOKUP(transakcje[[#This Row],[kategoria]],parametr[kategoria],parametr[typ])</f>
        <v>wydatki</v>
      </c>
      <c r="I3609" s="1">
        <f>ABS(transakcje[[#This Row],[kwota]])</f>
        <v>7.38</v>
      </c>
    </row>
    <row r="3610" spans="1:9" x14ac:dyDescent="0.3">
      <c r="A3610">
        <v>3609</v>
      </c>
      <c r="B3610">
        <v>2021</v>
      </c>
      <c r="C3610">
        <v>9</v>
      </c>
      <c r="D3610">
        <v>1</v>
      </c>
      <c r="E3610" s="1">
        <v>-72.304000000000002</v>
      </c>
      <c r="F3610" t="s">
        <v>31</v>
      </c>
      <c r="G3610" t="str">
        <f>_xlfn.XLOOKUP(transakcje[[#This Row],[podkategoria]],parametr[podkategoria],parametr[kategoria])</f>
        <v>opłaty stałe</v>
      </c>
      <c r="H3610" t="str">
        <f>_xlfn.XLOOKUP(transakcje[[#This Row],[kategoria]],parametr[kategoria],parametr[typ])</f>
        <v>wydatki</v>
      </c>
      <c r="I3610" s="1">
        <f>ABS(transakcje[[#This Row],[kwota]])</f>
        <v>72.304000000000002</v>
      </c>
    </row>
    <row r="3611" spans="1:9" x14ac:dyDescent="0.3">
      <c r="A3611">
        <v>3610</v>
      </c>
      <c r="B3611">
        <v>2021</v>
      </c>
      <c r="C3611">
        <v>9</v>
      </c>
      <c r="D3611">
        <v>1</v>
      </c>
      <c r="E3611" s="1">
        <v>-68.597999999999999</v>
      </c>
      <c r="F3611" t="s">
        <v>11</v>
      </c>
      <c r="G3611" t="str">
        <f>_xlfn.XLOOKUP(transakcje[[#This Row],[podkategoria]],parametr[podkategoria],parametr[kategoria])</f>
        <v>wydatki inne</v>
      </c>
      <c r="H3611" t="str">
        <f>_xlfn.XLOOKUP(transakcje[[#This Row],[kategoria]],parametr[kategoria],parametr[typ])</f>
        <v>wydatki</v>
      </c>
      <c r="I3611" s="1">
        <f>ABS(transakcje[[#This Row],[kwota]])</f>
        <v>68.597999999999999</v>
      </c>
    </row>
    <row r="3612" spans="1:9" x14ac:dyDescent="0.3">
      <c r="A3612">
        <v>3611</v>
      </c>
      <c r="B3612">
        <v>2021</v>
      </c>
      <c r="C3612">
        <v>9</v>
      </c>
      <c r="D3612">
        <v>3</v>
      </c>
      <c r="E3612" s="1">
        <v>-0.72399999999999998</v>
      </c>
      <c r="F3612" t="s">
        <v>26</v>
      </c>
      <c r="G3612" t="str">
        <f>_xlfn.XLOOKUP(transakcje[[#This Row],[podkategoria]],parametr[podkategoria],parametr[kategoria])</f>
        <v>życie</v>
      </c>
      <c r="H3612" t="str">
        <f>_xlfn.XLOOKUP(transakcje[[#This Row],[kategoria]],parametr[kategoria],parametr[typ])</f>
        <v>wydatki</v>
      </c>
      <c r="I3612" s="1">
        <f>ABS(transakcje[[#This Row],[kwota]])</f>
        <v>0.72399999999999998</v>
      </c>
    </row>
    <row r="3613" spans="1:9" x14ac:dyDescent="0.3">
      <c r="A3613">
        <v>3612</v>
      </c>
      <c r="B3613">
        <v>2021</v>
      </c>
      <c r="C3613">
        <v>9</v>
      </c>
      <c r="D3613">
        <v>7</v>
      </c>
      <c r="E3613" s="1">
        <v>-5.0520000000000005</v>
      </c>
      <c r="F3613" t="s">
        <v>26</v>
      </c>
      <c r="G3613" t="str">
        <f>_xlfn.XLOOKUP(transakcje[[#This Row],[podkategoria]],parametr[podkategoria],parametr[kategoria])</f>
        <v>życie</v>
      </c>
      <c r="H3613" t="str">
        <f>_xlfn.XLOOKUP(transakcje[[#This Row],[kategoria]],parametr[kategoria],parametr[typ])</f>
        <v>wydatki</v>
      </c>
      <c r="I3613" s="1">
        <f>ABS(transakcje[[#This Row],[kwota]])</f>
        <v>5.0520000000000005</v>
      </c>
    </row>
    <row r="3614" spans="1:9" x14ac:dyDescent="0.3">
      <c r="A3614">
        <v>3613</v>
      </c>
      <c r="B3614">
        <v>2021</v>
      </c>
      <c r="C3614">
        <v>9</v>
      </c>
      <c r="D3614">
        <v>8</v>
      </c>
      <c r="E3614" s="1">
        <v>-0.72399999999999998</v>
      </c>
      <c r="F3614" t="s">
        <v>26</v>
      </c>
      <c r="G3614" t="str">
        <f>_xlfn.XLOOKUP(transakcje[[#This Row],[podkategoria]],parametr[podkategoria],parametr[kategoria])</f>
        <v>życie</v>
      </c>
      <c r="H3614" t="str">
        <f>_xlfn.XLOOKUP(transakcje[[#This Row],[kategoria]],parametr[kategoria],parametr[typ])</f>
        <v>wydatki</v>
      </c>
      <c r="I3614" s="1">
        <f>ABS(transakcje[[#This Row],[kwota]])</f>
        <v>0.72399999999999998</v>
      </c>
    </row>
    <row r="3615" spans="1:9" x14ac:dyDescent="0.3">
      <c r="A3615">
        <v>3614</v>
      </c>
      <c r="B3615">
        <v>2021</v>
      </c>
      <c r="C3615">
        <v>9</v>
      </c>
      <c r="D3615">
        <v>8</v>
      </c>
      <c r="E3615" s="1">
        <v>-11.32</v>
      </c>
      <c r="F3615" t="s">
        <v>26</v>
      </c>
      <c r="G3615" t="str">
        <f>_xlfn.XLOOKUP(transakcje[[#This Row],[podkategoria]],parametr[podkategoria],parametr[kategoria])</f>
        <v>życie</v>
      </c>
      <c r="H3615" t="str">
        <f>_xlfn.XLOOKUP(transakcje[[#This Row],[kategoria]],parametr[kategoria],parametr[typ])</f>
        <v>wydatki</v>
      </c>
      <c r="I3615" s="1">
        <f>ABS(transakcje[[#This Row],[kwota]])</f>
        <v>11.32</v>
      </c>
    </row>
    <row r="3616" spans="1:9" x14ac:dyDescent="0.3">
      <c r="A3616">
        <v>3615</v>
      </c>
      <c r="B3616">
        <v>2021</v>
      </c>
      <c r="C3616">
        <v>9</v>
      </c>
      <c r="D3616">
        <v>10</v>
      </c>
      <c r="E3616" s="1">
        <v>-50.96</v>
      </c>
      <c r="F3616" t="s">
        <v>26</v>
      </c>
      <c r="G3616" t="str">
        <f>_xlfn.XLOOKUP(transakcje[[#This Row],[podkategoria]],parametr[podkategoria],parametr[kategoria])</f>
        <v>życie</v>
      </c>
      <c r="H3616" t="str">
        <f>_xlfn.XLOOKUP(transakcje[[#This Row],[kategoria]],parametr[kategoria],parametr[typ])</f>
        <v>wydatki</v>
      </c>
      <c r="I3616" s="1">
        <f>ABS(transakcje[[#This Row],[kwota]])</f>
        <v>50.96</v>
      </c>
    </row>
    <row r="3617" spans="1:9" x14ac:dyDescent="0.3">
      <c r="A3617">
        <v>3616</v>
      </c>
      <c r="B3617">
        <v>2021</v>
      </c>
      <c r="C3617">
        <v>9</v>
      </c>
      <c r="D3617">
        <v>11</v>
      </c>
      <c r="E3617" s="1">
        <v>-36.200000000000003</v>
      </c>
      <c r="F3617" t="s">
        <v>11</v>
      </c>
      <c r="G3617" t="str">
        <f>_xlfn.XLOOKUP(transakcje[[#This Row],[podkategoria]],parametr[podkategoria],parametr[kategoria])</f>
        <v>wydatki inne</v>
      </c>
      <c r="H3617" t="str">
        <f>_xlfn.XLOOKUP(transakcje[[#This Row],[kategoria]],parametr[kategoria],parametr[typ])</f>
        <v>wydatki</v>
      </c>
      <c r="I3617" s="1">
        <f>ABS(transakcje[[#This Row],[kwota]])</f>
        <v>36.200000000000003</v>
      </c>
    </row>
    <row r="3618" spans="1:9" x14ac:dyDescent="0.3">
      <c r="A3618">
        <v>3617</v>
      </c>
      <c r="B3618">
        <v>2021</v>
      </c>
      <c r="C3618">
        <v>9</v>
      </c>
      <c r="D3618">
        <v>15</v>
      </c>
      <c r="E3618" s="1">
        <v>-3.3979999999999997</v>
      </c>
      <c r="F3618" t="s">
        <v>26</v>
      </c>
      <c r="G3618" t="str">
        <f>_xlfn.XLOOKUP(transakcje[[#This Row],[podkategoria]],parametr[podkategoria],parametr[kategoria])</f>
        <v>życie</v>
      </c>
      <c r="H3618" t="str">
        <f>_xlfn.XLOOKUP(transakcje[[#This Row],[kategoria]],parametr[kategoria],parametr[typ])</f>
        <v>wydatki</v>
      </c>
      <c r="I3618" s="1">
        <f>ABS(transakcje[[#This Row],[kwota]])</f>
        <v>3.3979999999999997</v>
      </c>
    </row>
    <row r="3619" spans="1:9" x14ac:dyDescent="0.3">
      <c r="A3619">
        <v>3618</v>
      </c>
      <c r="B3619">
        <v>2021</v>
      </c>
      <c r="C3619">
        <v>9</v>
      </c>
      <c r="D3619">
        <v>15</v>
      </c>
      <c r="E3619" s="1">
        <v>-2.4</v>
      </c>
      <c r="F3619" t="s">
        <v>26</v>
      </c>
      <c r="G3619" t="str">
        <f>_xlfn.XLOOKUP(transakcje[[#This Row],[podkategoria]],parametr[podkategoria],parametr[kategoria])</f>
        <v>życie</v>
      </c>
      <c r="H3619" t="str">
        <f>_xlfn.XLOOKUP(transakcje[[#This Row],[kategoria]],parametr[kategoria],parametr[typ])</f>
        <v>wydatki</v>
      </c>
      <c r="I3619" s="1">
        <f>ABS(transakcje[[#This Row],[kwota]])</f>
        <v>2.4</v>
      </c>
    </row>
    <row r="3620" spans="1:9" x14ac:dyDescent="0.3">
      <c r="A3620">
        <v>3619</v>
      </c>
      <c r="B3620">
        <v>2021</v>
      </c>
      <c r="C3620">
        <v>9</v>
      </c>
      <c r="D3620">
        <v>16</v>
      </c>
      <c r="E3620" s="1">
        <v>-38.995999999999995</v>
      </c>
      <c r="F3620" t="s">
        <v>11</v>
      </c>
      <c r="G3620" t="str">
        <f>_xlfn.XLOOKUP(transakcje[[#This Row],[podkategoria]],parametr[podkategoria],parametr[kategoria])</f>
        <v>wydatki inne</v>
      </c>
      <c r="H3620" t="str">
        <f>_xlfn.XLOOKUP(transakcje[[#This Row],[kategoria]],parametr[kategoria],parametr[typ])</f>
        <v>wydatki</v>
      </c>
      <c r="I3620" s="1">
        <f>ABS(transakcje[[#This Row],[kwota]])</f>
        <v>38.995999999999995</v>
      </c>
    </row>
    <row r="3621" spans="1:9" x14ac:dyDescent="0.3">
      <c r="A3621">
        <v>3620</v>
      </c>
      <c r="B3621">
        <v>2021</v>
      </c>
      <c r="C3621">
        <v>9</v>
      </c>
      <c r="D3621">
        <v>17</v>
      </c>
      <c r="E3621" s="1">
        <v>-33.65</v>
      </c>
      <c r="F3621" t="s">
        <v>11</v>
      </c>
      <c r="G3621" t="str">
        <f>_xlfn.XLOOKUP(transakcje[[#This Row],[podkategoria]],parametr[podkategoria],parametr[kategoria])</f>
        <v>wydatki inne</v>
      </c>
      <c r="H3621" t="str">
        <f>_xlfn.XLOOKUP(transakcje[[#This Row],[kategoria]],parametr[kategoria],parametr[typ])</f>
        <v>wydatki</v>
      </c>
      <c r="I3621" s="1">
        <f>ABS(transakcje[[#This Row],[kwota]])</f>
        <v>33.65</v>
      </c>
    </row>
    <row r="3622" spans="1:9" x14ac:dyDescent="0.3">
      <c r="A3622">
        <v>3621</v>
      </c>
      <c r="B3622">
        <v>2021</v>
      </c>
      <c r="C3622">
        <v>9</v>
      </c>
      <c r="D3622">
        <v>20</v>
      </c>
      <c r="E3622" s="1">
        <v>-11.045999999999999</v>
      </c>
      <c r="F3622" t="s">
        <v>26</v>
      </c>
      <c r="G3622" t="str">
        <f>_xlfn.XLOOKUP(transakcje[[#This Row],[podkategoria]],parametr[podkategoria],parametr[kategoria])</f>
        <v>życie</v>
      </c>
      <c r="H3622" t="str">
        <f>_xlfn.XLOOKUP(transakcje[[#This Row],[kategoria]],parametr[kategoria],parametr[typ])</f>
        <v>wydatki</v>
      </c>
      <c r="I3622" s="1">
        <f>ABS(transakcje[[#This Row],[kwota]])</f>
        <v>11.045999999999999</v>
      </c>
    </row>
    <row r="3623" spans="1:9" x14ac:dyDescent="0.3">
      <c r="A3623">
        <v>3622</v>
      </c>
      <c r="B3623">
        <v>2021</v>
      </c>
      <c r="C3623">
        <v>9</v>
      </c>
      <c r="D3623">
        <v>20</v>
      </c>
      <c r="E3623" s="1">
        <v>-34</v>
      </c>
      <c r="F3623" t="s">
        <v>11</v>
      </c>
      <c r="G3623" t="str">
        <f>_xlfn.XLOOKUP(transakcje[[#This Row],[podkategoria]],parametr[podkategoria],parametr[kategoria])</f>
        <v>wydatki inne</v>
      </c>
      <c r="H3623" t="str">
        <f>_xlfn.XLOOKUP(transakcje[[#This Row],[kategoria]],parametr[kategoria],parametr[typ])</f>
        <v>wydatki</v>
      </c>
      <c r="I3623" s="1">
        <f>ABS(transakcje[[#This Row],[kwota]])</f>
        <v>34</v>
      </c>
    </row>
    <row r="3624" spans="1:9" x14ac:dyDescent="0.3">
      <c r="A3624">
        <v>3623</v>
      </c>
      <c r="B3624">
        <v>2021</v>
      </c>
      <c r="C3624">
        <v>9</v>
      </c>
      <c r="D3624">
        <v>21</v>
      </c>
      <c r="E3624" s="1">
        <v>-0.2</v>
      </c>
      <c r="F3624" t="s">
        <v>14</v>
      </c>
      <c r="G3624" t="str">
        <f>_xlfn.XLOOKUP(transakcje[[#This Row],[podkategoria]],parametr[podkategoria],parametr[kategoria])</f>
        <v>opłaty stałe</v>
      </c>
      <c r="H3624" t="str">
        <f>_xlfn.XLOOKUP(transakcje[[#This Row],[kategoria]],parametr[kategoria],parametr[typ])</f>
        <v>wydatki</v>
      </c>
      <c r="I3624" s="1">
        <f>ABS(transakcje[[#This Row],[kwota]])</f>
        <v>0.2</v>
      </c>
    </row>
    <row r="3625" spans="1:9" x14ac:dyDescent="0.3">
      <c r="A3625">
        <v>3624</v>
      </c>
      <c r="B3625">
        <v>2021</v>
      </c>
      <c r="C3625">
        <v>9</v>
      </c>
      <c r="D3625">
        <v>22</v>
      </c>
      <c r="E3625" s="1">
        <v>-3</v>
      </c>
      <c r="F3625" t="s">
        <v>11</v>
      </c>
      <c r="G3625" t="str">
        <f>_xlfn.XLOOKUP(transakcje[[#This Row],[podkategoria]],parametr[podkategoria],parametr[kategoria])</f>
        <v>wydatki inne</v>
      </c>
      <c r="H3625" t="str">
        <f>_xlfn.XLOOKUP(transakcje[[#This Row],[kategoria]],parametr[kategoria],parametr[typ])</f>
        <v>wydatki</v>
      </c>
      <c r="I3625" s="1">
        <f>ABS(transakcje[[#This Row],[kwota]])</f>
        <v>3</v>
      </c>
    </row>
    <row r="3626" spans="1:9" x14ac:dyDescent="0.3">
      <c r="A3626">
        <v>3625</v>
      </c>
      <c r="B3626">
        <v>2021</v>
      </c>
      <c r="C3626">
        <v>9</v>
      </c>
      <c r="D3626">
        <v>23</v>
      </c>
      <c r="E3626" s="1">
        <v>740.91800000000001</v>
      </c>
      <c r="F3626" t="s">
        <v>8</v>
      </c>
      <c r="G3626" t="str">
        <f>_xlfn.XLOOKUP(transakcje[[#This Row],[podkategoria]],parametr[podkategoria],parametr[kategoria])</f>
        <v>dochody z pracy</v>
      </c>
      <c r="H3626" t="str">
        <f>_xlfn.XLOOKUP(transakcje[[#This Row],[kategoria]],parametr[kategoria],parametr[typ])</f>
        <v>dochody</v>
      </c>
      <c r="I3626" s="1">
        <f>ABS(transakcje[[#This Row],[kwota]])</f>
        <v>740.91800000000001</v>
      </c>
    </row>
    <row r="3627" spans="1:9" x14ac:dyDescent="0.3">
      <c r="A3627">
        <v>3626</v>
      </c>
      <c r="B3627">
        <v>2021</v>
      </c>
      <c r="C3627">
        <v>9</v>
      </c>
      <c r="D3627">
        <v>23</v>
      </c>
      <c r="E3627" s="1">
        <v>-7.1180000000000003</v>
      </c>
      <c r="F3627" t="s">
        <v>26</v>
      </c>
      <c r="G3627" t="str">
        <f>_xlfn.XLOOKUP(transakcje[[#This Row],[podkategoria]],parametr[podkategoria],parametr[kategoria])</f>
        <v>życie</v>
      </c>
      <c r="H3627" t="str">
        <f>_xlfn.XLOOKUP(transakcje[[#This Row],[kategoria]],parametr[kategoria],parametr[typ])</f>
        <v>wydatki</v>
      </c>
      <c r="I3627" s="1">
        <f>ABS(transakcje[[#This Row],[kwota]])</f>
        <v>7.1180000000000003</v>
      </c>
    </row>
    <row r="3628" spans="1:9" x14ac:dyDescent="0.3">
      <c r="A3628">
        <v>3627</v>
      </c>
      <c r="B3628">
        <v>2021</v>
      </c>
      <c r="C3628">
        <v>9</v>
      </c>
      <c r="D3628">
        <v>24</v>
      </c>
      <c r="E3628" s="1">
        <v>-1.448</v>
      </c>
      <c r="F3628" t="s">
        <v>26</v>
      </c>
      <c r="G3628" t="str">
        <f>_xlfn.XLOOKUP(transakcje[[#This Row],[podkategoria]],parametr[podkategoria],parametr[kategoria])</f>
        <v>życie</v>
      </c>
      <c r="H3628" t="str">
        <f>_xlfn.XLOOKUP(transakcje[[#This Row],[kategoria]],parametr[kategoria],parametr[typ])</f>
        <v>wydatki</v>
      </c>
      <c r="I3628" s="1">
        <f>ABS(transakcje[[#This Row],[kwota]])</f>
        <v>1.448</v>
      </c>
    </row>
    <row r="3629" spans="1:9" x14ac:dyDescent="0.3">
      <c r="A3629">
        <v>3628</v>
      </c>
      <c r="B3629">
        <v>2021</v>
      </c>
      <c r="C3629">
        <v>9</v>
      </c>
      <c r="D3629">
        <v>27</v>
      </c>
      <c r="E3629" s="1">
        <v>-23.8</v>
      </c>
      <c r="F3629" t="s">
        <v>32</v>
      </c>
      <c r="G3629" t="str">
        <f>_xlfn.XLOOKUP(transakcje[[#This Row],[podkategoria]],parametr[podkategoria],parametr[kategoria])</f>
        <v>opłaty stałe</v>
      </c>
      <c r="H3629" t="str">
        <f>_xlfn.XLOOKUP(transakcje[[#This Row],[kategoria]],parametr[kategoria],parametr[typ])</f>
        <v>wydatki</v>
      </c>
      <c r="I3629" s="1">
        <f>ABS(transakcje[[#This Row],[kwota]])</f>
        <v>23.8</v>
      </c>
    </row>
    <row r="3630" spans="1:9" x14ac:dyDescent="0.3">
      <c r="A3630">
        <v>3629</v>
      </c>
      <c r="B3630">
        <v>2021</v>
      </c>
      <c r="C3630">
        <v>9</v>
      </c>
      <c r="D3630">
        <v>28</v>
      </c>
      <c r="E3630" s="1">
        <v>-2E-3</v>
      </c>
      <c r="F3630" t="s">
        <v>14</v>
      </c>
      <c r="G3630" t="str">
        <f>_xlfn.XLOOKUP(transakcje[[#This Row],[podkategoria]],parametr[podkategoria],parametr[kategoria])</f>
        <v>opłaty stałe</v>
      </c>
      <c r="H3630" t="str">
        <f>_xlfn.XLOOKUP(transakcje[[#This Row],[kategoria]],parametr[kategoria],parametr[typ])</f>
        <v>wydatki</v>
      </c>
      <c r="I3630" s="1">
        <f>ABS(transakcje[[#This Row],[kwota]])</f>
        <v>2E-3</v>
      </c>
    </row>
    <row r="3631" spans="1:9" x14ac:dyDescent="0.3">
      <c r="A3631">
        <v>3630</v>
      </c>
      <c r="B3631">
        <v>2021</v>
      </c>
      <c r="C3631">
        <v>9</v>
      </c>
      <c r="D3631">
        <v>29</v>
      </c>
      <c r="E3631" s="1">
        <v>6.0000000000000001E-3</v>
      </c>
      <c r="F3631" t="s">
        <v>17</v>
      </c>
      <c r="G3631" t="str">
        <f>_xlfn.XLOOKUP(transakcje[[#This Row],[podkategoria]],parametr[podkategoria],parametr[kategoria])</f>
        <v>dochody pozostałe</v>
      </c>
      <c r="H3631" t="str">
        <f>_xlfn.XLOOKUP(transakcje[[#This Row],[kategoria]],parametr[kategoria],parametr[typ])</f>
        <v>dochody</v>
      </c>
      <c r="I3631" s="1">
        <f>ABS(transakcje[[#This Row],[kwota]])</f>
        <v>6.0000000000000001E-3</v>
      </c>
    </row>
    <row r="3632" spans="1:9" x14ac:dyDescent="0.3">
      <c r="A3632">
        <v>3631</v>
      </c>
      <c r="B3632">
        <v>2021</v>
      </c>
      <c r="C3632">
        <v>9</v>
      </c>
      <c r="D3632">
        <v>30</v>
      </c>
      <c r="E3632" s="1">
        <v>-1.4</v>
      </c>
      <c r="F3632" t="s">
        <v>14</v>
      </c>
      <c r="G3632" t="str">
        <f>_xlfn.XLOOKUP(transakcje[[#This Row],[podkategoria]],parametr[podkategoria],parametr[kategoria])</f>
        <v>opłaty stałe</v>
      </c>
      <c r="H3632" t="str">
        <f>_xlfn.XLOOKUP(transakcje[[#This Row],[kategoria]],parametr[kategoria],parametr[typ])</f>
        <v>wydatki</v>
      </c>
      <c r="I3632" s="1">
        <f>ABS(transakcje[[#This Row],[kwota]])</f>
        <v>1.4</v>
      </c>
    </row>
    <row r="3633" spans="1:9" x14ac:dyDescent="0.3">
      <c r="A3633">
        <v>3632</v>
      </c>
      <c r="B3633">
        <v>2021</v>
      </c>
      <c r="C3633">
        <v>10</v>
      </c>
      <c r="D3633">
        <v>1</v>
      </c>
      <c r="E3633" s="1">
        <v>-72.304000000000002</v>
      </c>
      <c r="F3633" t="s">
        <v>31</v>
      </c>
      <c r="G3633" t="str">
        <f>_xlfn.XLOOKUP(transakcje[[#This Row],[podkategoria]],parametr[podkategoria],parametr[kategoria])</f>
        <v>opłaty stałe</v>
      </c>
      <c r="H3633" t="str">
        <f>_xlfn.XLOOKUP(transakcje[[#This Row],[kategoria]],parametr[kategoria],parametr[typ])</f>
        <v>wydatki</v>
      </c>
      <c r="I3633" s="1">
        <f>ABS(transakcje[[#This Row],[kwota]])</f>
        <v>72.304000000000002</v>
      </c>
    </row>
    <row r="3634" spans="1:9" x14ac:dyDescent="0.3">
      <c r="A3634">
        <v>3633</v>
      </c>
      <c r="B3634">
        <v>2021</v>
      </c>
      <c r="C3634">
        <v>10</v>
      </c>
      <c r="D3634">
        <v>1</v>
      </c>
      <c r="E3634" s="1">
        <v>-7.38</v>
      </c>
      <c r="F3634" t="s">
        <v>23</v>
      </c>
      <c r="G3634" t="str">
        <f>_xlfn.XLOOKUP(transakcje[[#This Row],[podkategoria]],parametr[podkategoria],parametr[kategoria])</f>
        <v>opłaty stałe</v>
      </c>
      <c r="H3634" t="str">
        <f>_xlfn.XLOOKUP(transakcje[[#This Row],[kategoria]],parametr[kategoria],parametr[typ])</f>
        <v>wydatki</v>
      </c>
      <c r="I3634" s="1">
        <f>ABS(transakcje[[#This Row],[kwota]])</f>
        <v>7.38</v>
      </c>
    </row>
    <row r="3635" spans="1:9" x14ac:dyDescent="0.3">
      <c r="A3635">
        <v>3634</v>
      </c>
      <c r="B3635">
        <v>2021</v>
      </c>
      <c r="C3635">
        <v>10</v>
      </c>
      <c r="D3635">
        <v>1</v>
      </c>
      <c r="E3635" s="1">
        <v>-5.8</v>
      </c>
      <c r="F3635" t="s">
        <v>25</v>
      </c>
      <c r="G3635" t="str">
        <f>_xlfn.XLOOKUP(transakcje[[#This Row],[podkategoria]],parametr[podkategoria],parametr[kategoria])</f>
        <v>opłaty stałe</v>
      </c>
      <c r="H3635" t="str">
        <f>_xlfn.XLOOKUP(transakcje[[#This Row],[kategoria]],parametr[kategoria],parametr[typ])</f>
        <v>wydatki</v>
      </c>
      <c r="I3635" s="1">
        <f>ABS(transakcje[[#This Row],[kwota]])</f>
        <v>5.8</v>
      </c>
    </row>
    <row r="3636" spans="1:9" x14ac:dyDescent="0.3">
      <c r="A3636">
        <v>3635</v>
      </c>
      <c r="B3636">
        <v>2021</v>
      </c>
      <c r="C3636">
        <v>10</v>
      </c>
      <c r="D3636">
        <v>1</v>
      </c>
      <c r="E3636" s="1">
        <v>-4.9000000000000004</v>
      </c>
      <c r="F3636" t="s">
        <v>37</v>
      </c>
      <c r="G3636" t="str">
        <f>_xlfn.XLOOKUP(transakcje[[#This Row],[podkategoria]],parametr[podkategoria],parametr[kategoria])</f>
        <v>opłaty stałe</v>
      </c>
      <c r="H3636" t="str">
        <f>_xlfn.XLOOKUP(transakcje[[#This Row],[kategoria]],parametr[kategoria],parametr[typ])</f>
        <v>wydatki</v>
      </c>
      <c r="I3636" s="1">
        <f>ABS(transakcje[[#This Row],[kwota]])</f>
        <v>4.9000000000000004</v>
      </c>
    </row>
    <row r="3637" spans="1:9" x14ac:dyDescent="0.3">
      <c r="A3637">
        <v>3636</v>
      </c>
      <c r="B3637">
        <v>2021</v>
      </c>
      <c r="C3637">
        <v>10</v>
      </c>
      <c r="D3637">
        <v>2</v>
      </c>
      <c r="E3637" s="1">
        <v>-19.448</v>
      </c>
      <c r="F3637" t="s">
        <v>26</v>
      </c>
      <c r="G3637" t="str">
        <f>_xlfn.XLOOKUP(transakcje[[#This Row],[podkategoria]],parametr[podkategoria],parametr[kategoria])</f>
        <v>życie</v>
      </c>
      <c r="H3637" t="str">
        <f>_xlfn.XLOOKUP(transakcje[[#This Row],[kategoria]],parametr[kategoria],parametr[typ])</f>
        <v>wydatki</v>
      </c>
      <c r="I3637" s="1">
        <f>ABS(transakcje[[#This Row],[kwota]])</f>
        <v>19.448</v>
      </c>
    </row>
    <row r="3638" spans="1:9" x14ac:dyDescent="0.3">
      <c r="A3638">
        <v>3637</v>
      </c>
      <c r="B3638">
        <v>2021</v>
      </c>
      <c r="C3638">
        <v>10</v>
      </c>
      <c r="D3638">
        <v>4</v>
      </c>
      <c r="E3638" s="1">
        <v>-2.58</v>
      </c>
      <c r="F3638" t="s">
        <v>26</v>
      </c>
      <c r="G3638" t="str">
        <f>_xlfn.XLOOKUP(transakcje[[#This Row],[podkategoria]],parametr[podkategoria],parametr[kategoria])</f>
        <v>życie</v>
      </c>
      <c r="H3638" t="str">
        <f>_xlfn.XLOOKUP(transakcje[[#This Row],[kategoria]],parametr[kategoria],parametr[typ])</f>
        <v>wydatki</v>
      </c>
      <c r="I3638" s="1">
        <f>ABS(transakcje[[#This Row],[kwota]])</f>
        <v>2.58</v>
      </c>
    </row>
    <row r="3639" spans="1:9" x14ac:dyDescent="0.3">
      <c r="A3639">
        <v>3638</v>
      </c>
      <c r="B3639">
        <v>2021</v>
      </c>
      <c r="C3639">
        <v>10</v>
      </c>
      <c r="D3639">
        <v>5</v>
      </c>
      <c r="E3639" s="1">
        <v>-7.0400000000000009</v>
      </c>
      <c r="F3639" t="s">
        <v>26</v>
      </c>
      <c r="G3639" t="str">
        <f>_xlfn.XLOOKUP(transakcje[[#This Row],[podkategoria]],parametr[podkategoria],parametr[kategoria])</f>
        <v>życie</v>
      </c>
      <c r="H3639" t="str">
        <f>_xlfn.XLOOKUP(transakcje[[#This Row],[kategoria]],parametr[kategoria],parametr[typ])</f>
        <v>wydatki</v>
      </c>
      <c r="I3639" s="1">
        <f>ABS(transakcje[[#This Row],[kwota]])</f>
        <v>7.0400000000000009</v>
      </c>
    </row>
    <row r="3640" spans="1:9" x14ac:dyDescent="0.3">
      <c r="A3640">
        <v>3639</v>
      </c>
      <c r="B3640">
        <v>2021</v>
      </c>
      <c r="C3640">
        <v>10</v>
      </c>
      <c r="D3640">
        <v>6</v>
      </c>
      <c r="E3640" s="1">
        <v>-3.55</v>
      </c>
      <c r="F3640" t="s">
        <v>26</v>
      </c>
      <c r="G3640" t="str">
        <f>_xlfn.XLOOKUP(transakcje[[#This Row],[podkategoria]],parametr[podkategoria],parametr[kategoria])</f>
        <v>życie</v>
      </c>
      <c r="H3640" t="str">
        <f>_xlfn.XLOOKUP(transakcje[[#This Row],[kategoria]],parametr[kategoria],parametr[typ])</f>
        <v>wydatki</v>
      </c>
      <c r="I3640" s="1">
        <f>ABS(transakcje[[#This Row],[kwota]])</f>
        <v>3.55</v>
      </c>
    </row>
    <row r="3641" spans="1:9" x14ac:dyDescent="0.3">
      <c r="A3641">
        <v>3640</v>
      </c>
      <c r="B3641">
        <v>2021</v>
      </c>
      <c r="C3641">
        <v>10</v>
      </c>
      <c r="D3641">
        <v>7</v>
      </c>
      <c r="E3641" s="1">
        <v>140</v>
      </c>
      <c r="F3641" t="s">
        <v>16</v>
      </c>
      <c r="G3641" t="str">
        <f>_xlfn.XLOOKUP(transakcje[[#This Row],[podkategoria]],parametr[podkategoria],parametr[kategoria])</f>
        <v>dochody z pracy</v>
      </c>
      <c r="H3641" t="str">
        <f>_xlfn.XLOOKUP(transakcje[[#This Row],[kategoria]],parametr[kategoria],parametr[typ])</f>
        <v>dochody</v>
      </c>
      <c r="I3641" s="1">
        <f>ABS(transakcje[[#This Row],[kwota]])</f>
        <v>140</v>
      </c>
    </row>
    <row r="3642" spans="1:9" x14ac:dyDescent="0.3">
      <c r="A3642">
        <v>3641</v>
      </c>
      <c r="B3642">
        <v>2021</v>
      </c>
      <c r="C3642">
        <v>10</v>
      </c>
      <c r="D3642">
        <v>8</v>
      </c>
      <c r="E3642" s="1">
        <v>-8.6</v>
      </c>
      <c r="F3642" t="s">
        <v>26</v>
      </c>
      <c r="G3642" t="str">
        <f>_xlfn.XLOOKUP(transakcje[[#This Row],[podkategoria]],parametr[podkategoria],parametr[kategoria])</f>
        <v>życie</v>
      </c>
      <c r="H3642" t="str">
        <f>_xlfn.XLOOKUP(transakcje[[#This Row],[kategoria]],parametr[kategoria],parametr[typ])</f>
        <v>wydatki</v>
      </c>
      <c r="I3642" s="1">
        <f>ABS(transakcje[[#This Row],[kwota]])</f>
        <v>8.6</v>
      </c>
    </row>
    <row r="3643" spans="1:9" x14ac:dyDescent="0.3">
      <c r="A3643">
        <v>3642</v>
      </c>
      <c r="B3643">
        <v>2021</v>
      </c>
      <c r="C3643">
        <v>10</v>
      </c>
      <c r="D3643">
        <v>9</v>
      </c>
      <c r="E3643" s="1">
        <v>-7.2219999999999995</v>
      </c>
      <c r="F3643" t="s">
        <v>26</v>
      </c>
      <c r="G3643" t="str">
        <f>_xlfn.XLOOKUP(transakcje[[#This Row],[podkategoria]],parametr[podkategoria],parametr[kategoria])</f>
        <v>życie</v>
      </c>
      <c r="H3643" t="str">
        <f>_xlfn.XLOOKUP(transakcje[[#This Row],[kategoria]],parametr[kategoria],parametr[typ])</f>
        <v>wydatki</v>
      </c>
      <c r="I3643" s="1">
        <f>ABS(transakcje[[#This Row],[kwota]])</f>
        <v>7.2219999999999995</v>
      </c>
    </row>
    <row r="3644" spans="1:9" x14ac:dyDescent="0.3">
      <c r="A3644">
        <v>3643</v>
      </c>
      <c r="B3644">
        <v>2021</v>
      </c>
      <c r="C3644">
        <v>10</v>
      </c>
      <c r="D3644">
        <v>10</v>
      </c>
      <c r="E3644" s="1">
        <v>-0.79800000000000004</v>
      </c>
      <c r="F3644" t="s">
        <v>26</v>
      </c>
      <c r="G3644" t="str">
        <f>_xlfn.XLOOKUP(transakcje[[#This Row],[podkategoria]],parametr[podkategoria],parametr[kategoria])</f>
        <v>życie</v>
      </c>
      <c r="H3644" t="str">
        <f>_xlfn.XLOOKUP(transakcje[[#This Row],[kategoria]],parametr[kategoria],parametr[typ])</f>
        <v>wydatki</v>
      </c>
      <c r="I3644" s="1">
        <f>ABS(transakcje[[#This Row],[kwota]])</f>
        <v>0.79800000000000004</v>
      </c>
    </row>
    <row r="3645" spans="1:9" x14ac:dyDescent="0.3">
      <c r="A3645">
        <v>3644</v>
      </c>
      <c r="B3645">
        <v>2021</v>
      </c>
      <c r="C3645">
        <v>10</v>
      </c>
      <c r="D3645">
        <v>11</v>
      </c>
      <c r="E3645" s="1">
        <v>-30</v>
      </c>
      <c r="F3645" t="s">
        <v>11</v>
      </c>
      <c r="G3645" t="str">
        <f>_xlfn.XLOOKUP(transakcje[[#This Row],[podkategoria]],parametr[podkategoria],parametr[kategoria])</f>
        <v>wydatki inne</v>
      </c>
      <c r="H3645" t="str">
        <f>_xlfn.XLOOKUP(transakcje[[#This Row],[kategoria]],parametr[kategoria],parametr[typ])</f>
        <v>wydatki</v>
      </c>
      <c r="I3645" s="1">
        <f>ABS(transakcje[[#This Row],[kwota]])</f>
        <v>30</v>
      </c>
    </row>
    <row r="3646" spans="1:9" x14ac:dyDescent="0.3">
      <c r="A3646">
        <v>3645</v>
      </c>
      <c r="B3646">
        <v>2021</v>
      </c>
      <c r="C3646">
        <v>10</v>
      </c>
      <c r="D3646">
        <v>12</v>
      </c>
      <c r="E3646" s="1">
        <v>-3.278</v>
      </c>
      <c r="F3646" t="s">
        <v>26</v>
      </c>
      <c r="G3646" t="str">
        <f>_xlfn.XLOOKUP(transakcje[[#This Row],[podkategoria]],parametr[podkategoria],parametr[kategoria])</f>
        <v>życie</v>
      </c>
      <c r="H3646" t="str">
        <f>_xlfn.XLOOKUP(transakcje[[#This Row],[kategoria]],parametr[kategoria],parametr[typ])</f>
        <v>wydatki</v>
      </c>
      <c r="I3646" s="1">
        <f>ABS(transakcje[[#This Row],[kwota]])</f>
        <v>3.278</v>
      </c>
    </row>
    <row r="3647" spans="1:9" x14ac:dyDescent="0.3">
      <c r="A3647">
        <v>3646</v>
      </c>
      <c r="B3647">
        <v>2021</v>
      </c>
      <c r="C3647">
        <v>10</v>
      </c>
      <c r="D3647">
        <v>13</v>
      </c>
      <c r="E3647" s="1">
        <v>-2.3600000000000003</v>
      </c>
      <c r="F3647" t="s">
        <v>26</v>
      </c>
      <c r="G3647" t="str">
        <f>_xlfn.XLOOKUP(transakcje[[#This Row],[podkategoria]],parametr[podkategoria],parametr[kategoria])</f>
        <v>życie</v>
      </c>
      <c r="H3647" t="str">
        <f>_xlfn.XLOOKUP(transakcje[[#This Row],[kategoria]],parametr[kategoria],parametr[typ])</f>
        <v>wydatki</v>
      </c>
      <c r="I3647" s="1">
        <f>ABS(transakcje[[#This Row],[kwota]])</f>
        <v>2.3600000000000003</v>
      </c>
    </row>
    <row r="3648" spans="1:9" x14ac:dyDescent="0.3">
      <c r="A3648">
        <v>3647</v>
      </c>
      <c r="B3648">
        <v>2021</v>
      </c>
      <c r="C3648">
        <v>10</v>
      </c>
      <c r="D3648">
        <v>19</v>
      </c>
      <c r="E3648" s="1">
        <v>-4.9799999999999995</v>
      </c>
      <c r="F3648" t="s">
        <v>26</v>
      </c>
      <c r="G3648" t="str">
        <f>_xlfn.XLOOKUP(transakcje[[#This Row],[podkategoria]],parametr[podkategoria],parametr[kategoria])</f>
        <v>życie</v>
      </c>
      <c r="H3648" t="str">
        <f>_xlfn.XLOOKUP(transakcje[[#This Row],[kategoria]],parametr[kategoria],parametr[typ])</f>
        <v>wydatki</v>
      </c>
      <c r="I3648" s="1">
        <f>ABS(transakcje[[#This Row],[kwota]])</f>
        <v>4.9799999999999995</v>
      </c>
    </row>
    <row r="3649" spans="1:9" x14ac:dyDescent="0.3">
      <c r="A3649">
        <v>3648</v>
      </c>
      <c r="B3649">
        <v>2021</v>
      </c>
      <c r="C3649">
        <v>10</v>
      </c>
      <c r="D3649">
        <v>19</v>
      </c>
      <c r="E3649" s="1">
        <v>-18</v>
      </c>
      <c r="F3649" t="s">
        <v>26</v>
      </c>
      <c r="G3649" t="str">
        <f>_xlfn.XLOOKUP(transakcje[[#This Row],[podkategoria]],parametr[podkategoria],parametr[kategoria])</f>
        <v>życie</v>
      </c>
      <c r="H3649" t="str">
        <f>_xlfn.XLOOKUP(transakcje[[#This Row],[kategoria]],parametr[kategoria],parametr[typ])</f>
        <v>wydatki</v>
      </c>
      <c r="I3649" s="1">
        <f>ABS(transakcje[[#This Row],[kwota]])</f>
        <v>18</v>
      </c>
    </row>
    <row r="3650" spans="1:9" x14ac:dyDescent="0.3">
      <c r="A3650">
        <v>3649</v>
      </c>
      <c r="B3650">
        <v>2021</v>
      </c>
      <c r="C3650">
        <v>10</v>
      </c>
      <c r="D3650">
        <v>19</v>
      </c>
      <c r="E3650" s="1">
        <v>-1.5880000000000001</v>
      </c>
      <c r="F3650" t="s">
        <v>26</v>
      </c>
      <c r="G3650" t="str">
        <f>_xlfn.XLOOKUP(transakcje[[#This Row],[podkategoria]],parametr[podkategoria],parametr[kategoria])</f>
        <v>życie</v>
      </c>
      <c r="H3650" t="str">
        <f>_xlfn.XLOOKUP(transakcje[[#This Row],[kategoria]],parametr[kategoria],parametr[typ])</f>
        <v>wydatki</v>
      </c>
      <c r="I3650" s="1">
        <f>ABS(transakcje[[#This Row],[kwota]])</f>
        <v>1.5880000000000001</v>
      </c>
    </row>
    <row r="3651" spans="1:9" x14ac:dyDescent="0.3">
      <c r="A3651">
        <v>3650</v>
      </c>
      <c r="B3651">
        <v>2021</v>
      </c>
      <c r="C3651">
        <v>10</v>
      </c>
      <c r="D3651">
        <v>22</v>
      </c>
      <c r="E3651" s="1">
        <v>-8.8159999999999989</v>
      </c>
      <c r="F3651" t="s">
        <v>26</v>
      </c>
      <c r="G3651" t="str">
        <f>_xlfn.XLOOKUP(transakcje[[#This Row],[podkategoria]],parametr[podkategoria],parametr[kategoria])</f>
        <v>życie</v>
      </c>
      <c r="H3651" t="str">
        <f>_xlfn.XLOOKUP(transakcje[[#This Row],[kategoria]],parametr[kategoria],parametr[typ])</f>
        <v>wydatki</v>
      </c>
      <c r="I3651" s="1">
        <f>ABS(transakcje[[#This Row],[kwota]])</f>
        <v>8.8159999999999989</v>
      </c>
    </row>
    <row r="3652" spans="1:9" x14ac:dyDescent="0.3">
      <c r="A3652">
        <v>3651</v>
      </c>
      <c r="B3652">
        <v>2021</v>
      </c>
      <c r="C3652">
        <v>10</v>
      </c>
      <c r="D3652">
        <v>22</v>
      </c>
      <c r="E3652" s="1">
        <v>-0.2</v>
      </c>
      <c r="F3652" t="s">
        <v>14</v>
      </c>
      <c r="G3652" t="str">
        <f>_xlfn.XLOOKUP(transakcje[[#This Row],[podkategoria]],parametr[podkategoria],parametr[kategoria])</f>
        <v>opłaty stałe</v>
      </c>
      <c r="H3652" t="str">
        <f>_xlfn.XLOOKUP(transakcje[[#This Row],[kategoria]],parametr[kategoria],parametr[typ])</f>
        <v>wydatki</v>
      </c>
      <c r="I3652" s="1">
        <f>ABS(transakcje[[#This Row],[kwota]])</f>
        <v>0.2</v>
      </c>
    </row>
    <row r="3653" spans="1:9" x14ac:dyDescent="0.3">
      <c r="A3653">
        <v>3652</v>
      </c>
      <c r="B3653">
        <v>2021</v>
      </c>
      <c r="C3653">
        <v>10</v>
      </c>
      <c r="D3653">
        <v>23</v>
      </c>
      <c r="E3653" s="1">
        <v>-23.8</v>
      </c>
      <c r="F3653" t="s">
        <v>32</v>
      </c>
      <c r="G3653" t="str">
        <f>_xlfn.XLOOKUP(transakcje[[#This Row],[podkategoria]],parametr[podkategoria],parametr[kategoria])</f>
        <v>opłaty stałe</v>
      </c>
      <c r="H3653" t="str">
        <f>_xlfn.XLOOKUP(transakcje[[#This Row],[kategoria]],parametr[kategoria],parametr[typ])</f>
        <v>wydatki</v>
      </c>
      <c r="I3653" s="1">
        <f>ABS(transakcje[[#This Row],[kwota]])</f>
        <v>23.8</v>
      </c>
    </row>
    <row r="3654" spans="1:9" x14ac:dyDescent="0.3">
      <c r="A3654">
        <v>3653</v>
      </c>
      <c r="B3654">
        <v>2021</v>
      </c>
      <c r="C3654">
        <v>10</v>
      </c>
      <c r="D3654">
        <v>25</v>
      </c>
      <c r="E3654" s="1">
        <v>740.91800000000001</v>
      </c>
      <c r="F3654" t="s">
        <v>8</v>
      </c>
      <c r="G3654" t="str">
        <f>_xlfn.XLOOKUP(transakcje[[#This Row],[podkategoria]],parametr[podkategoria],parametr[kategoria])</f>
        <v>dochody z pracy</v>
      </c>
      <c r="H3654" t="str">
        <f>_xlfn.XLOOKUP(transakcje[[#This Row],[kategoria]],parametr[kategoria],parametr[typ])</f>
        <v>dochody</v>
      </c>
      <c r="I3654" s="1">
        <f>ABS(transakcje[[#This Row],[kwota]])</f>
        <v>740.91800000000001</v>
      </c>
    </row>
    <row r="3655" spans="1:9" x14ac:dyDescent="0.3">
      <c r="A3655">
        <v>3654</v>
      </c>
      <c r="B3655">
        <v>2021</v>
      </c>
      <c r="C3655">
        <v>10</v>
      </c>
      <c r="D3655">
        <v>27</v>
      </c>
      <c r="E3655" s="1">
        <v>-1.1779999999999999</v>
      </c>
      <c r="F3655" t="s">
        <v>26</v>
      </c>
      <c r="G3655" t="str">
        <f>_xlfn.XLOOKUP(transakcje[[#This Row],[podkategoria]],parametr[podkategoria],parametr[kategoria])</f>
        <v>życie</v>
      </c>
      <c r="H3655" t="str">
        <f>_xlfn.XLOOKUP(transakcje[[#This Row],[kategoria]],parametr[kategoria],parametr[typ])</f>
        <v>wydatki</v>
      </c>
      <c r="I3655" s="1">
        <f>ABS(transakcje[[#This Row],[kwota]])</f>
        <v>1.1779999999999999</v>
      </c>
    </row>
    <row r="3656" spans="1:9" x14ac:dyDescent="0.3">
      <c r="A3656">
        <v>3655</v>
      </c>
      <c r="B3656">
        <v>2021</v>
      </c>
      <c r="C3656">
        <v>10</v>
      </c>
      <c r="D3656">
        <v>28</v>
      </c>
      <c r="E3656" s="1">
        <v>-16.368000000000002</v>
      </c>
      <c r="F3656" t="s">
        <v>26</v>
      </c>
      <c r="G3656" t="str">
        <f>_xlfn.XLOOKUP(transakcje[[#This Row],[podkategoria]],parametr[podkategoria],parametr[kategoria])</f>
        <v>życie</v>
      </c>
      <c r="H3656" t="str">
        <f>_xlfn.XLOOKUP(transakcje[[#This Row],[kategoria]],parametr[kategoria],parametr[typ])</f>
        <v>wydatki</v>
      </c>
      <c r="I3656" s="1">
        <f>ABS(transakcje[[#This Row],[kwota]])</f>
        <v>16.368000000000002</v>
      </c>
    </row>
    <row r="3657" spans="1:9" x14ac:dyDescent="0.3">
      <c r="A3657">
        <v>3656</v>
      </c>
      <c r="B3657">
        <v>2021</v>
      </c>
      <c r="C3657">
        <v>10</v>
      </c>
      <c r="D3657">
        <v>29</v>
      </c>
      <c r="E3657" s="1">
        <v>-573.79999999999995</v>
      </c>
      <c r="F3657" t="s">
        <v>24</v>
      </c>
      <c r="G3657" t="str">
        <f>_xlfn.XLOOKUP(transakcje[[#This Row],[podkategoria]],parametr[podkategoria],parametr[kategoria])</f>
        <v>trwałe</v>
      </c>
      <c r="H3657" t="str">
        <f>_xlfn.XLOOKUP(transakcje[[#This Row],[kategoria]],parametr[kategoria],parametr[typ])</f>
        <v>wydatki</v>
      </c>
      <c r="I3657" s="1">
        <f>ABS(transakcje[[#This Row],[kwota]])</f>
        <v>573.79999999999995</v>
      </c>
    </row>
    <row r="3658" spans="1:9" x14ac:dyDescent="0.3">
      <c r="A3658">
        <v>3657</v>
      </c>
      <c r="B3658">
        <v>2021</v>
      </c>
      <c r="C3658">
        <v>10</v>
      </c>
      <c r="D3658">
        <v>29</v>
      </c>
      <c r="E3658" s="1">
        <v>-0.91999999999999993</v>
      </c>
      <c r="F3658" t="s">
        <v>26</v>
      </c>
      <c r="G3658" t="str">
        <f>_xlfn.XLOOKUP(transakcje[[#This Row],[podkategoria]],parametr[podkategoria],parametr[kategoria])</f>
        <v>życie</v>
      </c>
      <c r="H3658" t="str">
        <f>_xlfn.XLOOKUP(transakcje[[#This Row],[kategoria]],parametr[kategoria],parametr[typ])</f>
        <v>wydatki</v>
      </c>
      <c r="I3658" s="1">
        <f>ABS(transakcje[[#This Row],[kwota]])</f>
        <v>0.91999999999999993</v>
      </c>
    </row>
    <row r="3659" spans="1:9" x14ac:dyDescent="0.3">
      <c r="A3659">
        <v>3658</v>
      </c>
      <c r="B3659">
        <v>2021</v>
      </c>
      <c r="C3659">
        <v>10</v>
      </c>
      <c r="D3659">
        <v>30</v>
      </c>
      <c r="E3659" s="1">
        <v>-2E-3</v>
      </c>
      <c r="F3659" t="s">
        <v>14</v>
      </c>
      <c r="G3659" t="str">
        <f>_xlfn.XLOOKUP(transakcje[[#This Row],[podkategoria]],parametr[podkategoria],parametr[kategoria])</f>
        <v>opłaty stałe</v>
      </c>
      <c r="H3659" t="str">
        <f>_xlfn.XLOOKUP(transakcje[[#This Row],[kategoria]],parametr[kategoria],parametr[typ])</f>
        <v>wydatki</v>
      </c>
      <c r="I3659" s="1">
        <f>ABS(transakcje[[#This Row],[kwota]])</f>
        <v>2E-3</v>
      </c>
    </row>
    <row r="3660" spans="1:9" x14ac:dyDescent="0.3">
      <c r="A3660">
        <v>3659</v>
      </c>
      <c r="B3660">
        <v>2021</v>
      </c>
      <c r="C3660">
        <v>10</v>
      </c>
      <c r="D3660">
        <v>30</v>
      </c>
      <c r="E3660" s="1">
        <v>6.0000000000000001E-3</v>
      </c>
      <c r="F3660" t="s">
        <v>17</v>
      </c>
      <c r="G3660" t="str">
        <f>_xlfn.XLOOKUP(transakcje[[#This Row],[podkategoria]],parametr[podkategoria],parametr[kategoria])</f>
        <v>dochody pozostałe</v>
      </c>
      <c r="H3660" t="str">
        <f>_xlfn.XLOOKUP(transakcje[[#This Row],[kategoria]],parametr[kategoria],parametr[typ])</f>
        <v>dochody</v>
      </c>
      <c r="I3660" s="1">
        <f>ABS(transakcje[[#This Row],[kwota]])</f>
        <v>6.0000000000000001E-3</v>
      </c>
    </row>
    <row r="3661" spans="1:9" x14ac:dyDescent="0.3">
      <c r="A3661">
        <v>3660</v>
      </c>
      <c r="B3661">
        <v>2021</v>
      </c>
      <c r="C3661">
        <v>10</v>
      </c>
      <c r="D3661">
        <v>31</v>
      </c>
      <c r="E3661" s="1">
        <v>-1.4</v>
      </c>
      <c r="F3661" t="s">
        <v>14</v>
      </c>
      <c r="G3661" t="str">
        <f>_xlfn.XLOOKUP(transakcje[[#This Row],[podkategoria]],parametr[podkategoria],parametr[kategoria])</f>
        <v>opłaty stałe</v>
      </c>
      <c r="H3661" t="str">
        <f>_xlfn.XLOOKUP(transakcje[[#This Row],[kategoria]],parametr[kategoria],parametr[typ])</f>
        <v>wydatki</v>
      </c>
      <c r="I3661" s="1">
        <f>ABS(transakcje[[#This Row],[kwota]])</f>
        <v>1.4</v>
      </c>
    </row>
    <row r="3662" spans="1:9" x14ac:dyDescent="0.3">
      <c r="A3662">
        <v>3661</v>
      </c>
      <c r="B3662">
        <v>2021</v>
      </c>
      <c r="C3662">
        <v>11</v>
      </c>
      <c r="D3662">
        <v>1</v>
      </c>
      <c r="E3662" s="1">
        <v>-4.9000000000000004</v>
      </c>
      <c r="F3662" t="s">
        <v>37</v>
      </c>
      <c r="G3662" t="str">
        <f>_xlfn.XLOOKUP(transakcje[[#This Row],[podkategoria]],parametr[podkategoria],parametr[kategoria])</f>
        <v>opłaty stałe</v>
      </c>
      <c r="H3662" t="str">
        <f>_xlfn.XLOOKUP(transakcje[[#This Row],[kategoria]],parametr[kategoria],parametr[typ])</f>
        <v>wydatki</v>
      </c>
      <c r="I3662" s="1">
        <f>ABS(transakcje[[#This Row],[kwota]])</f>
        <v>4.9000000000000004</v>
      </c>
    </row>
    <row r="3663" spans="1:9" x14ac:dyDescent="0.3">
      <c r="A3663">
        <v>3662</v>
      </c>
      <c r="B3663">
        <v>2021</v>
      </c>
      <c r="C3663">
        <v>11</v>
      </c>
      <c r="D3663">
        <v>1</v>
      </c>
      <c r="E3663" s="1">
        <v>-21.334</v>
      </c>
      <c r="F3663" t="s">
        <v>34</v>
      </c>
      <c r="G3663" t="str">
        <f>_xlfn.XLOOKUP(transakcje[[#This Row],[podkategoria]],parametr[podkategoria],parametr[kategoria])</f>
        <v>opłaty stałe</v>
      </c>
      <c r="H3663" t="str">
        <f>_xlfn.XLOOKUP(transakcje[[#This Row],[kategoria]],parametr[kategoria],parametr[typ])</f>
        <v>wydatki</v>
      </c>
      <c r="I3663" s="1">
        <f>ABS(transakcje[[#This Row],[kwota]])</f>
        <v>21.334</v>
      </c>
    </row>
    <row r="3664" spans="1:9" x14ac:dyDescent="0.3">
      <c r="A3664">
        <v>3663</v>
      </c>
      <c r="B3664">
        <v>2021</v>
      </c>
      <c r="C3664">
        <v>11</v>
      </c>
      <c r="D3664">
        <v>1</v>
      </c>
      <c r="E3664" s="1">
        <v>-5.8</v>
      </c>
      <c r="F3664" t="s">
        <v>25</v>
      </c>
      <c r="G3664" t="str">
        <f>_xlfn.XLOOKUP(transakcje[[#This Row],[podkategoria]],parametr[podkategoria],parametr[kategoria])</f>
        <v>opłaty stałe</v>
      </c>
      <c r="H3664" t="str">
        <f>_xlfn.XLOOKUP(transakcje[[#This Row],[kategoria]],parametr[kategoria],parametr[typ])</f>
        <v>wydatki</v>
      </c>
      <c r="I3664" s="1">
        <f>ABS(transakcje[[#This Row],[kwota]])</f>
        <v>5.8</v>
      </c>
    </row>
    <row r="3665" spans="1:9" x14ac:dyDescent="0.3">
      <c r="A3665">
        <v>3664</v>
      </c>
      <c r="B3665">
        <v>2021</v>
      </c>
      <c r="C3665">
        <v>11</v>
      </c>
      <c r="D3665">
        <v>1</v>
      </c>
      <c r="E3665" s="1">
        <v>-7.38</v>
      </c>
      <c r="F3665" t="s">
        <v>23</v>
      </c>
      <c r="G3665" t="str">
        <f>_xlfn.XLOOKUP(transakcje[[#This Row],[podkategoria]],parametr[podkategoria],parametr[kategoria])</f>
        <v>opłaty stałe</v>
      </c>
      <c r="H3665" t="str">
        <f>_xlfn.XLOOKUP(transakcje[[#This Row],[kategoria]],parametr[kategoria],parametr[typ])</f>
        <v>wydatki</v>
      </c>
      <c r="I3665" s="1">
        <f>ABS(transakcje[[#This Row],[kwota]])</f>
        <v>7.38</v>
      </c>
    </row>
    <row r="3666" spans="1:9" x14ac:dyDescent="0.3">
      <c r="A3666">
        <v>3665</v>
      </c>
      <c r="B3666">
        <v>2021</v>
      </c>
      <c r="C3666">
        <v>11</v>
      </c>
      <c r="D3666">
        <v>1</v>
      </c>
      <c r="E3666" s="1">
        <v>-72.304000000000002</v>
      </c>
      <c r="F3666" t="s">
        <v>31</v>
      </c>
      <c r="G3666" t="str">
        <f>_xlfn.XLOOKUP(transakcje[[#This Row],[podkategoria]],parametr[podkategoria],parametr[kategoria])</f>
        <v>opłaty stałe</v>
      </c>
      <c r="H3666" t="str">
        <f>_xlfn.XLOOKUP(transakcje[[#This Row],[kategoria]],parametr[kategoria],parametr[typ])</f>
        <v>wydatki</v>
      </c>
      <c r="I3666" s="1">
        <f>ABS(transakcje[[#This Row],[kwota]])</f>
        <v>72.304000000000002</v>
      </c>
    </row>
    <row r="3667" spans="1:9" x14ac:dyDescent="0.3">
      <c r="A3667">
        <v>3666</v>
      </c>
      <c r="B3667">
        <v>2021</v>
      </c>
      <c r="C3667">
        <v>11</v>
      </c>
      <c r="D3667">
        <v>2</v>
      </c>
      <c r="E3667" s="1">
        <v>-0.4</v>
      </c>
      <c r="F3667" t="s">
        <v>26</v>
      </c>
      <c r="G3667" t="str">
        <f>_xlfn.XLOOKUP(transakcje[[#This Row],[podkategoria]],parametr[podkategoria],parametr[kategoria])</f>
        <v>życie</v>
      </c>
      <c r="H3667" t="str">
        <f>_xlfn.XLOOKUP(transakcje[[#This Row],[kategoria]],parametr[kategoria],parametr[typ])</f>
        <v>wydatki</v>
      </c>
      <c r="I3667" s="1">
        <f>ABS(transakcje[[#This Row],[kwota]])</f>
        <v>0.4</v>
      </c>
    </row>
    <row r="3668" spans="1:9" x14ac:dyDescent="0.3">
      <c r="A3668">
        <v>3667</v>
      </c>
      <c r="B3668">
        <v>2021</v>
      </c>
      <c r="C3668">
        <v>11</v>
      </c>
      <c r="D3668">
        <v>3</v>
      </c>
      <c r="E3668" s="1">
        <v>-10.837999999999999</v>
      </c>
      <c r="F3668" t="s">
        <v>26</v>
      </c>
      <c r="G3668" t="str">
        <f>_xlfn.XLOOKUP(transakcje[[#This Row],[podkategoria]],parametr[podkategoria],parametr[kategoria])</f>
        <v>życie</v>
      </c>
      <c r="H3668" t="str">
        <f>_xlfn.XLOOKUP(transakcje[[#This Row],[kategoria]],parametr[kategoria],parametr[typ])</f>
        <v>wydatki</v>
      </c>
      <c r="I3668" s="1">
        <f>ABS(transakcje[[#This Row],[kwota]])</f>
        <v>10.837999999999999</v>
      </c>
    </row>
    <row r="3669" spans="1:9" x14ac:dyDescent="0.3">
      <c r="A3669">
        <v>3668</v>
      </c>
      <c r="B3669">
        <v>2021</v>
      </c>
      <c r="C3669">
        <v>11</v>
      </c>
      <c r="D3669">
        <v>4</v>
      </c>
      <c r="E3669" s="1">
        <v>-4.0039999999999996</v>
      </c>
      <c r="F3669" t="s">
        <v>26</v>
      </c>
      <c r="G3669" t="str">
        <f>_xlfn.XLOOKUP(transakcje[[#This Row],[podkategoria]],parametr[podkategoria],parametr[kategoria])</f>
        <v>życie</v>
      </c>
      <c r="H3669" t="str">
        <f>_xlfn.XLOOKUP(transakcje[[#This Row],[kategoria]],parametr[kategoria],parametr[typ])</f>
        <v>wydatki</v>
      </c>
      <c r="I3669" s="1">
        <f>ABS(transakcje[[#This Row],[kwota]])</f>
        <v>4.0039999999999996</v>
      </c>
    </row>
    <row r="3670" spans="1:9" x14ac:dyDescent="0.3">
      <c r="A3670">
        <v>3669</v>
      </c>
      <c r="B3670">
        <v>2021</v>
      </c>
      <c r="C3670">
        <v>11</v>
      </c>
      <c r="D3670">
        <v>5</v>
      </c>
      <c r="E3670" s="1">
        <v>-0.79800000000000004</v>
      </c>
      <c r="F3670" t="s">
        <v>26</v>
      </c>
      <c r="G3670" t="str">
        <f>_xlfn.XLOOKUP(transakcje[[#This Row],[podkategoria]],parametr[podkategoria],parametr[kategoria])</f>
        <v>życie</v>
      </c>
      <c r="H3670" t="str">
        <f>_xlfn.XLOOKUP(transakcje[[#This Row],[kategoria]],parametr[kategoria],parametr[typ])</f>
        <v>wydatki</v>
      </c>
      <c r="I3670" s="1">
        <f>ABS(transakcje[[#This Row],[kwota]])</f>
        <v>0.79800000000000004</v>
      </c>
    </row>
    <row r="3671" spans="1:9" x14ac:dyDescent="0.3">
      <c r="A3671">
        <v>3670</v>
      </c>
      <c r="B3671">
        <v>2021</v>
      </c>
      <c r="C3671">
        <v>11</v>
      </c>
      <c r="D3671">
        <v>6</v>
      </c>
      <c r="E3671" s="1">
        <v>-0.91999999999999993</v>
      </c>
      <c r="F3671" t="s">
        <v>26</v>
      </c>
      <c r="G3671" t="str">
        <f>_xlfn.XLOOKUP(transakcje[[#This Row],[podkategoria]],parametr[podkategoria],parametr[kategoria])</f>
        <v>życie</v>
      </c>
      <c r="H3671" t="str">
        <f>_xlfn.XLOOKUP(transakcje[[#This Row],[kategoria]],parametr[kategoria],parametr[typ])</f>
        <v>wydatki</v>
      </c>
      <c r="I3671" s="1">
        <f>ABS(transakcje[[#This Row],[kwota]])</f>
        <v>0.91999999999999993</v>
      </c>
    </row>
    <row r="3672" spans="1:9" x14ac:dyDescent="0.3">
      <c r="A3672">
        <v>3671</v>
      </c>
      <c r="B3672">
        <v>2021</v>
      </c>
      <c r="C3672">
        <v>11</v>
      </c>
      <c r="D3672">
        <v>8</v>
      </c>
      <c r="E3672" s="1">
        <v>366.72399999999999</v>
      </c>
      <c r="F3672" t="s">
        <v>19</v>
      </c>
      <c r="G3672" t="str">
        <f>_xlfn.XLOOKUP(transakcje[[#This Row],[podkategoria]],parametr[podkategoria],parametr[kategoria])</f>
        <v>dochody z pracy</v>
      </c>
      <c r="H3672" t="str">
        <f>_xlfn.XLOOKUP(transakcje[[#This Row],[kategoria]],parametr[kategoria],parametr[typ])</f>
        <v>dochody</v>
      </c>
      <c r="I3672" s="1">
        <f>ABS(transakcje[[#This Row],[kwota]])</f>
        <v>366.72399999999999</v>
      </c>
    </row>
    <row r="3673" spans="1:9" x14ac:dyDescent="0.3">
      <c r="A3673">
        <v>3672</v>
      </c>
      <c r="B3673">
        <v>2021</v>
      </c>
      <c r="C3673">
        <v>11</v>
      </c>
      <c r="D3673">
        <v>8</v>
      </c>
      <c r="E3673" s="1">
        <v>-3.2479999999999998</v>
      </c>
      <c r="F3673" t="s">
        <v>26</v>
      </c>
      <c r="G3673" t="str">
        <f>_xlfn.XLOOKUP(transakcje[[#This Row],[podkategoria]],parametr[podkategoria],parametr[kategoria])</f>
        <v>życie</v>
      </c>
      <c r="H3673" t="str">
        <f>_xlfn.XLOOKUP(transakcje[[#This Row],[kategoria]],parametr[kategoria],parametr[typ])</f>
        <v>wydatki</v>
      </c>
      <c r="I3673" s="1">
        <f>ABS(transakcje[[#This Row],[kwota]])</f>
        <v>3.2479999999999998</v>
      </c>
    </row>
    <row r="3674" spans="1:9" x14ac:dyDescent="0.3">
      <c r="A3674">
        <v>3673</v>
      </c>
      <c r="B3674">
        <v>2021</v>
      </c>
      <c r="C3674">
        <v>11</v>
      </c>
      <c r="D3674">
        <v>8</v>
      </c>
      <c r="E3674" s="1">
        <v>-4.4779999999999998</v>
      </c>
      <c r="F3674" t="s">
        <v>26</v>
      </c>
      <c r="G3674" t="str">
        <f>_xlfn.XLOOKUP(transakcje[[#This Row],[podkategoria]],parametr[podkategoria],parametr[kategoria])</f>
        <v>życie</v>
      </c>
      <c r="H3674" t="str">
        <f>_xlfn.XLOOKUP(transakcje[[#This Row],[kategoria]],parametr[kategoria],parametr[typ])</f>
        <v>wydatki</v>
      </c>
      <c r="I3674" s="1">
        <f>ABS(transakcje[[#This Row],[kwota]])</f>
        <v>4.4779999999999998</v>
      </c>
    </row>
    <row r="3675" spans="1:9" x14ac:dyDescent="0.3">
      <c r="A3675">
        <v>3674</v>
      </c>
      <c r="B3675">
        <v>2021</v>
      </c>
      <c r="C3675">
        <v>11</v>
      </c>
      <c r="D3675">
        <v>8</v>
      </c>
      <c r="E3675" s="1">
        <v>-15.7</v>
      </c>
      <c r="F3675" t="s">
        <v>26</v>
      </c>
      <c r="G3675" t="str">
        <f>_xlfn.XLOOKUP(transakcje[[#This Row],[podkategoria]],parametr[podkategoria],parametr[kategoria])</f>
        <v>życie</v>
      </c>
      <c r="H3675" t="str">
        <f>_xlfn.XLOOKUP(transakcje[[#This Row],[kategoria]],parametr[kategoria],parametr[typ])</f>
        <v>wydatki</v>
      </c>
      <c r="I3675" s="1">
        <f>ABS(transakcje[[#This Row],[kwota]])</f>
        <v>15.7</v>
      </c>
    </row>
    <row r="3676" spans="1:9" x14ac:dyDescent="0.3">
      <c r="A3676">
        <v>3675</v>
      </c>
      <c r="B3676">
        <v>2021</v>
      </c>
      <c r="C3676">
        <v>11</v>
      </c>
      <c r="D3676">
        <v>9</v>
      </c>
      <c r="E3676" s="1">
        <v>-13.697999999999999</v>
      </c>
      <c r="F3676" t="s">
        <v>26</v>
      </c>
      <c r="G3676" t="str">
        <f>_xlfn.XLOOKUP(transakcje[[#This Row],[podkategoria]],parametr[podkategoria],parametr[kategoria])</f>
        <v>życie</v>
      </c>
      <c r="H3676" t="str">
        <f>_xlfn.XLOOKUP(transakcje[[#This Row],[kategoria]],parametr[kategoria],parametr[typ])</f>
        <v>wydatki</v>
      </c>
      <c r="I3676" s="1">
        <f>ABS(transakcje[[#This Row],[kwota]])</f>
        <v>13.697999999999999</v>
      </c>
    </row>
    <row r="3677" spans="1:9" x14ac:dyDescent="0.3">
      <c r="A3677">
        <v>3676</v>
      </c>
      <c r="B3677">
        <v>2021</v>
      </c>
      <c r="C3677">
        <v>11</v>
      </c>
      <c r="D3677">
        <v>10</v>
      </c>
      <c r="E3677" s="1">
        <v>-0.52</v>
      </c>
      <c r="F3677" t="s">
        <v>26</v>
      </c>
      <c r="G3677" t="str">
        <f>_xlfn.XLOOKUP(transakcje[[#This Row],[podkategoria]],parametr[podkategoria],parametr[kategoria])</f>
        <v>życie</v>
      </c>
      <c r="H3677" t="str">
        <f>_xlfn.XLOOKUP(transakcje[[#This Row],[kategoria]],parametr[kategoria],parametr[typ])</f>
        <v>wydatki</v>
      </c>
      <c r="I3677" s="1">
        <f>ABS(transakcje[[#This Row],[kwota]])</f>
        <v>0.52</v>
      </c>
    </row>
    <row r="3678" spans="1:9" x14ac:dyDescent="0.3">
      <c r="A3678">
        <v>3677</v>
      </c>
      <c r="B3678">
        <v>2021</v>
      </c>
      <c r="C3678">
        <v>11</v>
      </c>
      <c r="D3678">
        <v>10</v>
      </c>
      <c r="E3678" s="1">
        <v>-9.1900000000000013</v>
      </c>
      <c r="F3678" t="s">
        <v>26</v>
      </c>
      <c r="G3678" t="str">
        <f>_xlfn.XLOOKUP(transakcje[[#This Row],[podkategoria]],parametr[podkategoria],parametr[kategoria])</f>
        <v>życie</v>
      </c>
      <c r="H3678" t="str">
        <f>_xlfn.XLOOKUP(transakcje[[#This Row],[kategoria]],parametr[kategoria],parametr[typ])</f>
        <v>wydatki</v>
      </c>
      <c r="I3678" s="1">
        <f>ABS(transakcje[[#This Row],[kwota]])</f>
        <v>9.1900000000000013</v>
      </c>
    </row>
    <row r="3679" spans="1:9" x14ac:dyDescent="0.3">
      <c r="A3679">
        <v>3678</v>
      </c>
      <c r="B3679">
        <v>2021</v>
      </c>
      <c r="C3679">
        <v>11</v>
      </c>
      <c r="D3679">
        <v>14</v>
      </c>
      <c r="E3679" s="1">
        <v>-61.998000000000005</v>
      </c>
      <c r="F3679" t="s">
        <v>11</v>
      </c>
      <c r="G3679" t="str">
        <f>_xlfn.XLOOKUP(transakcje[[#This Row],[podkategoria]],parametr[podkategoria],parametr[kategoria])</f>
        <v>wydatki inne</v>
      </c>
      <c r="H3679" t="str">
        <f>_xlfn.XLOOKUP(transakcje[[#This Row],[kategoria]],parametr[kategoria],parametr[typ])</f>
        <v>wydatki</v>
      </c>
      <c r="I3679" s="1">
        <f>ABS(transakcje[[#This Row],[kwota]])</f>
        <v>61.998000000000005</v>
      </c>
    </row>
    <row r="3680" spans="1:9" x14ac:dyDescent="0.3">
      <c r="A3680">
        <v>3679</v>
      </c>
      <c r="B3680">
        <v>2021</v>
      </c>
      <c r="C3680">
        <v>11</v>
      </c>
      <c r="D3680">
        <v>16</v>
      </c>
      <c r="E3680" s="1">
        <v>-0.4</v>
      </c>
      <c r="F3680" t="s">
        <v>14</v>
      </c>
      <c r="G3680" t="str">
        <f>_xlfn.XLOOKUP(transakcje[[#This Row],[podkategoria]],parametr[podkategoria],parametr[kategoria])</f>
        <v>opłaty stałe</v>
      </c>
      <c r="H3680" t="str">
        <f>_xlfn.XLOOKUP(transakcje[[#This Row],[kategoria]],parametr[kategoria],parametr[typ])</f>
        <v>wydatki</v>
      </c>
      <c r="I3680" s="1">
        <f>ABS(transakcje[[#This Row],[kwota]])</f>
        <v>0.4</v>
      </c>
    </row>
    <row r="3681" spans="1:9" x14ac:dyDescent="0.3">
      <c r="A3681">
        <v>3680</v>
      </c>
      <c r="B3681">
        <v>2021</v>
      </c>
      <c r="C3681">
        <v>11</v>
      </c>
      <c r="D3681">
        <v>18</v>
      </c>
      <c r="E3681" s="1">
        <v>-0.4</v>
      </c>
      <c r="F3681" t="s">
        <v>26</v>
      </c>
      <c r="G3681" t="str">
        <f>_xlfn.XLOOKUP(transakcje[[#This Row],[podkategoria]],parametr[podkategoria],parametr[kategoria])</f>
        <v>życie</v>
      </c>
      <c r="H3681" t="str">
        <f>_xlfn.XLOOKUP(transakcje[[#This Row],[kategoria]],parametr[kategoria],parametr[typ])</f>
        <v>wydatki</v>
      </c>
      <c r="I3681" s="1">
        <f>ABS(transakcje[[#This Row],[kwota]])</f>
        <v>0.4</v>
      </c>
    </row>
    <row r="3682" spans="1:9" x14ac:dyDescent="0.3">
      <c r="A3682">
        <v>3681</v>
      </c>
      <c r="B3682">
        <v>2021</v>
      </c>
      <c r="C3682">
        <v>11</v>
      </c>
      <c r="D3682">
        <v>18</v>
      </c>
      <c r="E3682" s="1">
        <v>-17.082000000000001</v>
      </c>
      <c r="F3682" t="s">
        <v>26</v>
      </c>
      <c r="G3682" t="str">
        <f>_xlfn.XLOOKUP(transakcje[[#This Row],[podkategoria]],parametr[podkategoria],parametr[kategoria])</f>
        <v>życie</v>
      </c>
      <c r="H3682" t="str">
        <f>_xlfn.XLOOKUP(transakcje[[#This Row],[kategoria]],parametr[kategoria],parametr[typ])</f>
        <v>wydatki</v>
      </c>
      <c r="I3682" s="1">
        <f>ABS(transakcje[[#This Row],[kwota]])</f>
        <v>17.082000000000001</v>
      </c>
    </row>
    <row r="3683" spans="1:9" x14ac:dyDescent="0.3">
      <c r="A3683">
        <v>3682</v>
      </c>
      <c r="B3683">
        <v>2021</v>
      </c>
      <c r="C3683">
        <v>11</v>
      </c>
      <c r="D3683">
        <v>22</v>
      </c>
      <c r="E3683" s="1">
        <v>-0.52</v>
      </c>
      <c r="F3683" t="s">
        <v>26</v>
      </c>
      <c r="G3683" t="str">
        <f>_xlfn.XLOOKUP(transakcje[[#This Row],[podkategoria]],parametr[podkategoria],parametr[kategoria])</f>
        <v>życie</v>
      </c>
      <c r="H3683" t="str">
        <f>_xlfn.XLOOKUP(transakcje[[#This Row],[kategoria]],parametr[kategoria],parametr[typ])</f>
        <v>wydatki</v>
      </c>
      <c r="I3683" s="1">
        <f>ABS(transakcje[[#This Row],[kwota]])</f>
        <v>0.52</v>
      </c>
    </row>
    <row r="3684" spans="1:9" x14ac:dyDescent="0.3">
      <c r="A3684">
        <v>3683</v>
      </c>
      <c r="B3684">
        <v>2021</v>
      </c>
      <c r="C3684">
        <v>11</v>
      </c>
      <c r="D3684">
        <v>22</v>
      </c>
      <c r="E3684" s="1">
        <v>-6.81</v>
      </c>
      <c r="F3684" t="s">
        <v>26</v>
      </c>
      <c r="G3684" t="str">
        <f>_xlfn.XLOOKUP(transakcje[[#This Row],[podkategoria]],parametr[podkategoria],parametr[kategoria])</f>
        <v>życie</v>
      </c>
      <c r="H3684" t="str">
        <f>_xlfn.XLOOKUP(transakcje[[#This Row],[kategoria]],parametr[kategoria],parametr[typ])</f>
        <v>wydatki</v>
      </c>
      <c r="I3684" s="1">
        <f>ABS(transakcje[[#This Row],[kwota]])</f>
        <v>6.81</v>
      </c>
    </row>
    <row r="3685" spans="1:9" x14ac:dyDescent="0.3">
      <c r="A3685">
        <v>3684</v>
      </c>
      <c r="B3685">
        <v>2021</v>
      </c>
      <c r="C3685">
        <v>11</v>
      </c>
      <c r="D3685">
        <v>23</v>
      </c>
      <c r="E3685" s="1">
        <v>-0.43</v>
      </c>
      <c r="F3685" t="s">
        <v>26</v>
      </c>
      <c r="G3685" t="str">
        <f>_xlfn.XLOOKUP(transakcje[[#This Row],[podkategoria]],parametr[podkategoria],parametr[kategoria])</f>
        <v>życie</v>
      </c>
      <c r="H3685" t="str">
        <f>_xlfn.XLOOKUP(transakcje[[#This Row],[kategoria]],parametr[kategoria],parametr[typ])</f>
        <v>wydatki</v>
      </c>
      <c r="I3685" s="1">
        <f>ABS(transakcje[[#This Row],[kwota]])</f>
        <v>0.43</v>
      </c>
    </row>
    <row r="3686" spans="1:9" x14ac:dyDescent="0.3">
      <c r="A3686">
        <v>3685</v>
      </c>
      <c r="B3686">
        <v>2021</v>
      </c>
      <c r="C3686">
        <v>11</v>
      </c>
      <c r="D3686">
        <v>23</v>
      </c>
      <c r="E3686" s="1">
        <v>-0.2</v>
      </c>
      <c r="F3686" t="s">
        <v>26</v>
      </c>
      <c r="G3686" t="str">
        <f>_xlfn.XLOOKUP(transakcje[[#This Row],[podkategoria]],parametr[podkategoria],parametr[kategoria])</f>
        <v>życie</v>
      </c>
      <c r="H3686" t="str">
        <f>_xlfn.XLOOKUP(transakcje[[#This Row],[kategoria]],parametr[kategoria],parametr[typ])</f>
        <v>wydatki</v>
      </c>
      <c r="I3686" s="1">
        <f>ABS(transakcje[[#This Row],[kwota]])</f>
        <v>0.2</v>
      </c>
    </row>
    <row r="3687" spans="1:9" x14ac:dyDescent="0.3">
      <c r="A3687">
        <v>3686</v>
      </c>
      <c r="B3687">
        <v>2021</v>
      </c>
      <c r="C3687">
        <v>11</v>
      </c>
      <c r="D3687">
        <v>25</v>
      </c>
      <c r="E3687" s="1">
        <v>-23.8</v>
      </c>
      <c r="F3687" t="s">
        <v>32</v>
      </c>
      <c r="G3687" t="str">
        <f>_xlfn.XLOOKUP(transakcje[[#This Row],[podkategoria]],parametr[podkategoria],parametr[kategoria])</f>
        <v>opłaty stałe</v>
      </c>
      <c r="H3687" t="str">
        <f>_xlfn.XLOOKUP(transakcje[[#This Row],[kategoria]],parametr[kategoria],parametr[typ])</f>
        <v>wydatki</v>
      </c>
      <c r="I3687" s="1">
        <f>ABS(transakcje[[#This Row],[kwota]])</f>
        <v>23.8</v>
      </c>
    </row>
    <row r="3688" spans="1:9" x14ac:dyDescent="0.3">
      <c r="A3688">
        <v>3687</v>
      </c>
      <c r="B3688">
        <v>2021</v>
      </c>
      <c r="C3688">
        <v>11</v>
      </c>
      <c r="D3688">
        <v>25</v>
      </c>
      <c r="E3688" s="1">
        <v>-0.79800000000000004</v>
      </c>
      <c r="F3688" t="s">
        <v>26</v>
      </c>
      <c r="G3688" t="str">
        <f>_xlfn.XLOOKUP(transakcje[[#This Row],[podkategoria]],parametr[podkategoria],parametr[kategoria])</f>
        <v>życie</v>
      </c>
      <c r="H3688" t="str">
        <f>_xlfn.XLOOKUP(transakcje[[#This Row],[kategoria]],parametr[kategoria],parametr[typ])</f>
        <v>wydatki</v>
      </c>
      <c r="I3688" s="1">
        <f>ABS(transakcje[[#This Row],[kwota]])</f>
        <v>0.79800000000000004</v>
      </c>
    </row>
    <row r="3689" spans="1:9" x14ac:dyDescent="0.3">
      <c r="A3689">
        <v>3688</v>
      </c>
      <c r="B3689">
        <v>2021</v>
      </c>
      <c r="C3689">
        <v>11</v>
      </c>
      <c r="D3689">
        <v>25</v>
      </c>
      <c r="E3689" s="1">
        <v>-2.1040000000000001</v>
      </c>
      <c r="F3689" t="s">
        <v>26</v>
      </c>
      <c r="G3689" t="str">
        <f>_xlfn.XLOOKUP(transakcje[[#This Row],[podkategoria]],parametr[podkategoria],parametr[kategoria])</f>
        <v>życie</v>
      </c>
      <c r="H3689" t="str">
        <f>_xlfn.XLOOKUP(transakcje[[#This Row],[kategoria]],parametr[kategoria],parametr[typ])</f>
        <v>wydatki</v>
      </c>
      <c r="I3689" s="1">
        <f>ABS(transakcje[[#This Row],[kwota]])</f>
        <v>2.1040000000000001</v>
      </c>
    </row>
    <row r="3690" spans="1:9" x14ac:dyDescent="0.3">
      <c r="A3690">
        <v>3689</v>
      </c>
      <c r="B3690">
        <v>2021</v>
      </c>
      <c r="C3690">
        <v>11</v>
      </c>
      <c r="D3690">
        <v>26</v>
      </c>
      <c r="E3690" s="1">
        <v>748.01800000000003</v>
      </c>
      <c r="F3690" t="s">
        <v>8</v>
      </c>
      <c r="G3690" t="str">
        <f>_xlfn.XLOOKUP(transakcje[[#This Row],[podkategoria]],parametr[podkategoria],parametr[kategoria])</f>
        <v>dochody z pracy</v>
      </c>
      <c r="H3690" t="str">
        <f>_xlfn.XLOOKUP(transakcje[[#This Row],[kategoria]],parametr[kategoria],parametr[typ])</f>
        <v>dochody</v>
      </c>
      <c r="I3690" s="1">
        <f>ABS(transakcje[[#This Row],[kwota]])</f>
        <v>748.01800000000003</v>
      </c>
    </row>
    <row r="3691" spans="1:9" x14ac:dyDescent="0.3">
      <c r="A3691">
        <v>3690</v>
      </c>
      <c r="B3691">
        <v>2021</v>
      </c>
      <c r="C3691">
        <v>11</v>
      </c>
      <c r="D3691">
        <v>27</v>
      </c>
      <c r="E3691" s="1">
        <v>-3.6</v>
      </c>
      <c r="F3691" t="s">
        <v>26</v>
      </c>
      <c r="G3691" t="str">
        <f>_xlfn.XLOOKUP(transakcje[[#This Row],[podkategoria]],parametr[podkategoria],parametr[kategoria])</f>
        <v>życie</v>
      </c>
      <c r="H3691" t="str">
        <f>_xlfn.XLOOKUP(transakcje[[#This Row],[kategoria]],parametr[kategoria],parametr[typ])</f>
        <v>wydatki</v>
      </c>
      <c r="I3691" s="1">
        <f>ABS(transakcje[[#This Row],[kwota]])</f>
        <v>3.6</v>
      </c>
    </row>
    <row r="3692" spans="1:9" x14ac:dyDescent="0.3">
      <c r="A3692">
        <v>3691</v>
      </c>
      <c r="B3692">
        <v>2021</v>
      </c>
      <c r="C3692">
        <v>11</v>
      </c>
      <c r="D3692">
        <v>30</v>
      </c>
      <c r="E3692" s="1">
        <v>-1.4</v>
      </c>
      <c r="F3692" t="s">
        <v>14</v>
      </c>
      <c r="G3692" t="str">
        <f>_xlfn.XLOOKUP(transakcje[[#This Row],[podkategoria]],parametr[podkategoria],parametr[kategoria])</f>
        <v>opłaty stałe</v>
      </c>
      <c r="H3692" t="str">
        <f>_xlfn.XLOOKUP(transakcje[[#This Row],[kategoria]],parametr[kategoria],parametr[typ])</f>
        <v>wydatki</v>
      </c>
      <c r="I3692" s="1">
        <f>ABS(transakcje[[#This Row],[kwota]])</f>
        <v>1.4</v>
      </c>
    </row>
    <row r="3693" spans="1:9" x14ac:dyDescent="0.3">
      <c r="A3693">
        <v>3692</v>
      </c>
      <c r="B3693">
        <v>2021</v>
      </c>
      <c r="C3693">
        <v>11</v>
      </c>
      <c r="D3693">
        <v>30</v>
      </c>
      <c r="E3693" s="1">
        <v>2E-3</v>
      </c>
      <c r="F3693" t="s">
        <v>17</v>
      </c>
      <c r="G3693" t="str">
        <f>_xlfn.XLOOKUP(transakcje[[#This Row],[podkategoria]],parametr[podkategoria],parametr[kategoria])</f>
        <v>dochody pozostałe</v>
      </c>
      <c r="H3693" t="str">
        <f>_xlfn.XLOOKUP(transakcje[[#This Row],[kategoria]],parametr[kategoria],parametr[typ])</f>
        <v>dochody</v>
      </c>
      <c r="I3693" s="1">
        <f>ABS(transakcje[[#This Row],[kwota]])</f>
        <v>2E-3</v>
      </c>
    </row>
    <row r="3694" spans="1:9" x14ac:dyDescent="0.3">
      <c r="A3694">
        <v>3693</v>
      </c>
      <c r="B3694">
        <v>2021</v>
      </c>
      <c r="C3694">
        <v>11</v>
      </c>
      <c r="D3694">
        <v>30</v>
      </c>
      <c r="E3694" s="1">
        <v>-2E-3</v>
      </c>
      <c r="F3694" t="s">
        <v>14</v>
      </c>
      <c r="G3694" t="str">
        <f>_xlfn.XLOOKUP(transakcje[[#This Row],[podkategoria]],parametr[podkategoria],parametr[kategoria])</f>
        <v>opłaty stałe</v>
      </c>
      <c r="H3694" t="str">
        <f>_xlfn.XLOOKUP(transakcje[[#This Row],[kategoria]],parametr[kategoria],parametr[typ])</f>
        <v>wydatki</v>
      </c>
      <c r="I3694" s="1">
        <f>ABS(transakcje[[#This Row],[kwota]])</f>
        <v>2E-3</v>
      </c>
    </row>
    <row r="3695" spans="1:9" x14ac:dyDescent="0.3">
      <c r="A3695">
        <v>3694</v>
      </c>
      <c r="B3695">
        <v>2021</v>
      </c>
      <c r="C3695">
        <v>11</v>
      </c>
      <c r="D3695">
        <v>30</v>
      </c>
      <c r="E3695" s="1">
        <v>-15.297999999999998</v>
      </c>
      <c r="F3695" t="s">
        <v>26</v>
      </c>
      <c r="G3695" t="str">
        <f>_xlfn.XLOOKUP(transakcje[[#This Row],[podkategoria]],parametr[podkategoria],parametr[kategoria])</f>
        <v>życie</v>
      </c>
      <c r="H3695" t="str">
        <f>_xlfn.XLOOKUP(transakcje[[#This Row],[kategoria]],parametr[kategoria],parametr[typ])</f>
        <v>wydatki</v>
      </c>
      <c r="I3695" s="1">
        <f>ABS(transakcje[[#This Row],[kwota]])</f>
        <v>15.297999999999998</v>
      </c>
    </row>
    <row r="3696" spans="1:9" x14ac:dyDescent="0.3">
      <c r="A3696">
        <v>3695</v>
      </c>
      <c r="B3696">
        <v>2021</v>
      </c>
      <c r="C3696">
        <v>12</v>
      </c>
      <c r="D3696">
        <v>2</v>
      </c>
      <c r="E3696" s="1">
        <v>2000</v>
      </c>
      <c r="F3696" t="s">
        <v>28</v>
      </c>
      <c r="G3696" t="str">
        <f>_xlfn.XLOOKUP(transakcje[[#This Row],[podkategoria]],parametr[podkategoria],parametr[kategoria])</f>
        <v>dochody pozostałe</v>
      </c>
      <c r="H3696" t="str">
        <f>_xlfn.XLOOKUP(transakcje[[#This Row],[kategoria]],parametr[kategoria],parametr[typ])</f>
        <v>dochody</v>
      </c>
      <c r="I3696" s="1">
        <f>ABS(transakcje[[#This Row],[kwota]])</f>
        <v>2000</v>
      </c>
    </row>
    <row r="3697" spans="1:9" x14ac:dyDescent="0.3">
      <c r="A3697">
        <v>3696</v>
      </c>
      <c r="B3697">
        <v>2021</v>
      </c>
      <c r="C3697">
        <v>12</v>
      </c>
      <c r="D3697">
        <v>2</v>
      </c>
      <c r="E3697" s="1">
        <v>-0.79800000000000004</v>
      </c>
      <c r="F3697" t="s">
        <v>26</v>
      </c>
      <c r="G3697" t="str">
        <f>_xlfn.XLOOKUP(transakcje[[#This Row],[podkategoria]],parametr[podkategoria],parametr[kategoria])</f>
        <v>życie</v>
      </c>
      <c r="H3697" t="str">
        <f>_xlfn.XLOOKUP(transakcje[[#This Row],[kategoria]],parametr[kategoria],parametr[typ])</f>
        <v>wydatki</v>
      </c>
      <c r="I3697" s="1">
        <f>ABS(transakcje[[#This Row],[kwota]])</f>
        <v>0.79800000000000004</v>
      </c>
    </row>
    <row r="3698" spans="1:9" x14ac:dyDescent="0.3">
      <c r="A3698">
        <v>3697</v>
      </c>
      <c r="B3698">
        <v>2021</v>
      </c>
      <c r="C3698">
        <v>12</v>
      </c>
      <c r="D3698">
        <v>3</v>
      </c>
      <c r="E3698" s="1">
        <v>-0.4</v>
      </c>
      <c r="F3698" t="s">
        <v>26</v>
      </c>
      <c r="G3698" t="str">
        <f>_xlfn.XLOOKUP(transakcje[[#This Row],[podkategoria]],parametr[podkategoria],parametr[kategoria])</f>
        <v>życie</v>
      </c>
      <c r="H3698" t="str">
        <f>_xlfn.XLOOKUP(transakcje[[#This Row],[kategoria]],parametr[kategoria],parametr[typ])</f>
        <v>wydatki</v>
      </c>
      <c r="I3698" s="1">
        <f>ABS(transakcje[[#This Row],[kwota]])</f>
        <v>0.4</v>
      </c>
    </row>
    <row r="3699" spans="1:9" x14ac:dyDescent="0.3">
      <c r="A3699">
        <v>3698</v>
      </c>
      <c r="B3699">
        <v>2021</v>
      </c>
      <c r="C3699">
        <v>12</v>
      </c>
      <c r="D3699">
        <v>3</v>
      </c>
      <c r="E3699" s="1">
        <v>-6.5920000000000005</v>
      </c>
      <c r="F3699" t="s">
        <v>26</v>
      </c>
      <c r="G3699" t="str">
        <f>_xlfn.XLOOKUP(transakcje[[#This Row],[podkategoria]],parametr[podkategoria],parametr[kategoria])</f>
        <v>życie</v>
      </c>
      <c r="H3699" t="str">
        <f>_xlfn.XLOOKUP(transakcje[[#This Row],[kategoria]],parametr[kategoria],parametr[typ])</f>
        <v>wydatki</v>
      </c>
      <c r="I3699" s="1">
        <f>ABS(transakcje[[#This Row],[kwota]])</f>
        <v>6.5920000000000005</v>
      </c>
    </row>
    <row r="3700" spans="1:9" x14ac:dyDescent="0.3">
      <c r="A3700">
        <v>3699</v>
      </c>
      <c r="B3700">
        <v>2021</v>
      </c>
      <c r="C3700">
        <v>12</v>
      </c>
      <c r="D3700">
        <v>4</v>
      </c>
      <c r="E3700" s="1">
        <v>-18.596</v>
      </c>
      <c r="F3700" t="s">
        <v>11</v>
      </c>
      <c r="G3700" t="str">
        <f>_xlfn.XLOOKUP(transakcje[[#This Row],[podkategoria]],parametr[podkategoria],parametr[kategoria])</f>
        <v>wydatki inne</v>
      </c>
      <c r="H3700" t="str">
        <f>_xlfn.XLOOKUP(transakcje[[#This Row],[kategoria]],parametr[kategoria],parametr[typ])</f>
        <v>wydatki</v>
      </c>
      <c r="I3700" s="1">
        <f>ABS(transakcje[[#This Row],[kwota]])</f>
        <v>18.596</v>
      </c>
    </row>
    <row r="3701" spans="1:9" x14ac:dyDescent="0.3">
      <c r="A3701">
        <v>3700</v>
      </c>
      <c r="B3701">
        <v>2021</v>
      </c>
      <c r="C3701">
        <v>12</v>
      </c>
      <c r="D3701">
        <v>4</v>
      </c>
      <c r="E3701" s="1">
        <v>-32.036000000000001</v>
      </c>
      <c r="F3701" t="s">
        <v>11</v>
      </c>
      <c r="G3701" t="str">
        <f>_xlfn.XLOOKUP(transakcje[[#This Row],[podkategoria]],parametr[podkategoria],parametr[kategoria])</f>
        <v>wydatki inne</v>
      </c>
      <c r="H3701" t="str">
        <f>_xlfn.XLOOKUP(transakcje[[#This Row],[kategoria]],parametr[kategoria],parametr[typ])</f>
        <v>wydatki</v>
      </c>
      <c r="I3701" s="1">
        <f>ABS(transakcje[[#This Row],[kwota]])</f>
        <v>32.036000000000001</v>
      </c>
    </row>
    <row r="3702" spans="1:9" x14ac:dyDescent="0.3">
      <c r="A3702">
        <v>3701</v>
      </c>
      <c r="B3702">
        <v>2021</v>
      </c>
      <c r="C3702">
        <v>12</v>
      </c>
      <c r="D3702">
        <v>4</v>
      </c>
      <c r="E3702" s="1">
        <v>-4.9000000000000004</v>
      </c>
      <c r="F3702" t="s">
        <v>37</v>
      </c>
      <c r="G3702" t="str">
        <f>_xlfn.XLOOKUP(transakcje[[#This Row],[podkategoria]],parametr[podkategoria],parametr[kategoria])</f>
        <v>opłaty stałe</v>
      </c>
      <c r="H3702" t="str">
        <f>_xlfn.XLOOKUP(transakcje[[#This Row],[kategoria]],parametr[kategoria],parametr[typ])</f>
        <v>wydatki</v>
      </c>
      <c r="I3702" s="1">
        <f>ABS(transakcje[[#This Row],[kwota]])</f>
        <v>4.9000000000000004</v>
      </c>
    </row>
    <row r="3703" spans="1:9" x14ac:dyDescent="0.3">
      <c r="A3703">
        <v>3702</v>
      </c>
      <c r="B3703">
        <v>2021</v>
      </c>
      <c r="C3703">
        <v>12</v>
      </c>
      <c r="D3703">
        <v>4</v>
      </c>
      <c r="E3703" s="1">
        <v>-5.8</v>
      </c>
      <c r="F3703" t="s">
        <v>25</v>
      </c>
      <c r="G3703" t="str">
        <f>_xlfn.XLOOKUP(transakcje[[#This Row],[podkategoria]],parametr[podkategoria],parametr[kategoria])</f>
        <v>opłaty stałe</v>
      </c>
      <c r="H3703" t="str">
        <f>_xlfn.XLOOKUP(transakcje[[#This Row],[kategoria]],parametr[kategoria],parametr[typ])</f>
        <v>wydatki</v>
      </c>
      <c r="I3703" s="1">
        <f>ABS(transakcje[[#This Row],[kwota]])</f>
        <v>5.8</v>
      </c>
    </row>
    <row r="3704" spans="1:9" x14ac:dyDescent="0.3">
      <c r="A3704">
        <v>3703</v>
      </c>
      <c r="B3704">
        <v>2021</v>
      </c>
      <c r="C3704">
        <v>12</v>
      </c>
      <c r="D3704">
        <v>4</v>
      </c>
      <c r="E3704" s="1">
        <v>-7.38</v>
      </c>
      <c r="F3704" t="s">
        <v>23</v>
      </c>
      <c r="G3704" t="str">
        <f>_xlfn.XLOOKUP(transakcje[[#This Row],[podkategoria]],parametr[podkategoria],parametr[kategoria])</f>
        <v>opłaty stałe</v>
      </c>
      <c r="H3704" t="str">
        <f>_xlfn.XLOOKUP(transakcje[[#This Row],[kategoria]],parametr[kategoria],parametr[typ])</f>
        <v>wydatki</v>
      </c>
      <c r="I3704" s="1">
        <f>ABS(transakcje[[#This Row],[kwota]])</f>
        <v>7.38</v>
      </c>
    </row>
    <row r="3705" spans="1:9" x14ac:dyDescent="0.3">
      <c r="A3705">
        <v>3704</v>
      </c>
      <c r="B3705">
        <v>2021</v>
      </c>
      <c r="C3705">
        <v>12</v>
      </c>
      <c r="D3705">
        <v>4</v>
      </c>
      <c r="E3705" s="1">
        <v>-72.304000000000002</v>
      </c>
      <c r="F3705" t="s">
        <v>31</v>
      </c>
      <c r="G3705" t="str">
        <f>_xlfn.XLOOKUP(transakcje[[#This Row],[podkategoria]],parametr[podkategoria],parametr[kategoria])</f>
        <v>opłaty stałe</v>
      </c>
      <c r="H3705" t="str">
        <f>_xlfn.XLOOKUP(transakcje[[#This Row],[kategoria]],parametr[kategoria],parametr[typ])</f>
        <v>wydatki</v>
      </c>
      <c r="I3705" s="1">
        <f>ABS(transakcje[[#This Row],[kwota]])</f>
        <v>72.304000000000002</v>
      </c>
    </row>
    <row r="3706" spans="1:9" x14ac:dyDescent="0.3">
      <c r="A3706">
        <v>3705</v>
      </c>
      <c r="B3706">
        <v>2021</v>
      </c>
      <c r="C3706">
        <v>12</v>
      </c>
      <c r="D3706">
        <v>6</v>
      </c>
      <c r="E3706" s="1">
        <v>-0.79800000000000004</v>
      </c>
      <c r="F3706" t="s">
        <v>26</v>
      </c>
      <c r="G3706" t="str">
        <f>_xlfn.XLOOKUP(transakcje[[#This Row],[podkategoria]],parametr[podkategoria],parametr[kategoria])</f>
        <v>życie</v>
      </c>
      <c r="H3706" t="str">
        <f>_xlfn.XLOOKUP(transakcje[[#This Row],[kategoria]],parametr[kategoria],parametr[typ])</f>
        <v>wydatki</v>
      </c>
      <c r="I3706" s="1">
        <f>ABS(transakcje[[#This Row],[kwota]])</f>
        <v>0.79800000000000004</v>
      </c>
    </row>
    <row r="3707" spans="1:9" x14ac:dyDescent="0.3">
      <c r="A3707">
        <v>3706</v>
      </c>
      <c r="B3707">
        <v>2021</v>
      </c>
      <c r="C3707">
        <v>12</v>
      </c>
      <c r="D3707">
        <v>7</v>
      </c>
      <c r="E3707" s="1">
        <v>-11.795999999999999</v>
      </c>
      <c r="F3707" t="s">
        <v>26</v>
      </c>
      <c r="G3707" t="str">
        <f>_xlfn.XLOOKUP(transakcje[[#This Row],[podkategoria]],parametr[podkategoria],parametr[kategoria])</f>
        <v>życie</v>
      </c>
      <c r="H3707" t="str">
        <f>_xlfn.XLOOKUP(transakcje[[#This Row],[kategoria]],parametr[kategoria],parametr[typ])</f>
        <v>wydatki</v>
      </c>
      <c r="I3707" s="1">
        <f>ABS(transakcje[[#This Row],[kwota]])</f>
        <v>11.795999999999999</v>
      </c>
    </row>
    <row r="3708" spans="1:9" x14ac:dyDescent="0.3">
      <c r="A3708">
        <v>3707</v>
      </c>
      <c r="B3708">
        <v>2021</v>
      </c>
      <c r="C3708">
        <v>12</v>
      </c>
      <c r="D3708">
        <v>8</v>
      </c>
      <c r="E3708" s="1">
        <v>-8.7919999999999998</v>
      </c>
      <c r="F3708" t="s">
        <v>26</v>
      </c>
      <c r="G3708" t="str">
        <f>_xlfn.XLOOKUP(transakcje[[#This Row],[podkategoria]],parametr[podkategoria],parametr[kategoria])</f>
        <v>życie</v>
      </c>
      <c r="H3708" t="str">
        <f>_xlfn.XLOOKUP(transakcje[[#This Row],[kategoria]],parametr[kategoria],parametr[typ])</f>
        <v>wydatki</v>
      </c>
      <c r="I3708" s="1">
        <f>ABS(transakcje[[#This Row],[kwota]])</f>
        <v>8.7919999999999998</v>
      </c>
    </row>
    <row r="3709" spans="1:9" x14ac:dyDescent="0.3">
      <c r="A3709">
        <v>3708</v>
      </c>
      <c r="B3709">
        <v>2021</v>
      </c>
      <c r="C3709">
        <v>12</v>
      </c>
      <c r="D3709">
        <v>9</v>
      </c>
      <c r="E3709" s="1">
        <v>-38.486000000000004</v>
      </c>
      <c r="F3709" t="s">
        <v>26</v>
      </c>
      <c r="G3709" t="str">
        <f>_xlfn.XLOOKUP(transakcje[[#This Row],[podkategoria]],parametr[podkategoria],parametr[kategoria])</f>
        <v>życie</v>
      </c>
      <c r="H3709" t="str">
        <f>_xlfn.XLOOKUP(transakcje[[#This Row],[kategoria]],parametr[kategoria],parametr[typ])</f>
        <v>wydatki</v>
      </c>
      <c r="I3709" s="1">
        <f>ABS(transakcje[[#This Row],[kwota]])</f>
        <v>38.486000000000004</v>
      </c>
    </row>
    <row r="3710" spans="1:9" x14ac:dyDescent="0.3">
      <c r="A3710">
        <v>3709</v>
      </c>
      <c r="B3710">
        <v>2021</v>
      </c>
      <c r="C3710">
        <v>12</v>
      </c>
      <c r="D3710">
        <v>10</v>
      </c>
      <c r="E3710" s="1">
        <v>-0.79800000000000004</v>
      </c>
      <c r="F3710" t="s">
        <v>26</v>
      </c>
      <c r="G3710" t="str">
        <f>_xlfn.XLOOKUP(transakcje[[#This Row],[podkategoria]],parametr[podkategoria],parametr[kategoria])</f>
        <v>życie</v>
      </c>
      <c r="H3710" t="str">
        <f>_xlfn.XLOOKUP(transakcje[[#This Row],[kategoria]],parametr[kategoria],parametr[typ])</f>
        <v>wydatki</v>
      </c>
      <c r="I3710" s="1">
        <f>ABS(transakcje[[#This Row],[kwota]])</f>
        <v>0.79800000000000004</v>
      </c>
    </row>
    <row r="3711" spans="1:9" x14ac:dyDescent="0.3">
      <c r="A3711">
        <v>3710</v>
      </c>
      <c r="B3711">
        <v>2021</v>
      </c>
      <c r="C3711">
        <v>12</v>
      </c>
      <c r="D3711">
        <v>11</v>
      </c>
      <c r="E3711" s="1">
        <v>748.01800000000003</v>
      </c>
      <c r="F3711" t="s">
        <v>8</v>
      </c>
      <c r="G3711" t="str">
        <f>_xlfn.XLOOKUP(transakcje[[#This Row],[podkategoria]],parametr[podkategoria],parametr[kategoria])</f>
        <v>dochody z pracy</v>
      </c>
      <c r="H3711" t="str">
        <f>_xlfn.XLOOKUP(transakcje[[#This Row],[kategoria]],parametr[kategoria],parametr[typ])</f>
        <v>dochody</v>
      </c>
      <c r="I3711" s="1">
        <f>ABS(transakcje[[#This Row],[kwota]])</f>
        <v>748.01800000000003</v>
      </c>
    </row>
    <row r="3712" spans="1:9" x14ac:dyDescent="0.3">
      <c r="A3712">
        <v>3711</v>
      </c>
      <c r="B3712">
        <v>2021</v>
      </c>
      <c r="C3712">
        <v>12</v>
      </c>
      <c r="D3712">
        <v>13</v>
      </c>
      <c r="E3712" s="1">
        <v>-0.79800000000000004</v>
      </c>
      <c r="F3712" t="s">
        <v>26</v>
      </c>
      <c r="G3712" t="str">
        <f>_xlfn.XLOOKUP(transakcje[[#This Row],[podkategoria]],parametr[podkategoria],parametr[kategoria])</f>
        <v>życie</v>
      </c>
      <c r="H3712" t="str">
        <f>_xlfn.XLOOKUP(transakcje[[#This Row],[kategoria]],parametr[kategoria],parametr[typ])</f>
        <v>wydatki</v>
      </c>
      <c r="I3712" s="1">
        <f>ABS(transakcje[[#This Row],[kwota]])</f>
        <v>0.79800000000000004</v>
      </c>
    </row>
    <row r="3713" spans="1:9" x14ac:dyDescent="0.3">
      <c r="A3713">
        <v>3712</v>
      </c>
      <c r="B3713">
        <v>2021</v>
      </c>
      <c r="C3713">
        <v>12</v>
      </c>
      <c r="D3713">
        <v>14</v>
      </c>
      <c r="E3713" s="1">
        <v>-3.2560000000000002</v>
      </c>
      <c r="F3713" t="s">
        <v>26</v>
      </c>
      <c r="G3713" t="str">
        <f>_xlfn.XLOOKUP(transakcje[[#This Row],[podkategoria]],parametr[podkategoria],parametr[kategoria])</f>
        <v>życie</v>
      </c>
      <c r="H3713" t="str">
        <f>_xlfn.XLOOKUP(transakcje[[#This Row],[kategoria]],parametr[kategoria],parametr[typ])</f>
        <v>wydatki</v>
      </c>
      <c r="I3713" s="1">
        <f>ABS(transakcje[[#This Row],[kwota]])</f>
        <v>3.2560000000000002</v>
      </c>
    </row>
    <row r="3714" spans="1:9" x14ac:dyDescent="0.3">
      <c r="A3714">
        <v>3713</v>
      </c>
      <c r="B3714">
        <v>2021</v>
      </c>
      <c r="C3714">
        <v>12</v>
      </c>
      <c r="D3714">
        <v>15</v>
      </c>
      <c r="E3714" s="1">
        <v>-0.2</v>
      </c>
      <c r="F3714" t="s">
        <v>14</v>
      </c>
      <c r="G3714" t="str">
        <f>_xlfn.XLOOKUP(transakcje[[#This Row],[podkategoria]],parametr[podkategoria],parametr[kategoria])</f>
        <v>opłaty stałe</v>
      </c>
      <c r="H3714" t="str">
        <f>_xlfn.XLOOKUP(transakcje[[#This Row],[kategoria]],parametr[kategoria],parametr[typ])</f>
        <v>wydatki</v>
      </c>
      <c r="I3714" s="1">
        <f>ABS(transakcje[[#This Row],[kwota]])</f>
        <v>0.2</v>
      </c>
    </row>
    <row r="3715" spans="1:9" x14ac:dyDescent="0.3">
      <c r="A3715">
        <v>3714</v>
      </c>
      <c r="B3715">
        <v>2021</v>
      </c>
      <c r="C3715">
        <v>12</v>
      </c>
      <c r="D3715">
        <v>16</v>
      </c>
      <c r="E3715" s="1">
        <v>-1.5580000000000001</v>
      </c>
      <c r="F3715" t="s">
        <v>26</v>
      </c>
      <c r="G3715" t="str">
        <f>_xlfn.XLOOKUP(transakcje[[#This Row],[podkategoria]],parametr[podkategoria],parametr[kategoria])</f>
        <v>życie</v>
      </c>
      <c r="H3715" t="str">
        <f>_xlfn.XLOOKUP(transakcje[[#This Row],[kategoria]],parametr[kategoria],parametr[typ])</f>
        <v>wydatki</v>
      </c>
      <c r="I3715" s="1">
        <f>ABS(transakcje[[#This Row],[kwota]])</f>
        <v>1.5580000000000001</v>
      </c>
    </row>
    <row r="3716" spans="1:9" x14ac:dyDescent="0.3">
      <c r="A3716">
        <v>3715</v>
      </c>
      <c r="B3716">
        <v>2021</v>
      </c>
      <c r="C3716">
        <v>12</v>
      </c>
      <c r="D3716">
        <v>20</v>
      </c>
      <c r="E3716" s="1">
        <v>-20.568000000000001</v>
      </c>
      <c r="F3716" t="s">
        <v>26</v>
      </c>
      <c r="G3716" t="str">
        <f>_xlfn.XLOOKUP(transakcje[[#This Row],[podkategoria]],parametr[podkategoria],parametr[kategoria])</f>
        <v>życie</v>
      </c>
      <c r="H3716" t="str">
        <f>_xlfn.XLOOKUP(transakcje[[#This Row],[kategoria]],parametr[kategoria],parametr[typ])</f>
        <v>wydatki</v>
      </c>
      <c r="I3716" s="1">
        <f>ABS(transakcje[[#This Row],[kwota]])</f>
        <v>20.568000000000001</v>
      </c>
    </row>
    <row r="3717" spans="1:9" x14ac:dyDescent="0.3">
      <c r="A3717">
        <v>3716</v>
      </c>
      <c r="B3717">
        <v>2021</v>
      </c>
      <c r="C3717">
        <v>12</v>
      </c>
      <c r="D3717">
        <v>21</v>
      </c>
      <c r="E3717" s="1">
        <v>-0.79800000000000004</v>
      </c>
      <c r="F3717" t="s">
        <v>26</v>
      </c>
      <c r="G3717" t="str">
        <f>_xlfn.XLOOKUP(transakcje[[#This Row],[podkategoria]],parametr[podkategoria],parametr[kategoria])</f>
        <v>życie</v>
      </c>
      <c r="H3717" t="str">
        <f>_xlfn.XLOOKUP(transakcje[[#This Row],[kategoria]],parametr[kategoria],parametr[typ])</f>
        <v>wydatki</v>
      </c>
      <c r="I3717" s="1">
        <f>ABS(transakcje[[#This Row],[kwota]])</f>
        <v>0.79800000000000004</v>
      </c>
    </row>
    <row r="3718" spans="1:9" x14ac:dyDescent="0.3">
      <c r="A3718">
        <v>3717</v>
      </c>
      <c r="B3718">
        <v>2021</v>
      </c>
      <c r="C3718">
        <v>12</v>
      </c>
      <c r="D3718">
        <v>22</v>
      </c>
      <c r="E3718" s="1">
        <v>-23.8</v>
      </c>
      <c r="F3718" t="s">
        <v>26</v>
      </c>
      <c r="G3718" t="str">
        <f>_xlfn.XLOOKUP(transakcje[[#This Row],[podkategoria]],parametr[podkategoria],parametr[kategoria])</f>
        <v>życie</v>
      </c>
      <c r="H3718" t="str">
        <f>_xlfn.XLOOKUP(transakcje[[#This Row],[kategoria]],parametr[kategoria],parametr[typ])</f>
        <v>wydatki</v>
      </c>
      <c r="I3718" s="1">
        <f>ABS(transakcje[[#This Row],[kwota]])</f>
        <v>23.8</v>
      </c>
    </row>
    <row r="3719" spans="1:9" x14ac:dyDescent="0.3">
      <c r="A3719">
        <v>3718</v>
      </c>
      <c r="B3719">
        <v>2021</v>
      </c>
      <c r="C3719">
        <v>12</v>
      </c>
      <c r="D3719">
        <v>23</v>
      </c>
      <c r="E3719" s="1">
        <v>-3.996</v>
      </c>
      <c r="F3719" t="s">
        <v>26</v>
      </c>
      <c r="G3719" t="str">
        <f>_xlfn.XLOOKUP(transakcje[[#This Row],[podkategoria]],parametr[podkategoria],parametr[kategoria])</f>
        <v>życie</v>
      </c>
      <c r="H3719" t="str">
        <f>_xlfn.XLOOKUP(transakcje[[#This Row],[kategoria]],parametr[kategoria],parametr[typ])</f>
        <v>wydatki</v>
      </c>
      <c r="I3719" s="1">
        <f>ABS(transakcje[[#This Row],[kwota]])</f>
        <v>3.996</v>
      </c>
    </row>
    <row r="3720" spans="1:9" x14ac:dyDescent="0.3">
      <c r="A3720">
        <v>3719</v>
      </c>
      <c r="B3720">
        <v>2021</v>
      </c>
      <c r="C3720">
        <v>12</v>
      </c>
      <c r="D3720">
        <v>23</v>
      </c>
      <c r="E3720" s="1">
        <v>118</v>
      </c>
      <c r="F3720" t="s">
        <v>16</v>
      </c>
      <c r="G3720" t="str">
        <f>_xlfn.XLOOKUP(transakcje[[#This Row],[podkategoria]],parametr[podkategoria],parametr[kategoria])</f>
        <v>dochody z pracy</v>
      </c>
      <c r="H3720" t="str">
        <f>_xlfn.XLOOKUP(transakcje[[#This Row],[kategoria]],parametr[kategoria],parametr[typ])</f>
        <v>dochody</v>
      </c>
      <c r="I3720" s="1">
        <f>ABS(transakcje[[#This Row],[kwota]])</f>
        <v>118</v>
      </c>
    </row>
    <row r="3721" spans="1:9" x14ac:dyDescent="0.3">
      <c r="A3721">
        <v>3720</v>
      </c>
      <c r="B3721">
        <v>2021</v>
      </c>
      <c r="C3721">
        <v>12</v>
      </c>
      <c r="D3721">
        <v>23</v>
      </c>
      <c r="E3721" s="1">
        <v>345.56799999999998</v>
      </c>
      <c r="F3721" t="s">
        <v>19</v>
      </c>
      <c r="G3721" t="str">
        <f>_xlfn.XLOOKUP(transakcje[[#This Row],[podkategoria]],parametr[podkategoria],parametr[kategoria])</f>
        <v>dochody z pracy</v>
      </c>
      <c r="H3721" t="str">
        <f>_xlfn.XLOOKUP(transakcje[[#This Row],[kategoria]],parametr[kategoria],parametr[typ])</f>
        <v>dochody</v>
      </c>
      <c r="I3721" s="1">
        <f>ABS(transakcje[[#This Row],[kwota]])</f>
        <v>345.56799999999998</v>
      </c>
    </row>
    <row r="3722" spans="1:9" x14ac:dyDescent="0.3">
      <c r="A3722">
        <v>3721</v>
      </c>
      <c r="B3722">
        <v>2021</v>
      </c>
      <c r="C3722">
        <v>12</v>
      </c>
      <c r="D3722">
        <v>23</v>
      </c>
      <c r="E3722" s="1">
        <v>-3.6</v>
      </c>
      <c r="F3722" t="s">
        <v>11</v>
      </c>
      <c r="G3722" t="str">
        <f>_xlfn.XLOOKUP(transakcje[[#This Row],[podkategoria]],parametr[podkategoria],parametr[kategoria])</f>
        <v>wydatki inne</v>
      </c>
      <c r="H3722" t="str">
        <f>_xlfn.XLOOKUP(transakcje[[#This Row],[kategoria]],parametr[kategoria],parametr[typ])</f>
        <v>wydatki</v>
      </c>
      <c r="I3722" s="1">
        <f>ABS(transakcje[[#This Row],[kwota]])</f>
        <v>3.6</v>
      </c>
    </row>
    <row r="3723" spans="1:9" x14ac:dyDescent="0.3">
      <c r="A3723">
        <v>3722</v>
      </c>
      <c r="B3723">
        <v>2021</v>
      </c>
      <c r="C3723">
        <v>12</v>
      </c>
      <c r="D3723">
        <v>24</v>
      </c>
      <c r="E3723" s="1">
        <v>190.416</v>
      </c>
      <c r="F3723" t="s">
        <v>19</v>
      </c>
      <c r="G3723" t="str">
        <f>_xlfn.XLOOKUP(transakcje[[#This Row],[podkategoria]],parametr[podkategoria],parametr[kategoria])</f>
        <v>dochody z pracy</v>
      </c>
      <c r="H3723" t="str">
        <f>_xlfn.XLOOKUP(transakcje[[#This Row],[kategoria]],parametr[kategoria],parametr[typ])</f>
        <v>dochody</v>
      </c>
      <c r="I3723" s="1">
        <f>ABS(transakcje[[#This Row],[kwota]])</f>
        <v>190.416</v>
      </c>
    </row>
    <row r="3724" spans="1:9" x14ac:dyDescent="0.3">
      <c r="A3724">
        <v>3723</v>
      </c>
      <c r="B3724">
        <v>2021</v>
      </c>
      <c r="C3724">
        <v>12</v>
      </c>
      <c r="D3724">
        <v>25</v>
      </c>
      <c r="E3724" s="1">
        <v>190.41400000000002</v>
      </c>
      <c r="F3724" t="s">
        <v>19</v>
      </c>
      <c r="G3724" t="str">
        <f>_xlfn.XLOOKUP(transakcje[[#This Row],[podkategoria]],parametr[podkategoria],parametr[kategoria])</f>
        <v>dochody z pracy</v>
      </c>
      <c r="H3724" t="str">
        <f>_xlfn.XLOOKUP(transakcje[[#This Row],[kategoria]],parametr[kategoria],parametr[typ])</f>
        <v>dochody</v>
      </c>
      <c r="I3724" s="1">
        <f>ABS(transakcje[[#This Row],[kwota]])</f>
        <v>190.41400000000002</v>
      </c>
    </row>
    <row r="3725" spans="1:9" x14ac:dyDescent="0.3">
      <c r="A3725">
        <v>3724</v>
      </c>
      <c r="B3725">
        <v>2021</v>
      </c>
      <c r="C3725">
        <v>12</v>
      </c>
      <c r="D3725">
        <v>26</v>
      </c>
      <c r="E3725" s="1">
        <v>-3.21</v>
      </c>
      <c r="F3725" t="s">
        <v>26</v>
      </c>
      <c r="G3725" t="str">
        <f>_xlfn.XLOOKUP(transakcje[[#This Row],[podkategoria]],parametr[podkategoria],parametr[kategoria])</f>
        <v>życie</v>
      </c>
      <c r="H3725" t="str">
        <f>_xlfn.XLOOKUP(transakcje[[#This Row],[kategoria]],parametr[kategoria],parametr[typ])</f>
        <v>wydatki</v>
      </c>
      <c r="I3725" s="1">
        <f>ABS(transakcje[[#This Row],[kwota]])</f>
        <v>3.21</v>
      </c>
    </row>
    <row r="3726" spans="1:9" x14ac:dyDescent="0.3">
      <c r="A3726">
        <v>3725</v>
      </c>
      <c r="B3726">
        <v>2021</v>
      </c>
      <c r="C3726">
        <v>12</v>
      </c>
      <c r="D3726">
        <v>27</v>
      </c>
      <c r="E3726" s="1">
        <v>246.83200000000002</v>
      </c>
      <c r="F3726" t="s">
        <v>19</v>
      </c>
      <c r="G3726" t="str">
        <f>_xlfn.XLOOKUP(transakcje[[#This Row],[podkategoria]],parametr[podkategoria],parametr[kategoria])</f>
        <v>dochody z pracy</v>
      </c>
      <c r="H3726" t="str">
        <f>_xlfn.XLOOKUP(transakcje[[#This Row],[kategoria]],parametr[kategoria],parametr[typ])</f>
        <v>dochody</v>
      </c>
      <c r="I3726" s="1">
        <f>ABS(transakcje[[#This Row],[kwota]])</f>
        <v>246.83200000000002</v>
      </c>
    </row>
    <row r="3727" spans="1:9" x14ac:dyDescent="0.3">
      <c r="A3727">
        <v>3726</v>
      </c>
      <c r="B3727">
        <v>2021</v>
      </c>
      <c r="C3727">
        <v>12</v>
      </c>
      <c r="D3727">
        <v>28</v>
      </c>
      <c r="E3727" s="1">
        <v>-1.4</v>
      </c>
      <c r="F3727" t="s">
        <v>14</v>
      </c>
      <c r="G3727" t="str">
        <f>_xlfn.XLOOKUP(transakcje[[#This Row],[podkategoria]],parametr[podkategoria],parametr[kategoria])</f>
        <v>opłaty stałe</v>
      </c>
      <c r="H3727" t="str">
        <f>_xlfn.XLOOKUP(transakcje[[#This Row],[kategoria]],parametr[kategoria],parametr[typ])</f>
        <v>wydatki</v>
      </c>
      <c r="I3727" s="1">
        <f>ABS(transakcje[[#This Row],[kwota]])</f>
        <v>1.4</v>
      </c>
    </row>
    <row r="3728" spans="1:9" x14ac:dyDescent="0.3">
      <c r="A3728">
        <v>3727</v>
      </c>
      <c r="B3728">
        <v>2021</v>
      </c>
      <c r="C3728">
        <v>12</v>
      </c>
      <c r="D3728">
        <v>29</v>
      </c>
      <c r="E3728" s="1">
        <v>4.0000000000000001E-3</v>
      </c>
      <c r="F3728" t="s">
        <v>17</v>
      </c>
      <c r="G3728" t="str">
        <f>_xlfn.XLOOKUP(transakcje[[#This Row],[podkategoria]],parametr[podkategoria],parametr[kategoria])</f>
        <v>dochody pozostałe</v>
      </c>
      <c r="H3728" t="str">
        <f>_xlfn.XLOOKUP(transakcje[[#This Row],[kategoria]],parametr[kategoria],parametr[typ])</f>
        <v>dochody</v>
      </c>
      <c r="I3728" s="1">
        <f>ABS(transakcje[[#This Row],[kwota]])</f>
        <v>4.0000000000000001E-3</v>
      </c>
    </row>
    <row r="3729" spans="1:9" x14ac:dyDescent="0.3">
      <c r="A3729">
        <v>3728</v>
      </c>
      <c r="B3729">
        <v>2021</v>
      </c>
      <c r="C3729">
        <v>12</v>
      </c>
      <c r="D3729">
        <v>30</v>
      </c>
      <c r="E3729" s="1">
        <v>-2E-3</v>
      </c>
      <c r="F3729" t="s">
        <v>14</v>
      </c>
      <c r="G3729" t="str">
        <f>_xlfn.XLOOKUP(transakcje[[#This Row],[podkategoria]],parametr[podkategoria],parametr[kategoria])</f>
        <v>opłaty stałe</v>
      </c>
      <c r="H3729" t="str">
        <f>_xlfn.XLOOKUP(transakcje[[#This Row],[kategoria]],parametr[kategoria],parametr[typ])</f>
        <v>wydatki</v>
      </c>
      <c r="I3729" s="1">
        <f>ABS(transakcje[[#This Row],[kwota]])</f>
        <v>2E-3</v>
      </c>
    </row>
    <row r="3730" spans="1:9" x14ac:dyDescent="0.3">
      <c r="A3730">
        <v>3729</v>
      </c>
      <c r="B3730">
        <v>2022</v>
      </c>
      <c r="C3730">
        <v>1</v>
      </c>
      <c r="D3730">
        <v>1</v>
      </c>
      <c r="E3730" s="1">
        <v>-84.224000000000004</v>
      </c>
      <c r="F3730" t="s">
        <v>31</v>
      </c>
      <c r="G3730" t="str">
        <f>_xlfn.XLOOKUP(transakcje[[#This Row],[podkategoria]],parametr[podkategoria],parametr[kategoria])</f>
        <v>opłaty stałe</v>
      </c>
      <c r="H3730" t="str">
        <f>_xlfn.XLOOKUP(transakcje[[#This Row],[kategoria]],parametr[kategoria],parametr[typ])</f>
        <v>wydatki</v>
      </c>
      <c r="I3730" s="1">
        <f>ABS(transakcje[[#This Row],[kwota]])</f>
        <v>84.224000000000004</v>
      </c>
    </row>
    <row r="3731" spans="1:9" x14ac:dyDescent="0.3">
      <c r="A3731">
        <v>3730</v>
      </c>
      <c r="B3731">
        <v>2022</v>
      </c>
      <c r="C3731">
        <v>1</v>
      </c>
      <c r="D3731">
        <v>1</v>
      </c>
      <c r="E3731" s="1">
        <v>-17.25</v>
      </c>
      <c r="F3731" t="s">
        <v>31</v>
      </c>
      <c r="G3731" t="str">
        <f>_xlfn.XLOOKUP(transakcje[[#This Row],[podkategoria]],parametr[podkategoria],parametr[kategoria])</f>
        <v>opłaty stałe</v>
      </c>
      <c r="H3731" t="str">
        <f>_xlfn.XLOOKUP(transakcje[[#This Row],[kategoria]],parametr[kategoria],parametr[typ])</f>
        <v>wydatki</v>
      </c>
      <c r="I3731" s="1">
        <f>ABS(transakcje[[#This Row],[kwota]])</f>
        <v>17.25</v>
      </c>
    </row>
    <row r="3732" spans="1:9" x14ac:dyDescent="0.3">
      <c r="A3732">
        <v>3731</v>
      </c>
      <c r="B3732">
        <v>2022</v>
      </c>
      <c r="C3732">
        <v>1</v>
      </c>
      <c r="D3732">
        <v>1</v>
      </c>
      <c r="E3732" s="1">
        <v>-7.38</v>
      </c>
      <c r="F3732" t="s">
        <v>23</v>
      </c>
      <c r="G3732" t="str">
        <f>_xlfn.XLOOKUP(transakcje[[#This Row],[podkategoria]],parametr[podkategoria],parametr[kategoria])</f>
        <v>opłaty stałe</v>
      </c>
      <c r="H3732" t="str">
        <f>_xlfn.XLOOKUP(transakcje[[#This Row],[kategoria]],parametr[kategoria],parametr[typ])</f>
        <v>wydatki</v>
      </c>
      <c r="I3732" s="1">
        <f>ABS(transakcje[[#This Row],[kwota]])</f>
        <v>7.38</v>
      </c>
    </row>
    <row r="3733" spans="1:9" x14ac:dyDescent="0.3">
      <c r="A3733">
        <v>3732</v>
      </c>
      <c r="B3733">
        <v>2022</v>
      </c>
      <c r="C3733">
        <v>1</v>
      </c>
      <c r="D3733">
        <v>1</v>
      </c>
      <c r="E3733" s="1">
        <v>-6.2780000000000005</v>
      </c>
      <c r="F3733" t="s">
        <v>25</v>
      </c>
      <c r="G3733" t="str">
        <f>_xlfn.XLOOKUP(transakcje[[#This Row],[podkategoria]],parametr[podkategoria],parametr[kategoria])</f>
        <v>opłaty stałe</v>
      </c>
      <c r="H3733" t="str">
        <f>_xlfn.XLOOKUP(transakcje[[#This Row],[kategoria]],parametr[kategoria],parametr[typ])</f>
        <v>wydatki</v>
      </c>
      <c r="I3733" s="1">
        <f>ABS(transakcje[[#This Row],[kwota]])</f>
        <v>6.2780000000000005</v>
      </c>
    </row>
    <row r="3734" spans="1:9" x14ac:dyDescent="0.3">
      <c r="A3734">
        <v>3733</v>
      </c>
      <c r="B3734">
        <v>2022</v>
      </c>
      <c r="C3734">
        <v>1</v>
      </c>
      <c r="D3734">
        <v>1</v>
      </c>
      <c r="E3734" s="1">
        <v>-15.209999999999999</v>
      </c>
      <c r="F3734" t="s">
        <v>34</v>
      </c>
      <c r="G3734" t="str">
        <f>_xlfn.XLOOKUP(transakcje[[#This Row],[podkategoria]],parametr[podkategoria],parametr[kategoria])</f>
        <v>opłaty stałe</v>
      </c>
      <c r="H3734" t="str">
        <f>_xlfn.XLOOKUP(transakcje[[#This Row],[kategoria]],parametr[kategoria],parametr[typ])</f>
        <v>wydatki</v>
      </c>
      <c r="I3734" s="1">
        <f>ABS(transakcje[[#This Row],[kwota]])</f>
        <v>15.209999999999999</v>
      </c>
    </row>
    <row r="3735" spans="1:9" x14ac:dyDescent="0.3">
      <c r="A3735">
        <v>3734</v>
      </c>
      <c r="B3735">
        <v>2022</v>
      </c>
      <c r="C3735">
        <v>1</v>
      </c>
      <c r="D3735">
        <v>1</v>
      </c>
      <c r="E3735" s="1">
        <v>-52.92</v>
      </c>
      <c r="F3735" t="s">
        <v>37</v>
      </c>
      <c r="G3735" t="str">
        <f>_xlfn.XLOOKUP(transakcje[[#This Row],[podkategoria]],parametr[podkategoria],parametr[kategoria])</f>
        <v>opłaty stałe</v>
      </c>
      <c r="H3735" t="str">
        <f>_xlfn.XLOOKUP(transakcje[[#This Row],[kategoria]],parametr[kategoria],parametr[typ])</f>
        <v>wydatki</v>
      </c>
      <c r="I3735" s="1">
        <f>ABS(transakcje[[#This Row],[kwota]])</f>
        <v>52.92</v>
      </c>
    </row>
    <row r="3736" spans="1:9" x14ac:dyDescent="0.3">
      <c r="A3736">
        <v>3735</v>
      </c>
      <c r="B3736">
        <v>2022</v>
      </c>
      <c r="C3736">
        <v>1</v>
      </c>
      <c r="D3736">
        <v>7</v>
      </c>
      <c r="E3736" s="1">
        <v>-14.044</v>
      </c>
      <c r="F3736" t="s">
        <v>26</v>
      </c>
      <c r="G3736" t="str">
        <f>_xlfn.XLOOKUP(transakcje[[#This Row],[podkategoria]],parametr[podkategoria],parametr[kategoria])</f>
        <v>życie</v>
      </c>
      <c r="H3736" t="str">
        <f>_xlfn.XLOOKUP(transakcje[[#This Row],[kategoria]],parametr[kategoria],parametr[typ])</f>
        <v>wydatki</v>
      </c>
      <c r="I3736" s="1">
        <f>ABS(transakcje[[#This Row],[kwota]])</f>
        <v>14.044</v>
      </c>
    </row>
    <row r="3737" spans="1:9" x14ac:dyDescent="0.3">
      <c r="A3737">
        <v>3736</v>
      </c>
      <c r="B3737">
        <v>2022</v>
      </c>
      <c r="C3737">
        <v>1</v>
      </c>
      <c r="D3737">
        <v>7</v>
      </c>
      <c r="E3737" s="1">
        <v>-24.442</v>
      </c>
      <c r="F3737" t="s">
        <v>26</v>
      </c>
      <c r="G3737" t="str">
        <f>_xlfn.XLOOKUP(transakcje[[#This Row],[podkategoria]],parametr[podkategoria],parametr[kategoria])</f>
        <v>życie</v>
      </c>
      <c r="H3737" t="str">
        <f>_xlfn.XLOOKUP(transakcje[[#This Row],[kategoria]],parametr[kategoria],parametr[typ])</f>
        <v>wydatki</v>
      </c>
      <c r="I3737" s="1">
        <f>ABS(transakcje[[#This Row],[kwota]])</f>
        <v>24.442</v>
      </c>
    </row>
    <row r="3738" spans="1:9" x14ac:dyDescent="0.3">
      <c r="A3738">
        <v>3737</v>
      </c>
      <c r="B3738">
        <v>2022</v>
      </c>
      <c r="C3738">
        <v>1</v>
      </c>
      <c r="D3738">
        <v>9</v>
      </c>
      <c r="E3738" s="1">
        <v>-2</v>
      </c>
      <c r="F3738" t="s">
        <v>11</v>
      </c>
      <c r="G3738" t="str">
        <f>_xlfn.XLOOKUP(transakcje[[#This Row],[podkategoria]],parametr[podkategoria],parametr[kategoria])</f>
        <v>wydatki inne</v>
      </c>
      <c r="H3738" t="str">
        <f>_xlfn.XLOOKUP(transakcje[[#This Row],[kategoria]],parametr[kategoria],parametr[typ])</f>
        <v>wydatki</v>
      </c>
      <c r="I3738" s="1">
        <f>ABS(transakcje[[#This Row],[kwota]])</f>
        <v>2</v>
      </c>
    </row>
    <row r="3739" spans="1:9" x14ac:dyDescent="0.3">
      <c r="A3739">
        <v>3738</v>
      </c>
      <c r="B3739">
        <v>2022</v>
      </c>
      <c r="C3739">
        <v>1</v>
      </c>
      <c r="D3739">
        <v>10</v>
      </c>
      <c r="E3739" s="1">
        <v>-1.3180000000000001</v>
      </c>
      <c r="F3739" t="s">
        <v>26</v>
      </c>
      <c r="G3739" t="str">
        <f>_xlfn.XLOOKUP(transakcje[[#This Row],[podkategoria]],parametr[podkategoria],parametr[kategoria])</f>
        <v>życie</v>
      </c>
      <c r="H3739" t="str">
        <f>_xlfn.XLOOKUP(transakcje[[#This Row],[kategoria]],parametr[kategoria],parametr[typ])</f>
        <v>wydatki</v>
      </c>
      <c r="I3739" s="1">
        <f>ABS(transakcje[[#This Row],[kwota]])</f>
        <v>1.3180000000000001</v>
      </c>
    </row>
    <row r="3740" spans="1:9" x14ac:dyDescent="0.3">
      <c r="A3740">
        <v>3739</v>
      </c>
      <c r="B3740">
        <v>2022</v>
      </c>
      <c r="C3740">
        <v>1</v>
      </c>
      <c r="D3740">
        <v>11</v>
      </c>
      <c r="E3740" s="1">
        <v>-2.1079999999999997</v>
      </c>
      <c r="F3740" t="s">
        <v>26</v>
      </c>
      <c r="G3740" t="str">
        <f>_xlfn.XLOOKUP(transakcje[[#This Row],[podkategoria]],parametr[podkategoria],parametr[kategoria])</f>
        <v>życie</v>
      </c>
      <c r="H3740" t="str">
        <f>_xlfn.XLOOKUP(transakcje[[#This Row],[kategoria]],parametr[kategoria],parametr[typ])</f>
        <v>wydatki</v>
      </c>
      <c r="I3740" s="1">
        <f>ABS(transakcje[[#This Row],[kwota]])</f>
        <v>2.1079999999999997</v>
      </c>
    </row>
    <row r="3741" spans="1:9" x14ac:dyDescent="0.3">
      <c r="A3741">
        <v>3740</v>
      </c>
      <c r="B3741">
        <v>2022</v>
      </c>
      <c r="C3741">
        <v>1</v>
      </c>
      <c r="D3741">
        <v>12</v>
      </c>
      <c r="E3741" s="1">
        <v>-8.5739999999999998</v>
      </c>
      <c r="F3741" t="s">
        <v>26</v>
      </c>
      <c r="G3741" t="str">
        <f>_xlfn.XLOOKUP(transakcje[[#This Row],[podkategoria]],parametr[podkategoria],parametr[kategoria])</f>
        <v>życie</v>
      </c>
      <c r="H3741" t="str">
        <f>_xlfn.XLOOKUP(transakcje[[#This Row],[kategoria]],parametr[kategoria],parametr[typ])</f>
        <v>wydatki</v>
      </c>
      <c r="I3741" s="1">
        <f>ABS(transakcje[[#This Row],[kwota]])</f>
        <v>8.5739999999999998</v>
      </c>
    </row>
    <row r="3742" spans="1:9" x14ac:dyDescent="0.3">
      <c r="A3742">
        <v>3741</v>
      </c>
      <c r="B3742">
        <v>2022</v>
      </c>
      <c r="C3742">
        <v>1</v>
      </c>
      <c r="D3742">
        <v>13</v>
      </c>
      <c r="E3742" s="1">
        <v>-16.943999999999999</v>
      </c>
      <c r="F3742" t="s">
        <v>26</v>
      </c>
      <c r="G3742" t="str">
        <f>_xlfn.XLOOKUP(transakcje[[#This Row],[podkategoria]],parametr[podkategoria],parametr[kategoria])</f>
        <v>życie</v>
      </c>
      <c r="H3742" t="str">
        <f>_xlfn.XLOOKUP(transakcje[[#This Row],[kategoria]],parametr[kategoria],parametr[typ])</f>
        <v>wydatki</v>
      </c>
      <c r="I3742" s="1">
        <f>ABS(transakcje[[#This Row],[kwota]])</f>
        <v>16.943999999999999</v>
      </c>
    </row>
    <row r="3743" spans="1:9" x14ac:dyDescent="0.3">
      <c r="A3743">
        <v>3742</v>
      </c>
      <c r="B3743">
        <v>2022</v>
      </c>
      <c r="C3743">
        <v>1</v>
      </c>
      <c r="D3743">
        <v>14</v>
      </c>
      <c r="E3743" s="1">
        <v>-5.3819999999999997</v>
      </c>
      <c r="F3743" t="s">
        <v>26</v>
      </c>
      <c r="G3743" t="str">
        <f>_xlfn.XLOOKUP(transakcje[[#This Row],[podkategoria]],parametr[podkategoria],parametr[kategoria])</f>
        <v>życie</v>
      </c>
      <c r="H3743" t="str">
        <f>_xlfn.XLOOKUP(transakcje[[#This Row],[kategoria]],parametr[kategoria],parametr[typ])</f>
        <v>wydatki</v>
      </c>
      <c r="I3743" s="1">
        <f>ABS(transakcje[[#This Row],[kwota]])</f>
        <v>5.3819999999999997</v>
      </c>
    </row>
    <row r="3744" spans="1:9" x14ac:dyDescent="0.3">
      <c r="A3744">
        <v>3743</v>
      </c>
      <c r="B3744">
        <v>2022</v>
      </c>
      <c r="C3744">
        <v>1</v>
      </c>
      <c r="D3744">
        <v>15</v>
      </c>
      <c r="E3744" s="1">
        <v>-2.1960000000000002</v>
      </c>
      <c r="F3744" t="s">
        <v>26</v>
      </c>
      <c r="G3744" t="str">
        <f>_xlfn.XLOOKUP(transakcje[[#This Row],[podkategoria]],parametr[podkategoria],parametr[kategoria])</f>
        <v>życie</v>
      </c>
      <c r="H3744" t="str">
        <f>_xlfn.XLOOKUP(transakcje[[#This Row],[kategoria]],parametr[kategoria],parametr[typ])</f>
        <v>wydatki</v>
      </c>
      <c r="I3744" s="1">
        <f>ABS(transakcje[[#This Row],[kwota]])</f>
        <v>2.1960000000000002</v>
      </c>
    </row>
    <row r="3745" spans="1:9" x14ac:dyDescent="0.3">
      <c r="A3745">
        <v>3744</v>
      </c>
      <c r="B3745">
        <v>2022</v>
      </c>
      <c r="C3745">
        <v>1</v>
      </c>
      <c r="D3745">
        <v>16</v>
      </c>
      <c r="E3745" s="1">
        <v>-0.45800000000000002</v>
      </c>
      <c r="F3745" t="s">
        <v>26</v>
      </c>
      <c r="G3745" t="str">
        <f>_xlfn.XLOOKUP(transakcje[[#This Row],[podkategoria]],parametr[podkategoria],parametr[kategoria])</f>
        <v>życie</v>
      </c>
      <c r="H3745" t="str">
        <f>_xlfn.XLOOKUP(transakcje[[#This Row],[kategoria]],parametr[kategoria],parametr[typ])</f>
        <v>wydatki</v>
      </c>
      <c r="I3745" s="1">
        <f>ABS(transakcje[[#This Row],[kwota]])</f>
        <v>0.45800000000000002</v>
      </c>
    </row>
    <row r="3746" spans="1:9" x14ac:dyDescent="0.3">
      <c r="A3746">
        <v>3745</v>
      </c>
      <c r="B3746">
        <v>2022</v>
      </c>
      <c r="C3746">
        <v>1</v>
      </c>
      <c r="D3746">
        <v>17</v>
      </c>
      <c r="E3746" s="1">
        <v>-17.724</v>
      </c>
      <c r="F3746" t="s">
        <v>26</v>
      </c>
      <c r="G3746" t="str">
        <f>_xlfn.XLOOKUP(transakcje[[#This Row],[podkategoria]],parametr[podkategoria],parametr[kategoria])</f>
        <v>życie</v>
      </c>
      <c r="H3746" t="str">
        <f>_xlfn.XLOOKUP(transakcje[[#This Row],[kategoria]],parametr[kategoria],parametr[typ])</f>
        <v>wydatki</v>
      </c>
      <c r="I3746" s="1">
        <f>ABS(transakcje[[#This Row],[kwota]])</f>
        <v>17.724</v>
      </c>
    </row>
    <row r="3747" spans="1:9" x14ac:dyDescent="0.3">
      <c r="A3747">
        <v>3746</v>
      </c>
      <c r="B3747">
        <v>2022</v>
      </c>
      <c r="C3747">
        <v>1</v>
      </c>
      <c r="D3747">
        <v>18</v>
      </c>
      <c r="E3747" s="1">
        <v>0.79800000000000004</v>
      </c>
      <c r="F3747" t="s">
        <v>26</v>
      </c>
      <c r="G3747" t="str">
        <f>_xlfn.XLOOKUP(transakcje[[#This Row],[podkategoria]],parametr[podkategoria],parametr[kategoria])</f>
        <v>życie</v>
      </c>
      <c r="H3747" t="str">
        <f>_xlfn.XLOOKUP(transakcje[[#This Row],[kategoria]],parametr[kategoria],parametr[typ])</f>
        <v>wydatki</v>
      </c>
      <c r="I3747" s="1">
        <f>ABS(transakcje[[#This Row],[kwota]])</f>
        <v>0.79800000000000004</v>
      </c>
    </row>
    <row r="3748" spans="1:9" x14ac:dyDescent="0.3">
      <c r="A3748">
        <v>3747</v>
      </c>
      <c r="B3748">
        <v>2022</v>
      </c>
      <c r="C3748">
        <v>1</v>
      </c>
      <c r="D3748">
        <v>19</v>
      </c>
      <c r="E3748" s="1">
        <v>-1.0900000000000001</v>
      </c>
      <c r="F3748" t="s">
        <v>26</v>
      </c>
      <c r="G3748" t="str">
        <f>_xlfn.XLOOKUP(transakcje[[#This Row],[podkategoria]],parametr[podkategoria],parametr[kategoria])</f>
        <v>życie</v>
      </c>
      <c r="H3748" t="str">
        <f>_xlfn.XLOOKUP(transakcje[[#This Row],[kategoria]],parametr[kategoria],parametr[typ])</f>
        <v>wydatki</v>
      </c>
      <c r="I3748" s="1">
        <f>ABS(transakcje[[#This Row],[kwota]])</f>
        <v>1.0900000000000001</v>
      </c>
    </row>
    <row r="3749" spans="1:9" x14ac:dyDescent="0.3">
      <c r="A3749">
        <v>3748</v>
      </c>
      <c r="B3749">
        <v>2022</v>
      </c>
      <c r="C3749">
        <v>1</v>
      </c>
      <c r="D3749">
        <v>20</v>
      </c>
      <c r="E3749" s="1">
        <v>-23.8</v>
      </c>
      <c r="F3749" t="s">
        <v>32</v>
      </c>
      <c r="G3749" t="str">
        <f>_xlfn.XLOOKUP(transakcje[[#This Row],[podkategoria]],parametr[podkategoria],parametr[kategoria])</f>
        <v>opłaty stałe</v>
      </c>
      <c r="H3749" t="str">
        <f>_xlfn.XLOOKUP(transakcje[[#This Row],[kategoria]],parametr[kategoria],parametr[typ])</f>
        <v>wydatki</v>
      </c>
      <c r="I3749" s="1">
        <f>ABS(transakcje[[#This Row],[kwota]])</f>
        <v>23.8</v>
      </c>
    </row>
    <row r="3750" spans="1:9" x14ac:dyDescent="0.3">
      <c r="A3750">
        <v>3749</v>
      </c>
      <c r="B3750">
        <v>2022</v>
      </c>
      <c r="C3750">
        <v>1</v>
      </c>
      <c r="D3750">
        <v>21</v>
      </c>
      <c r="E3750" s="1">
        <v>-13.994</v>
      </c>
      <c r="F3750" t="s">
        <v>26</v>
      </c>
      <c r="G3750" t="str">
        <f>_xlfn.XLOOKUP(transakcje[[#This Row],[podkategoria]],parametr[podkategoria],parametr[kategoria])</f>
        <v>życie</v>
      </c>
      <c r="H3750" t="str">
        <f>_xlfn.XLOOKUP(transakcje[[#This Row],[kategoria]],parametr[kategoria],parametr[typ])</f>
        <v>wydatki</v>
      </c>
      <c r="I3750" s="1">
        <f>ABS(transakcje[[#This Row],[kwota]])</f>
        <v>13.994</v>
      </c>
    </row>
    <row r="3751" spans="1:9" x14ac:dyDescent="0.3">
      <c r="A3751">
        <v>3750</v>
      </c>
      <c r="B3751">
        <v>2022</v>
      </c>
      <c r="C3751">
        <v>1</v>
      </c>
      <c r="D3751">
        <v>22</v>
      </c>
      <c r="E3751" s="1">
        <v>-0.42000000000000004</v>
      </c>
      <c r="F3751" t="s">
        <v>26</v>
      </c>
      <c r="G3751" t="str">
        <f>_xlfn.XLOOKUP(transakcje[[#This Row],[podkategoria]],parametr[podkategoria],parametr[kategoria])</f>
        <v>życie</v>
      </c>
      <c r="H3751" t="str">
        <f>_xlfn.XLOOKUP(transakcje[[#This Row],[kategoria]],parametr[kategoria],parametr[typ])</f>
        <v>wydatki</v>
      </c>
      <c r="I3751" s="1">
        <f>ABS(transakcje[[#This Row],[kwota]])</f>
        <v>0.42000000000000004</v>
      </c>
    </row>
    <row r="3752" spans="1:9" x14ac:dyDescent="0.3">
      <c r="A3752">
        <v>3751</v>
      </c>
      <c r="B3752">
        <v>2022</v>
      </c>
      <c r="C3752">
        <v>1</v>
      </c>
      <c r="D3752">
        <v>23</v>
      </c>
      <c r="E3752" s="1">
        <v>813.47</v>
      </c>
      <c r="F3752" t="s">
        <v>8</v>
      </c>
      <c r="G3752" t="str">
        <f>_xlfn.XLOOKUP(transakcje[[#This Row],[podkategoria]],parametr[podkategoria],parametr[kategoria])</f>
        <v>dochody z pracy</v>
      </c>
      <c r="H3752" t="str">
        <f>_xlfn.XLOOKUP(transakcje[[#This Row],[kategoria]],parametr[kategoria],parametr[typ])</f>
        <v>dochody</v>
      </c>
      <c r="I3752" s="1">
        <f>ABS(transakcje[[#This Row],[kwota]])</f>
        <v>813.47</v>
      </c>
    </row>
    <row r="3753" spans="1:9" x14ac:dyDescent="0.3">
      <c r="A3753">
        <v>3752</v>
      </c>
      <c r="B3753">
        <v>2022</v>
      </c>
      <c r="C3753">
        <v>1</v>
      </c>
      <c r="D3753">
        <v>24</v>
      </c>
      <c r="E3753" s="1">
        <v>-4.9799999999999995</v>
      </c>
      <c r="F3753" t="s">
        <v>26</v>
      </c>
      <c r="G3753" t="str">
        <f>_xlfn.XLOOKUP(transakcje[[#This Row],[podkategoria]],parametr[podkategoria],parametr[kategoria])</f>
        <v>życie</v>
      </c>
      <c r="H3753" t="str">
        <f>_xlfn.XLOOKUP(transakcje[[#This Row],[kategoria]],parametr[kategoria],parametr[typ])</f>
        <v>wydatki</v>
      </c>
      <c r="I3753" s="1">
        <f>ABS(transakcje[[#This Row],[kwota]])</f>
        <v>4.9799999999999995</v>
      </c>
    </row>
    <row r="3754" spans="1:9" x14ac:dyDescent="0.3">
      <c r="A3754">
        <v>3753</v>
      </c>
      <c r="B3754">
        <v>2022</v>
      </c>
      <c r="C3754">
        <v>1</v>
      </c>
      <c r="D3754">
        <v>31</v>
      </c>
      <c r="E3754" s="1">
        <v>-1.4</v>
      </c>
      <c r="F3754" t="s">
        <v>14</v>
      </c>
      <c r="G3754" t="str">
        <f>_xlfn.XLOOKUP(transakcje[[#This Row],[podkategoria]],parametr[podkategoria],parametr[kategoria])</f>
        <v>opłaty stałe</v>
      </c>
      <c r="H3754" t="str">
        <f>_xlfn.XLOOKUP(transakcje[[#This Row],[kategoria]],parametr[kategoria],parametr[typ])</f>
        <v>wydatki</v>
      </c>
      <c r="I3754" s="1">
        <f>ABS(transakcje[[#This Row],[kwota]])</f>
        <v>1.4</v>
      </c>
    </row>
    <row r="3755" spans="1:9" x14ac:dyDescent="0.3">
      <c r="A3755">
        <v>3754</v>
      </c>
      <c r="B3755">
        <v>2022</v>
      </c>
      <c r="C3755">
        <v>1</v>
      </c>
      <c r="D3755">
        <v>31</v>
      </c>
      <c r="E3755" s="1">
        <v>4.0000000000000001E-3</v>
      </c>
      <c r="F3755" t="s">
        <v>17</v>
      </c>
      <c r="G3755" t="str">
        <f>_xlfn.XLOOKUP(transakcje[[#This Row],[podkategoria]],parametr[podkategoria],parametr[kategoria])</f>
        <v>dochody pozostałe</v>
      </c>
      <c r="H3755" t="str">
        <f>_xlfn.XLOOKUP(transakcje[[#This Row],[kategoria]],parametr[kategoria],parametr[typ])</f>
        <v>dochody</v>
      </c>
      <c r="I3755" s="1">
        <f>ABS(transakcje[[#This Row],[kwota]])</f>
        <v>4.0000000000000001E-3</v>
      </c>
    </row>
    <row r="3756" spans="1:9" x14ac:dyDescent="0.3">
      <c r="A3756">
        <v>3755</v>
      </c>
      <c r="B3756">
        <v>2022</v>
      </c>
      <c r="C3756">
        <v>1</v>
      </c>
      <c r="D3756">
        <v>31</v>
      </c>
      <c r="E3756" s="1">
        <v>-2E-3</v>
      </c>
      <c r="F3756" t="s">
        <v>14</v>
      </c>
      <c r="G3756" t="str">
        <f>_xlfn.XLOOKUP(transakcje[[#This Row],[podkategoria]],parametr[podkategoria],parametr[kategoria])</f>
        <v>opłaty stałe</v>
      </c>
      <c r="H3756" t="str">
        <f>_xlfn.XLOOKUP(transakcje[[#This Row],[kategoria]],parametr[kategoria],parametr[typ])</f>
        <v>wydatki</v>
      </c>
      <c r="I3756" s="1">
        <f>ABS(transakcje[[#This Row],[kwota]])</f>
        <v>2E-3</v>
      </c>
    </row>
    <row r="3757" spans="1:9" x14ac:dyDescent="0.3">
      <c r="A3757">
        <v>3756</v>
      </c>
      <c r="B3757">
        <v>2022</v>
      </c>
      <c r="C3757">
        <v>2</v>
      </c>
      <c r="D3757">
        <v>1</v>
      </c>
      <c r="E3757" s="1">
        <v>-0.79800000000000004</v>
      </c>
      <c r="F3757" t="s">
        <v>26</v>
      </c>
      <c r="G3757" t="str">
        <f>_xlfn.XLOOKUP(transakcje[[#This Row],[podkategoria]],parametr[podkategoria],parametr[kategoria])</f>
        <v>życie</v>
      </c>
      <c r="H3757" t="str">
        <f>_xlfn.XLOOKUP(transakcje[[#This Row],[kategoria]],parametr[kategoria],parametr[typ])</f>
        <v>wydatki</v>
      </c>
      <c r="I3757" s="1">
        <f>ABS(transakcje[[#This Row],[kwota]])</f>
        <v>0.79800000000000004</v>
      </c>
    </row>
    <row r="3758" spans="1:9" x14ac:dyDescent="0.3">
      <c r="A3758">
        <v>3757</v>
      </c>
      <c r="B3758">
        <v>2022</v>
      </c>
      <c r="C3758">
        <v>2</v>
      </c>
      <c r="D3758">
        <v>4</v>
      </c>
      <c r="E3758" s="1">
        <v>-0.79800000000000004</v>
      </c>
      <c r="F3758" t="s">
        <v>26</v>
      </c>
      <c r="G3758" t="str">
        <f>_xlfn.XLOOKUP(transakcje[[#This Row],[podkategoria]],parametr[podkategoria],parametr[kategoria])</f>
        <v>życie</v>
      </c>
      <c r="H3758" t="str">
        <f>_xlfn.XLOOKUP(transakcje[[#This Row],[kategoria]],parametr[kategoria],parametr[typ])</f>
        <v>wydatki</v>
      </c>
      <c r="I3758" s="1">
        <f>ABS(transakcje[[#This Row],[kwota]])</f>
        <v>0.79800000000000004</v>
      </c>
    </row>
    <row r="3759" spans="1:9" x14ac:dyDescent="0.3">
      <c r="A3759">
        <v>3758</v>
      </c>
      <c r="B3759">
        <v>2022</v>
      </c>
      <c r="C3759">
        <v>2</v>
      </c>
      <c r="D3759">
        <v>5</v>
      </c>
      <c r="E3759" s="1">
        <v>-9.6</v>
      </c>
      <c r="F3759" t="s">
        <v>36</v>
      </c>
      <c r="G3759" t="str">
        <f>_xlfn.XLOOKUP(transakcje[[#This Row],[podkategoria]],parametr[podkategoria],parametr[kategoria])</f>
        <v>opłaty stałe</v>
      </c>
      <c r="H3759" t="str">
        <f>_xlfn.XLOOKUP(transakcje[[#This Row],[kategoria]],parametr[kategoria],parametr[typ])</f>
        <v>wydatki</v>
      </c>
      <c r="I3759" s="1">
        <f>ABS(transakcje[[#This Row],[kwota]])</f>
        <v>9.6</v>
      </c>
    </row>
    <row r="3760" spans="1:9" x14ac:dyDescent="0.3">
      <c r="A3760">
        <v>3759</v>
      </c>
      <c r="B3760">
        <v>2022</v>
      </c>
      <c r="C3760">
        <v>2</v>
      </c>
      <c r="D3760">
        <v>5</v>
      </c>
      <c r="E3760" s="1">
        <v>-5.8</v>
      </c>
      <c r="F3760" t="s">
        <v>25</v>
      </c>
      <c r="G3760" t="str">
        <f>_xlfn.XLOOKUP(transakcje[[#This Row],[podkategoria]],parametr[podkategoria],parametr[kategoria])</f>
        <v>opłaty stałe</v>
      </c>
      <c r="H3760" t="str">
        <f>_xlfn.XLOOKUP(transakcje[[#This Row],[kategoria]],parametr[kategoria],parametr[typ])</f>
        <v>wydatki</v>
      </c>
      <c r="I3760" s="1">
        <f>ABS(transakcje[[#This Row],[kwota]])</f>
        <v>5.8</v>
      </c>
    </row>
    <row r="3761" spans="1:9" x14ac:dyDescent="0.3">
      <c r="A3761">
        <v>3760</v>
      </c>
      <c r="B3761">
        <v>2022</v>
      </c>
      <c r="C3761">
        <v>2</v>
      </c>
      <c r="D3761">
        <v>5</v>
      </c>
      <c r="E3761" s="1">
        <v>-7.38</v>
      </c>
      <c r="F3761" t="s">
        <v>23</v>
      </c>
      <c r="G3761" t="str">
        <f>_xlfn.XLOOKUP(transakcje[[#This Row],[podkategoria]],parametr[podkategoria],parametr[kategoria])</f>
        <v>opłaty stałe</v>
      </c>
      <c r="H3761" t="str">
        <f>_xlfn.XLOOKUP(transakcje[[#This Row],[kategoria]],parametr[kategoria],parametr[typ])</f>
        <v>wydatki</v>
      </c>
      <c r="I3761" s="1">
        <f>ABS(transakcje[[#This Row],[kwota]])</f>
        <v>7.38</v>
      </c>
    </row>
    <row r="3762" spans="1:9" x14ac:dyDescent="0.3">
      <c r="A3762">
        <v>3761</v>
      </c>
      <c r="B3762">
        <v>2022</v>
      </c>
      <c r="C3762">
        <v>2</v>
      </c>
      <c r="D3762">
        <v>5</v>
      </c>
      <c r="E3762" s="1">
        <v>-84.224000000000004</v>
      </c>
      <c r="F3762" t="s">
        <v>31</v>
      </c>
      <c r="G3762" t="str">
        <f>_xlfn.XLOOKUP(transakcje[[#This Row],[podkategoria]],parametr[podkategoria],parametr[kategoria])</f>
        <v>opłaty stałe</v>
      </c>
      <c r="H3762" t="str">
        <f>_xlfn.XLOOKUP(transakcje[[#This Row],[kategoria]],parametr[kategoria],parametr[typ])</f>
        <v>wydatki</v>
      </c>
      <c r="I3762" s="1">
        <f>ABS(transakcje[[#This Row],[kwota]])</f>
        <v>84.224000000000004</v>
      </c>
    </row>
    <row r="3763" spans="1:9" x14ac:dyDescent="0.3">
      <c r="A3763">
        <v>3762</v>
      </c>
      <c r="B3763">
        <v>2022</v>
      </c>
      <c r="C3763">
        <v>2</v>
      </c>
      <c r="D3763">
        <v>8</v>
      </c>
      <c r="E3763" s="1">
        <v>-10.523999999999999</v>
      </c>
      <c r="F3763" t="s">
        <v>26</v>
      </c>
      <c r="G3763" t="str">
        <f>_xlfn.XLOOKUP(transakcje[[#This Row],[podkategoria]],parametr[podkategoria],parametr[kategoria])</f>
        <v>życie</v>
      </c>
      <c r="H3763" t="str">
        <f>_xlfn.XLOOKUP(transakcje[[#This Row],[kategoria]],parametr[kategoria],parametr[typ])</f>
        <v>wydatki</v>
      </c>
      <c r="I3763" s="1">
        <f>ABS(transakcje[[#This Row],[kwota]])</f>
        <v>10.523999999999999</v>
      </c>
    </row>
    <row r="3764" spans="1:9" x14ac:dyDescent="0.3">
      <c r="A3764">
        <v>3763</v>
      </c>
      <c r="B3764">
        <v>2022</v>
      </c>
      <c r="C3764">
        <v>2</v>
      </c>
      <c r="D3764">
        <v>9</v>
      </c>
      <c r="E3764" s="1">
        <v>-0.4</v>
      </c>
      <c r="F3764" t="s">
        <v>26</v>
      </c>
      <c r="G3764" t="str">
        <f>_xlfn.XLOOKUP(transakcje[[#This Row],[podkategoria]],parametr[podkategoria],parametr[kategoria])</f>
        <v>życie</v>
      </c>
      <c r="H3764" t="str">
        <f>_xlfn.XLOOKUP(transakcje[[#This Row],[kategoria]],parametr[kategoria],parametr[typ])</f>
        <v>wydatki</v>
      </c>
      <c r="I3764" s="1">
        <f>ABS(transakcje[[#This Row],[kwota]])</f>
        <v>0.4</v>
      </c>
    </row>
    <row r="3765" spans="1:9" x14ac:dyDescent="0.3">
      <c r="A3765">
        <v>3764</v>
      </c>
      <c r="B3765">
        <v>2022</v>
      </c>
      <c r="C3765">
        <v>2</v>
      </c>
      <c r="D3765">
        <v>11</v>
      </c>
      <c r="E3765" s="1">
        <v>-0.79800000000000004</v>
      </c>
      <c r="F3765" t="s">
        <v>26</v>
      </c>
      <c r="G3765" t="str">
        <f>_xlfn.XLOOKUP(transakcje[[#This Row],[podkategoria]],parametr[podkategoria],parametr[kategoria])</f>
        <v>życie</v>
      </c>
      <c r="H3765" t="str">
        <f>_xlfn.XLOOKUP(transakcje[[#This Row],[kategoria]],parametr[kategoria],parametr[typ])</f>
        <v>wydatki</v>
      </c>
      <c r="I3765" s="1">
        <f>ABS(transakcje[[#This Row],[kwota]])</f>
        <v>0.79800000000000004</v>
      </c>
    </row>
    <row r="3766" spans="1:9" x14ac:dyDescent="0.3">
      <c r="A3766">
        <v>3765</v>
      </c>
      <c r="B3766">
        <v>2022</v>
      </c>
      <c r="C3766">
        <v>2</v>
      </c>
      <c r="D3766">
        <v>14</v>
      </c>
      <c r="E3766" s="1">
        <v>-8.6</v>
      </c>
      <c r="F3766" t="s">
        <v>26</v>
      </c>
      <c r="G3766" t="str">
        <f>_xlfn.XLOOKUP(transakcje[[#This Row],[podkategoria]],parametr[podkategoria],parametr[kategoria])</f>
        <v>życie</v>
      </c>
      <c r="H3766" t="str">
        <f>_xlfn.XLOOKUP(transakcje[[#This Row],[kategoria]],parametr[kategoria],parametr[typ])</f>
        <v>wydatki</v>
      </c>
      <c r="I3766" s="1">
        <f>ABS(transakcje[[#This Row],[kwota]])</f>
        <v>8.6</v>
      </c>
    </row>
    <row r="3767" spans="1:9" x14ac:dyDescent="0.3">
      <c r="A3767">
        <v>3766</v>
      </c>
      <c r="B3767">
        <v>2022</v>
      </c>
      <c r="C3767">
        <v>2</v>
      </c>
      <c r="D3767">
        <v>15</v>
      </c>
      <c r="E3767" s="1">
        <v>-0.4</v>
      </c>
      <c r="F3767" t="s">
        <v>26</v>
      </c>
      <c r="G3767" t="str">
        <f>_xlfn.XLOOKUP(transakcje[[#This Row],[podkategoria]],parametr[podkategoria],parametr[kategoria])</f>
        <v>życie</v>
      </c>
      <c r="H3767" t="str">
        <f>_xlfn.XLOOKUP(transakcje[[#This Row],[kategoria]],parametr[kategoria],parametr[typ])</f>
        <v>wydatki</v>
      </c>
      <c r="I3767" s="1">
        <f>ABS(transakcje[[#This Row],[kwota]])</f>
        <v>0.4</v>
      </c>
    </row>
    <row r="3768" spans="1:9" x14ac:dyDescent="0.3">
      <c r="A3768">
        <v>3767</v>
      </c>
      <c r="B3768">
        <v>2022</v>
      </c>
      <c r="C3768">
        <v>2</v>
      </c>
      <c r="D3768">
        <v>15</v>
      </c>
      <c r="E3768" s="1">
        <v>-1.246</v>
      </c>
      <c r="F3768" t="s">
        <v>26</v>
      </c>
      <c r="G3768" t="str">
        <f>_xlfn.XLOOKUP(transakcje[[#This Row],[podkategoria]],parametr[podkategoria],parametr[kategoria])</f>
        <v>życie</v>
      </c>
      <c r="H3768" t="str">
        <f>_xlfn.XLOOKUP(transakcje[[#This Row],[kategoria]],parametr[kategoria],parametr[typ])</f>
        <v>wydatki</v>
      </c>
      <c r="I3768" s="1">
        <f>ABS(transakcje[[#This Row],[kwota]])</f>
        <v>1.246</v>
      </c>
    </row>
    <row r="3769" spans="1:9" x14ac:dyDescent="0.3">
      <c r="A3769">
        <v>3768</v>
      </c>
      <c r="B3769">
        <v>2022</v>
      </c>
      <c r="C3769">
        <v>2</v>
      </c>
      <c r="D3769">
        <v>17</v>
      </c>
      <c r="E3769" s="1">
        <v>-0.2</v>
      </c>
      <c r="F3769" t="s">
        <v>14</v>
      </c>
      <c r="G3769" t="str">
        <f>_xlfn.XLOOKUP(transakcje[[#This Row],[podkategoria]],parametr[podkategoria],parametr[kategoria])</f>
        <v>opłaty stałe</v>
      </c>
      <c r="H3769" t="str">
        <f>_xlfn.XLOOKUP(transakcje[[#This Row],[kategoria]],parametr[kategoria],parametr[typ])</f>
        <v>wydatki</v>
      </c>
      <c r="I3769" s="1">
        <f>ABS(transakcje[[#This Row],[kwota]])</f>
        <v>0.2</v>
      </c>
    </row>
    <row r="3770" spans="1:9" x14ac:dyDescent="0.3">
      <c r="A3770">
        <v>3769</v>
      </c>
      <c r="B3770">
        <v>2022</v>
      </c>
      <c r="C3770">
        <v>2</v>
      </c>
      <c r="D3770">
        <v>17</v>
      </c>
      <c r="E3770" s="1">
        <v>-15.746</v>
      </c>
      <c r="F3770" t="s">
        <v>26</v>
      </c>
      <c r="G3770" t="str">
        <f>_xlfn.XLOOKUP(transakcje[[#This Row],[podkategoria]],parametr[podkategoria],parametr[kategoria])</f>
        <v>życie</v>
      </c>
      <c r="H3770" t="str">
        <f>_xlfn.XLOOKUP(transakcje[[#This Row],[kategoria]],parametr[kategoria],parametr[typ])</f>
        <v>wydatki</v>
      </c>
      <c r="I3770" s="1">
        <f>ABS(transakcje[[#This Row],[kwota]])</f>
        <v>15.746</v>
      </c>
    </row>
    <row r="3771" spans="1:9" x14ac:dyDescent="0.3">
      <c r="A3771">
        <v>3770</v>
      </c>
      <c r="B3771">
        <v>2022</v>
      </c>
      <c r="C3771">
        <v>2</v>
      </c>
      <c r="D3771">
        <v>18</v>
      </c>
      <c r="E3771" s="1">
        <v>-1.5880000000000001</v>
      </c>
      <c r="F3771" t="s">
        <v>26</v>
      </c>
      <c r="G3771" t="str">
        <f>_xlfn.XLOOKUP(transakcje[[#This Row],[podkategoria]],parametr[podkategoria],parametr[kategoria])</f>
        <v>życie</v>
      </c>
      <c r="H3771" t="str">
        <f>_xlfn.XLOOKUP(transakcje[[#This Row],[kategoria]],parametr[kategoria],parametr[typ])</f>
        <v>wydatki</v>
      </c>
      <c r="I3771" s="1">
        <f>ABS(transakcje[[#This Row],[kwota]])</f>
        <v>1.5880000000000001</v>
      </c>
    </row>
    <row r="3772" spans="1:9" x14ac:dyDescent="0.3">
      <c r="A3772">
        <v>3771</v>
      </c>
      <c r="B3772">
        <v>2022</v>
      </c>
      <c r="C3772">
        <v>2</v>
      </c>
      <c r="D3772">
        <v>23</v>
      </c>
      <c r="E3772" s="1">
        <v>-24.48</v>
      </c>
      <c r="F3772" t="s">
        <v>32</v>
      </c>
      <c r="G3772" t="str">
        <f>_xlfn.XLOOKUP(transakcje[[#This Row],[podkategoria]],parametr[podkategoria],parametr[kategoria])</f>
        <v>opłaty stałe</v>
      </c>
      <c r="H3772" t="str">
        <f>_xlfn.XLOOKUP(transakcje[[#This Row],[kategoria]],parametr[kategoria],parametr[typ])</f>
        <v>wydatki</v>
      </c>
      <c r="I3772" s="1">
        <f>ABS(transakcje[[#This Row],[kwota]])</f>
        <v>24.48</v>
      </c>
    </row>
    <row r="3773" spans="1:9" x14ac:dyDescent="0.3">
      <c r="A3773">
        <v>3772</v>
      </c>
      <c r="B3773">
        <v>2022</v>
      </c>
      <c r="C3773">
        <v>2</v>
      </c>
      <c r="D3773">
        <v>23</v>
      </c>
      <c r="E3773" s="1">
        <v>-18.167999999999999</v>
      </c>
      <c r="F3773" t="s">
        <v>26</v>
      </c>
      <c r="G3773" t="str">
        <f>_xlfn.XLOOKUP(transakcje[[#This Row],[podkategoria]],parametr[podkategoria],parametr[kategoria])</f>
        <v>życie</v>
      </c>
      <c r="H3773" t="str">
        <f>_xlfn.XLOOKUP(transakcje[[#This Row],[kategoria]],parametr[kategoria],parametr[typ])</f>
        <v>wydatki</v>
      </c>
      <c r="I3773" s="1">
        <f>ABS(transakcje[[#This Row],[kwota]])</f>
        <v>18.167999999999999</v>
      </c>
    </row>
    <row r="3774" spans="1:9" x14ac:dyDescent="0.3">
      <c r="A3774">
        <v>3773</v>
      </c>
      <c r="B3774">
        <v>2022</v>
      </c>
      <c r="C3774">
        <v>2</v>
      </c>
      <c r="D3774">
        <v>23</v>
      </c>
      <c r="E3774" s="1">
        <v>-2.3380000000000001</v>
      </c>
      <c r="F3774" t="s">
        <v>26</v>
      </c>
      <c r="G3774" t="str">
        <f>_xlfn.XLOOKUP(transakcje[[#This Row],[podkategoria]],parametr[podkategoria],parametr[kategoria])</f>
        <v>życie</v>
      </c>
      <c r="H3774" t="str">
        <f>_xlfn.XLOOKUP(transakcje[[#This Row],[kategoria]],parametr[kategoria],parametr[typ])</f>
        <v>wydatki</v>
      </c>
      <c r="I3774" s="1">
        <f>ABS(transakcje[[#This Row],[kwota]])</f>
        <v>2.3380000000000001</v>
      </c>
    </row>
    <row r="3775" spans="1:9" x14ac:dyDescent="0.3">
      <c r="A3775">
        <v>3774</v>
      </c>
      <c r="B3775">
        <v>2022</v>
      </c>
      <c r="C3775">
        <v>2</v>
      </c>
      <c r="D3775">
        <v>24</v>
      </c>
      <c r="E3775" s="1">
        <v>813.47</v>
      </c>
      <c r="F3775" t="s">
        <v>8</v>
      </c>
      <c r="G3775" t="str">
        <f>_xlfn.XLOOKUP(transakcje[[#This Row],[podkategoria]],parametr[podkategoria],parametr[kategoria])</f>
        <v>dochody z pracy</v>
      </c>
      <c r="H3775" t="str">
        <f>_xlfn.XLOOKUP(transakcje[[#This Row],[kategoria]],parametr[kategoria],parametr[typ])</f>
        <v>dochody</v>
      </c>
      <c r="I3775" s="1">
        <f>ABS(transakcje[[#This Row],[kwota]])</f>
        <v>813.47</v>
      </c>
    </row>
    <row r="3776" spans="1:9" x14ac:dyDescent="0.3">
      <c r="A3776">
        <v>3775</v>
      </c>
      <c r="B3776">
        <v>2022</v>
      </c>
      <c r="C3776">
        <v>2</v>
      </c>
      <c r="D3776">
        <v>25</v>
      </c>
      <c r="E3776" s="1">
        <v>-0.79800000000000004</v>
      </c>
      <c r="F3776" t="s">
        <v>26</v>
      </c>
      <c r="G3776" t="str">
        <f>_xlfn.XLOOKUP(transakcje[[#This Row],[podkategoria]],parametr[podkategoria],parametr[kategoria])</f>
        <v>życie</v>
      </c>
      <c r="H3776" t="str">
        <f>_xlfn.XLOOKUP(transakcje[[#This Row],[kategoria]],parametr[kategoria],parametr[typ])</f>
        <v>wydatki</v>
      </c>
      <c r="I3776" s="1">
        <f>ABS(transakcje[[#This Row],[kwota]])</f>
        <v>0.79800000000000004</v>
      </c>
    </row>
    <row r="3777" spans="1:9" x14ac:dyDescent="0.3">
      <c r="A3777">
        <v>3776</v>
      </c>
      <c r="B3777">
        <v>2022</v>
      </c>
      <c r="C3777">
        <v>2</v>
      </c>
      <c r="D3777">
        <v>28</v>
      </c>
      <c r="E3777" s="1">
        <v>-1.4</v>
      </c>
      <c r="F3777" t="s">
        <v>14</v>
      </c>
      <c r="G3777" t="str">
        <f>_xlfn.XLOOKUP(transakcje[[#This Row],[podkategoria]],parametr[podkategoria],parametr[kategoria])</f>
        <v>opłaty stałe</v>
      </c>
      <c r="H3777" t="str">
        <f>_xlfn.XLOOKUP(transakcje[[#This Row],[kategoria]],parametr[kategoria],parametr[typ])</f>
        <v>wydatki</v>
      </c>
      <c r="I3777" s="1">
        <f>ABS(transakcje[[#This Row],[kwota]])</f>
        <v>1.4</v>
      </c>
    </row>
    <row r="3778" spans="1:9" x14ac:dyDescent="0.3">
      <c r="A3778">
        <v>3777</v>
      </c>
      <c r="B3778">
        <v>2022</v>
      </c>
      <c r="C3778">
        <v>2</v>
      </c>
      <c r="D3778">
        <v>28</v>
      </c>
      <c r="E3778" s="1">
        <v>8.0000000000000002E-3</v>
      </c>
      <c r="F3778" t="s">
        <v>17</v>
      </c>
      <c r="G3778" t="str">
        <f>_xlfn.XLOOKUP(transakcje[[#This Row],[podkategoria]],parametr[podkategoria],parametr[kategoria])</f>
        <v>dochody pozostałe</v>
      </c>
      <c r="H3778" t="str">
        <f>_xlfn.XLOOKUP(transakcje[[#This Row],[kategoria]],parametr[kategoria],parametr[typ])</f>
        <v>dochody</v>
      </c>
      <c r="I3778" s="1">
        <f>ABS(transakcje[[#This Row],[kwota]])</f>
        <v>8.0000000000000002E-3</v>
      </c>
    </row>
    <row r="3779" spans="1:9" x14ac:dyDescent="0.3">
      <c r="A3779">
        <v>3778</v>
      </c>
      <c r="B3779">
        <v>2022</v>
      </c>
      <c r="C3779">
        <v>2</v>
      </c>
      <c r="D3779">
        <v>28</v>
      </c>
      <c r="E3779" s="1">
        <v>-2E-3</v>
      </c>
      <c r="F3779" t="s">
        <v>14</v>
      </c>
      <c r="G3779" t="str">
        <f>_xlfn.XLOOKUP(transakcje[[#This Row],[podkategoria]],parametr[podkategoria],parametr[kategoria])</f>
        <v>opłaty stałe</v>
      </c>
      <c r="H3779" t="str">
        <f>_xlfn.XLOOKUP(transakcje[[#This Row],[kategoria]],parametr[kategoria],parametr[typ])</f>
        <v>wydatki</v>
      </c>
      <c r="I3779" s="1">
        <f>ABS(transakcje[[#This Row],[kwota]])</f>
        <v>2E-3</v>
      </c>
    </row>
    <row r="3780" spans="1:9" x14ac:dyDescent="0.3">
      <c r="A3780">
        <v>3779</v>
      </c>
      <c r="B3780">
        <v>2022</v>
      </c>
      <c r="C3780">
        <v>2</v>
      </c>
      <c r="D3780">
        <v>28</v>
      </c>
      <c r="E3780" s="1">
        <v>0.8</v>
      </c>
      <c r="F3780" t="s">
        <v>16</v>
      </c>
      <c r="G3780" t="str">
        <f>_xlfn.XLOOKUP(transakcje[[#This Row],[podkategoria]],parametr[podkategoria],parametr[kategoria])</f>
        <v>dochody z pracy</v>
      </c>
      <c r="H3780" t="str">
        <f>_xlfn.XLOOKUP(transakcje[[#This Row],[kategoria]],parametr[kategoria],parametr[typ])</f>
        <v>dochody</v>
      </c>
      <c r="I3780" s="1">
        <f>ABS(transakcje[[#This Row],[kwota]])</f>
        <v>0.8</v>
      </c>
    </row>
    <row r="3781" spans="1:9" x14ac:dyDescent="0.3">
      <c r="A3781">
        <v>3780</v>
      </c>
      <c r="B3781">
        <v>2022</v>
      </c>
      <c r="C3781">
        <v>3</v>
      </c>
      <c r="D3781">
        <v>1</v>
      </c>
      <c r="E3781" s="1">
        <v>-22.113999999999997</v>
      </c>
      <c r="F3781" t="s">
        <v>34</v>
      </c>
      <c r="G3781" t="str">
        <f>_xlfn.XLOOKUP(transakcje[[#This Row],[podkategoria]],parametr[podkategoria],parametr[kategoria])</f>
        <v>opłaty stałe</v>
      </c>
      <c r="H3781" t="str">
        <f>_xlfn.XLOOKUP(transakcje[[#This Row],[kategoria]],parametr[kategoria],parametr[typ])</f>
        <v>wydatki</v>
      </c>
      <c r="I3781" s="1">
        <f>ABS(transakcje[[#This Row],[kwota]])</f>
        <v>22.113999999999997</v>
      </c>
    </row>
    <row r="3782" spans="1:9" x14ac:dyDescent="0.3">
      <c r="A3782">
        <v>3781</v>
      </c>
      <c r="B3782">
        <v>2022</v>
      </c>
      <c r="C3782">
        <v>3</v>
      </c>
      <c r="D3782">
        <v>1</v>
      </c>
      <c r="E3782" s="1">
        <v>-5.8</v>
      </c>
      <c r="F3782" t="s">
        <v>25</v>
      </c>
      <c r="G3782" t="str">
        <f>_xlfn.XLOOKUP(transakcje[[#This Row],[podkategoria]],parametr[podkategoria],parametr[kategoria])</f>
        <v>opłaty stałe</v>
      </c>
      <c r="H3782" t="str">
        <f>_xlfn.XLOOKUP(transakcje[[#This Row],[kategoria]],parametr[kategoria],parametr[typ])</f>
        <v>wydatki</v>
      </c>
      <c r="I3782" s="1">
        <f>ABS(transakcje[[#This Row],[kwota]])</f>
        <v>5.8</v>
      </c>
    </row>
    <row r="3783" spans="1:9" x14ac:dyDescent="0.3">
      <c r="A3783">
        <v>3782</v>
      </c>
      <c r="B3783">
        <v>2022</v>
      </c>
      <c r="C3783">
        <v>3</v>
      </c>
      <c r="D3783">
        <v>1</v>
      </c>
      <c r="E3783" s="1">
        <v>-7.38</v>
      </c>
      <c r="F3783" t="s">
        <v>23</v>
      </c>
      <c r="G3783" t="str">
        <f>_xlfn.XLOOKUP(transakcje[[#This Row],[podkategoria]],parametr[podkategoria],parametr[kategoria])</f>
        <v>opłaty stałe</v>
      </c>
      <c r="H3783" t="str">
        <f>_xlfn.XLOOKUP(transakcje[[#This Row],[kategoria]],parametr[kategoria],parametr[typ])</f>
        <v>wydatki</v>
      </c>
      <c r="I3783" s="1">
        <f>ABS(transakcje[[#This Row],[kwota]])</f>
        <v>7.38</v>
      </c>
    </row>
    <row r="3784" spans="1:9" x14ac:dyDescent="0.3">
      <c r="A3784">
        <v>3783</v>
      </c>
      <c r="B3784">
        <v>2022</v>
      </c>
      <c r="C3784">
        <v>3</v>
      </c>
      <c r="D3784">
        <v>1</v>
      </c>
      <c r="E3784" s="1">
        <v>-84.224000000000004</v>
      </c>
      <c r="F3784" t="s">
        <v>31</v>
      </c>
      <c r="G3784" t="str">
        <f>_xlfn.XLOOKUP(transakcje[[#This Row],[podkategoria]],parametr[podkategoria],parametr[kategoria])</f>
        <v>opłaty stałe</v>
      </c>
      <c r="H3784" t="str">
        <f>_xlfn.XLOOKUP(transakcje[[#This Row],[kategoria]],parametr[kategoria],parametr[typ])</f>
        <v>wydatki</v>
      </c>
      <c r="I3784" s="1">
        <f>ABS(transakcje[[#This Row],[kwota]])</f>
        <v>84.224000000000004</v>
      </c>
    </row>
    <row r="3785" spans="1:9" x14ac:dyDescent="0.3">
      <c r="A3785">
        <v>3784</v>
      </c>
      <c r="B3785">
        <v>2022</v>
      </c>
      <c r="C3785">
        <v>3</v>
      </c>
      <c r="D3785">
        <v>1</v>
      </c>
      <c r="E3785" s="1">
        <v>-0.4</v>
      </c>
      <c r="F3785" t="s">
        <v>26</v>
      </c>
      <c r="G3785" t="str">
        <f>_xlfn.XLOOKUP(transakcje[[#This Row],[podkategoria]],parametr[podkategoria],parametr[kategoria])</f>
        <v>życie</v>
      </c>
      <c r="H3785" t="str">
        <f>_xlfn.XLOOKUP(transakcje[[#This Row],[kategoria]],parametr[kategoria],parametr[typ])</f>
        <v>wydatki</v>
      </c>
      <c r="I3785" s="1">
        <f>ABS(transakcje[[#This Row],[kwota]])</f>
        <v>0.4</v>
      </c>
    </row>
    <row r="3786" spans="1:9" x14ac:dyDescent="0.3">
      <c r="A3786">
        <v>3785</v>
      </c>
      <c r="B3786">
        <v>2022</v>
      </c>
      <c r="C3786">
        <v>3</v>
      </c>
      <c r="D3786">
        <v>2</v>
      </c>
      <c r="E3786" s="1">
        <v>-13.663999999999998</v>
      </c>
      <c r="F3786" t="s">
        <v>26</v>
      </c>
      <c r="G3786" t="str">
        <f>_xlfn.XLOOKUP(transakcje[[#This Row],[podkategoria]],parametr[podkategoria],parametr[kategoria])</f>
        <v>życie</v>
      </c>
      <c r="H3786" t="str">
        <f>_xlfn.XLOOKUP(transakcje[[#This Row],[kategoria]],parametr[kategoria],parametr[typ])</f>
        <v>wydatki</v>
      </c>
      <c r="I3786" s="1">
        <f>ABS(transakcje[[#This Row],[kwota]])</f>
        <v>13.663999999999998</v>
      </c>
    </row>
    <row r="3787" spans="1:9" x14ac:dyDescent="0.3">
      <c r="A3787">
        <v>3786</v>
      </c>
      <c r="B3787">
        <v>2022</v>
      </c>
      <c r="C3787">
        <v>3</v>
      </c>
      <c r="D3787">
        <v>3</v>
      </c>
      <c r="E3787" s="1">
        <v>-20.580000000000002</v>
      </c>
      <c r="F3787" t="s">
        <v>26</v>
      </c>
      <c r="G3787" t="str">
        <f>_xlfn.XLOOKUP(transakcje[[#This Row],[podkategoria]],parametr[podkategoria],parametr[kategoria])</f>
        <v>życie</v>
      </c>
      <c r="H3787" t="str">
        <f>_xlfn.XLOOKUP(transakcje[[#This Row],[kategoria]],parametr[kategoria],parametr[typ])</f>
        <v>wydatki</v>
      </c>
      <c r="I3787" s="1">
        <f>ABS(transakcje[[#This Row],[kwota]])</f>
        <v>20.580000000000002</v>
      </c>
    </row>
    <row r="3788" spans="1:9" x14ac:dyDescent="0.3">
      <c r="A3788">
        <v>3787</v>
      </c>
      <c r="B3788">
        <v>2022</v>
      </c>
      <c r="C3788">
        <v>3</v>
      </c>
      <c r="D3788">
        <v>4</v>
      </c>
      <c r="E3788" s="1">
        <v>753.41399999999999</v>
      </c>
      <c r="F3788" t="s">
        <v>22</v>
      </c>
      <c r="G3788" t="str">
        <f>_xlfn.XLOOKUP(transakcje[[#This Row],[podkategoria]],parametr[podkategoria],parametr[kategoria])</f>
        <v>dochody z pracy</v>
      </c>
      <c r="H3788" t="str">
        <f>_xlfn.XLOOKUP(transakcje[[#This Row],[kategoria]],parametr[kategoria],parametr[typ])</f>
        <v>dochody</v>
      </c>
      <c r="I3788" s="1">
        <f>ABS(transakcje[[#This Row],[kwota]])</f>
        <v>753.41399999999999</v>
      </c>
    </row>
    <row r="3789" spans="1:9" x14ac:dyDescent="0.3">
      <c r="A3789">
        <v>3788</v>
      </c>
      <c r="B3789">
        <v>2022</v>
      </c>
      <c r="C3789">
        <v>3</v>
      </c>
      <c r="D3789">
        <v>5</v>
      </c>
      <c r="E3789" s="1">
        <v>-43.768000000000001</v>
      </c>
      <c r="F3789" t="s">
        <v>11</v>
      </c>
      <c r="G3789" t="str">
        <f>_xlfn.XLOOKUP(transakcje[[#This Row],[podkategoria]],parametr[podkategoria],parametr[kategoria])</f>
        <v>wydatki inne</v>
      </c>
      <c r="H3789" t="str">
        <f>_xlfn.XLOOKUP(transakcje[[#This Row],[kategoria]],parametr[kategoria],parametr[typ])</f>
        <v>wydatki</v>
      </c>
      <c r="I3789" s="1">
        <f>ABS(transakcje[[#This Row],[kwota]])</f>
        <v>43.768000000000001</v>
      </c>
    </row>
    <row r="3790" spans="1:9" x14ac:dyDescent="0.3">
      <c r="A3790">
        <v>3789</v>
      </c>
      <c r="B3790">
        <v>2022</v>
      </c>
      <c r="C3790">
        <v>3</v>
      </c>
      <c r="D3790">
        <v>7</v>
      </c>
      <c r="E3790" s="1">
        <v>-0.4</v>
      </c>
      <c r="F3790" t="s">
        <v>26</v>
      </c>
      <c r="G3790" t="str">
        <f>_xlfn.XLOOKUP(transakcje[[#This Row],[podkategoria]],parametr[podkategoria],parametr[kategoria])</f>
        <v>życie</v>
      </c>
      <c r="H3790" t="str">
        <f>_xlfn.XLOOKUP(transakcje[[#This Row],[kategoria]],parametr[kategoria],parametr[typ])</f>
        <v>wydatki</v>
      </c>
      <c r="I3790" s="1">
        <f>ABS(transakcje[[#This Row],[kwota]])</f>
        <v>0.4</v>
      </c>
    </row>
    <row r="3791" spans="1:9" x14ac:dyDescent="0.3">
      <c r="A3791">
        <v>3790</v>
      </c>
      <c r="B3791">
        <v>2022</v>
      </c>
      <c r="C3791">
        <v>3</v>
      </c>
      <c r="D3791">
        <v>8</v>
      </c>
      <c r="E3791" s="1">
        <v>-0.79800000000000004</v>
      </c>
      <c r="F3791" t="s">
        <v>26</v>
      </c>
      <c r="G3791" t="str">
        <f>_xlfn.XLOOKUP(transakcje[[#This Row],[podkategoria]],parametr[podkategoria],parametr[kategoria])</f>
        <v>życie</v>
      </c>
      <c r="H3791" t="str">
        <f>_xlfn.XLOOKUP(transakcje[[#This Row],[kategoria]],parametr[kategoria],parametr[typ])</f>
        <v>wydatki</v>
      </c>
      <c r="I3791" s="1">
        <f>ABS(transakcje[[#This Row],[kwota]])</f>
        <v>0.79800000000000004</v>
      </c>
    </row>
    <row r="3792" spans="1:9" x14ac:dyDescent="0.3">
      <c r="A3792">
        <v>3791</v>
      </c>
      <c r="B3792">
        <v>2022</v>
      </c>
      <c r="C3792">
        <v>3</v>
      </c>
      <c r="D3792">
        <v>8</v>
      </c>
      <c r="E3792" s="1">
        <v>-3.18</v>
      </c>
      <c r="F3792" t="s">
        <v>26</v>
      </c>
      <c r="G3792" t="str">
        <f>_xlfn.XLOOKUP(transakcje[[#This Row],[podkategoria]],parametr[podkategoria],parametr[kategoria])</f>
        <v>życie</v>
      </c>
      <c r="H3792" t="str">
        <f>_xlfn.XLOOKUP(transakcje[[#This Row],[kategoria]],parametr[kategoria],parametr[typ])</f>
        <v>wydatki</v>
      </c>
      <c r="I3792" s="1">
        <f>ABS(transakcje[[#This Row],[kwota]])</f>
        <v>3.18</v>
      </c>
    </row>
    <row r="3793" spans="1:9" x14ac:dyDescent="0.3">
      <c r="A3793">
        <v>3792</v>
      </c>
      <c r="B3793">
        <v>2022</v>
      </c>
      <c r="C3793">
        <v>3</v>
      </c>
      <c r="D3793">
        <v>9</v>
      </c>
      <c r="E3793" s="1">
        <v>-17.887999999999998</v>
      </c>
      <c r="F3793" t="s">
        <v>26</v>
      </c>
      <c r="G3793" t="str">
        <f>_xlfn.XLOOKUP(transakcje[[#This Row],[podkategoria]],parametr[podkategoria],parametr[kategoria])</f>
        <v>życie</v>
      </c>
      <c r="H3793" t="str">
        <f>_xlfn.XLOOKUP(transakcje[[#This Row],[kategoria]],parametr[kategoria],parametr[typ])</f>
        <v>wydatki</v>
      </c>
      <c r="I3793" s="1">
        <f>ABS(transakcje[[#This Row],[kwota]])</f>
        <v>17.887999999999998</v>
      </c>
    </row>
    <row r="3794" spans="1:9" x14ac:dyDescent="0.3">
      <c r="A3794">
        <v>3793</v>
      </c>
      <c r="B3794">
        <v>2022</v>
      </c>
      <c r="C3794">
        <v>3</v>
      </c>
      <c r="D3794">
        <v>10</v>
      </c>
      <c r="E3794" s="1">
        <v>-4.1719999999999997</v>
      </c>
      <c r="F3794" t="s">
        <v>26</v>
      </c>
      <c r="G3794" t="str">
        <f>_xlfn.XLOOKUP(transakcje[[#This Row],[podkategoria]],parametr[podkategoria],parametr[kategoria])</f>
        <v>życie</v>
      </c>
      <c r="H3794" t="str">
        <f>_xlfn.XLOOKUP(transakcje[[#This Row],[kategoria]],parametr[kategoria],parametr[typ])</f>
        <v>wydatki</v>
      </c>
      <c r="I3794" s="1">
        <f>ABS(transakcje[[#This Row],[kwota]])</f>
        <v>4.1719999999999997</v>
      </c>
    </row>
    <row r="3795" spans="1:9" x14ac:dyDescent="0.3">
      <c r="A3795">
        <v>3794</v>
      </c>
      <c r="B3795">
        <v>2022</v>
      </c>
      <c r="C3795">
        <v>3</v>
      </c>
      <c r="D3795">
        <v>10</v>
      </c>
      <c r="E3795" s="1">
        <v>-0.91999999999999993</v>
      </c>
      <c r="F3795" t="s">
        <v>26</v>
      </c>
      <c r="G3795" t="str">
        <f>_xlfn.XLOOKUP(transakcje[[#This Row],[podkategoria]],parametr[podkategoria],parametr[kategoria])</f>
        <v>życie</v>
      </c>
      <c r="H3795" t="str">
        <f>_xlfn.XLOOKUP(transakcje[[#This Row],[kategoria]],parametr[kategoria],parametr[typ])</f>
        <v>wydatki</v>
      </c>
      <c r="I3795" s="1">
        <f>ABS(transakcje[[#This Row],[kwota]])</f>
        <v>0.91999999999999993</v>
      </c>
    </row>
    <row r="3796" spans="1:9" x14ac:dyDescent="0.3">
      <c r="A3796">
        <v>3795</v>
      </c>
      <c r="B3796">
        <v>2022</v>
      </c>
      <c r="C3796">
        <v>3</v>
      </c>
      <c r="D3796">
        <v>11</v>
      </c>
      <c r="E3796" s="1">
        <v>-95.99</v>
      </c>
      <c r="F3796" t="s">
        <v>11</v>
      </c>
      <c r="G3796" t="str">
        <f>_xlfn.XLOOKUP(transakcje[[#This Row],[podkategoria]],parametr[podkategoria],parametr[kategoria])</f>
        <v>wydatki inne</v>
      </c>
      <c r="H3796" t="str">
        <f>_xlfn.XLOOKUP(transakcje[[#This Row],[kategoria]],parametr[kategoria],parametr[typ])</f>
        <v>wydatki</v>
      </c>
      <c r="I3796" s="1">
        <f>ABS(transakcje[[#This Row],[kwota]])</f>
        <v>95.99</v>
      </c>
    </row>
    <row r="3797" spans="1:9" x14ac:dyDescent="0.3">
      <c r="A3797">
        <v>3796</v>
      </c>
      <c r="B3797">
        <v>2022</v>
      </c>
      <c r="C3797">
        <v>3</v>
      </c>
      <c r="D3797">
        <v>11</v>
      </c>
      <c r="E3797" s="1">
        <v>-59.996000000000002</v>
      </c>
      <c r="F3797" t="s">
        <v>11</v>
      </c>
      <c r="G3797" t="str">
        <f>_xlfn.XLOOKUP(transakcje[[#This Row],[podkategoria]],parametr[podkategoria],parametr[kategoria])</f>
        <v>wydatki inne</v>
      </c>
      <c r="H3797" t="str">
        <f>_xlfn.XLOOKUP(transakcje[[#This Row],[kategoria]],parametr[kategoria],parametr[typ])</f>
        <v>wydatki</v>
      </c>
      <c r="I3797" s="1">
        <f>ABS(transakcje[[#This Row],[kwota]])</f>
        <v>59.996000000000002</v>
      </c>
    </row>
    <row r="3798" spans="1:9" x14ac:dyDescent="0.3">
      <c r="A3798">
        <v>3797</v>
      </c>
      <c r="B3798">
        <v>2022</v>
      </c>
      <c r="C3798">
        <v>3</v>
      </c>
      <c r="D3798">
        <v>13</v>
      </c>
      <c r="E3798" s="1">
        <v>-24.990000000000002</v>
      </c>
      <c r="F3798" t="s">
        <v>11</v>
      </c>
      <c r="G3798" t="str">
        <f>_xlfn.XLOOKUP(transakcje[[#This Row],[podkategoria]],parametr[podkategoria],parametr[kategoria])</f>
        <v>wydatki inne</v>
      </c>
      <c r="H3798" t="str">
        <f>_xlfn.XLOOKUP(transakcje[[#This Row],[kategoria]],parametr[kategoria],parametr[typ])</f>
        <v>wydatki</v>
      </c>
      <c r="I3798" s="1">
        <f>ABS(transakcje[[#This Row],[kwota]])</f>
        <v>24.990000000000002</v>
      </c>
    </row>
    <row r="3799" spans="1:9" x14ac:dyDescent="0.3">
      <c r="A3799">
        <v>3798</v>
      </c>
      <c r="B3799">
        <v>2022</v>
      </c>
      <c r="C3799">
        <v>3</v>
      </c>
      <c r="D3799">
        <v>15</v>
      </c>
      <c r="E3799" s="1">
        <v>-0.79800000000000004</v>
      </c>
      <c r="F3799" t="s">
        <v>26</v>
      </c>
      <c r="G3799" t="str">
        <f>_xlfn.XLOOKUP(transakcje[[#This Row],[podkategoria]],parametr[podkategoria],parametr[kategoria])</f>
        <v>życie</v>
      </c>
      <c r="H3799" t="str">
        <f>_xlfn.XLOOKUP(transakcje[[#This Row],[kategoria]],parametr[kategoria],parametr[typ])</f>
        <v>wydatki</v>
      </c>
      <c r="I3799" s="1">
        <f>ABS(transakcje[[#This Row],[kwota]])</f>
        <v>0.79800000000000004</v>
      </c>
    </row>
    <row r="3800" spans="1:9" x14ac:dyDescent="0.3">
      <c r="A3800">
        <v>3799</v>
      </c>
      <c r="B3800">
        <v>2022</v>
      </c>
      <c r="C3800">
        <v>3</v>
      </c>
      <c r="D3800">
        <v>17</v>
      </c>
      <c r="E3800" s="1">
        <v>-14.506</v>
      </c>
      <c r="F3800" t="s">
        <v>26</v>
      </c>
      <c r="G3800" t="str">
        <f>_xlfn.XLOOKUP(transakcje[[#This Row],[podkategoria]],parametr[podkategoria],parametr[kategoria])</f>
        <v>życie</v>
      </c>
      <c r="H3800" t="str">
        <f>_xlfn.XLOOKUP(transakcje[[#This Row],[kategoria]],parametr[kategoria],parametr[typ])</f>
        <v>wydatki</v>
      </c>
      <c r="I3800" s="1">
        <f>ABS(transakcje[[#This Row],[kwota]])</f>
        <v>14.506</v>
      </c>
    </row>
    <row r="3801" spans="1:9" x14ac:dyDescent="0.3">
      <c r="A3801">
        <v>3800</v>
      </c>
      <c r="B3801">
        <v>2022</v>
      </c>
      <c r="C3801">
        <v>3</v>
      </c>
      <c r="D3801">
        <v>18</v>
      </c>
      <c r="E3801" s="1">
        <v>-0.43</v>
      </c>
      <c r="F3801" t="s">
        <v>26</v>
      </c>
      <c r="G3801" t="str">
        <f>_xlfn.XLOOKUP(transakcje[[#This Row],[podkategoria]],parametr[podkategoria],parametr[kategoria])</f>
        <v>życie</v>
      </c>
      <c r="H3801" t="str">
        <f>_xlfn.XLOOKUP(transakcje[[#This Row],[kategoria]],parametr[kategoria],parametr[typ])</f>
        <v>wydatki</v>
      </c>
      <c r="I3801" s="1">
        <f>ABS(transakcje[[#This Row],[kwota]])</f>
        <v>0.43</v>
      </c>
    </row>
    <row r="3802" spans="1:9" x14ac:dyDescent="0.3">
      <c r="A3802">
        <v>3801</v>
      </c>
      <c r="B3802">
        <v>2022</v>
      </c>
      <c r="C3802">
        <v>3</v>
      </c>
      <c r="D3802">
        <v>18</v>
      </c>
      <c r="E3802" s="1">
        <v>-0.2</v>
      </c>
      <c r="F3802" t="s">
        <v>14</v>
      </c>
      <c r="G3802" t="str">
        <f>_xlfn.XLOOKUP(transakcje[[#This Row],[podkategoria]],parametr[podkategoria],parametr[kategoria])</f>
        <v>opłaty stałe</v>
      </c>
      <c r="H3802" t="str">
        <f>_xlfn.XLOOKUP(transakcje[[#This Row],[kategoria]],parametr[kategoria],parametr[typ])</f>
        <v>wydatki</v>
      </c>
      <c r="I3802" s="1">
        <f>ABS(transakcje[[#This Row],[kwota]])</f>
        <v>0.2</v>
      </c>
    </row>
    <row r="3803" spans="1:9" x14ac:dyDescent="0.3">
      <c r="A3803">
        <v>3802</v>
      </c>
      <c r="B3803">
        <v>2022</v>
      </c>
      <c r="C3803">
        <v>3</v>
      </c>
      <c r="D3803">
        <v>21</v>
      </c>
      <c r="E3803" s="1">
        <v>-0.79800000000000004</v>
      </c>
      <c r="F3803" t="s">
        <v>26</v>
      </c>
      <c r="G3803" t="str">
        <f>_xlfn.XLOOKUP(transakcje[[#This Row],[podkategoria]],parametr[podkategoria],parametr[kategoria])</f>
        <v>życie</v>
      </c>
      <c r="H3803" t="str">
        <f>_xlfn.XLOOKUP(transakcje[[#This Row],[kategoria]],parametr[kategoria],parametr[typ])</f>
        <v>wydatki</v>
      </c>
      <c r="I3803" s="1">
        <f>ABS(transakcje[[#This Row],[kwota]])</f>
        <v>0.79800000000000004</v>
      </c>
    </row>
    <row r="3804" spans="1:9" x14ac:dyDescent="0.3">
      <c r="A3804">
        <v>3803</v>
      </c>
      <c r="B3804">
        <v>2022</v>
      </c>
      <c r="C3804">
        <v>3</v>
      </c>
      <c r="D3804">
        <v>24</v>
      </c>
      <c r="E3804" s="1">
        <v>-0.79800000000000004</v>
      </c>
      <c r="F3804" t="s">
        <v>26</v>
      </c>
      <c r="G3804" t="str">
        <f>_xlfn.XLOOKUP(transakcje[[#This Row],[podkategoria]],parametr[podkategoria],parametr[kategoria])</f>
        <v>życie</v>
      </c>
      <c r="H3804" t="str">
        <f>_xlfn.XLOOKUP(transakcje[[#This Row],[kategoria]],parametr[kategoria],parametr[typ])</f>
        <v>wydatki</v>
      </c>
      <c r="I3804" s="1">
        <f>ABS(transakcje[[#This Row],[kwota]])</f>
        <v>0.79800000000000004</v>
      </c>
    </row>
    <row r="3805" spans="1:9" x14ac:dyDescent="0.3">
      <c r="A3805">
        <v>3804</v>
      </c>
      <c r="B3805">
        <v>2022</v>
      </c>
      <c r="C3805">
        <v>3</v>
      </c>
      <c r="D3805">
        <v>24</v>
      </c>
      <c r="E3805" s="1">
        <v>-14.824000000000002</v>
      </c>
      <c r="F3805" t="s">
        <v>26</v>
      </c>
      <c r="G3805" t="str">
        <f>_xlfn.XLOOKUP(transakcje[[#This Row],[podkategoria]],parametr[podkategoria],parametr[kategoria])</f>
        <v>życie</v>
      </c>
      <c r="H3805" t="str">
        <f>_xlfn.XLOOKUP(transakcje[[#This Row],[kategoria]],parametr[kategoria],parametr[typ])</f>
        <v>wydatki</v>
      </c>
      <c r="I3805" s="1">
        <f>ABS(transakcje[[#This Row],[kwota]])</f>
        <v>14.824000000000002</v>
      </c>
    </row>
    <row r="3806" spans="1:9" x14ac:dyDescent="0.3">
      <c r="A3806">
        <v>3805</v>
      </c>
      <c r="B3806">
        <v>2022</v>
      </c>
      <c r="C3806">
        <v>3</v>
      </c>
      <c r="D3806">
        <v>25</v>
      </c>
      <c r="E3806" s="1">
        <v>-1.5960000000000001</v>
      </c>
      <c r="F3806" t="s">
        <v>26</v>
      </c>
      <c r="G3806" t="str">
        <f>_xlfn.XLOOKUP(transakcje[[#This Row],[podkategoria]],parametr[podkategoria],parametr[kategoria])</f>
        <v>życie</v>
      </c>
      <c r="H3806" t="str">
        <f>_xlfn.XLOOKUP(transakcje[[#This Row],[kategoria]],parametr[kategoria],parametr[typ])</f>
        <v>wydatki</v>
      </c>
      <c r="I3806" s="1">
        <f>ABS(transakcje[[#This Row],[kwota]])</f>
        <v>1.5960000000000001</v>
      </c>
    </row>
    <row r="3807" spans="1:9" x14ac:dyDescent="0.3">
      <c r="A3807">
        <v>3806</v>
      </c>
      <c r="B3807">
        <v>2022</v>
      </c>
      <c r="C3807">
        <v>3</v>
      </c>
      <c r="D3807">
        <v>25</v>
      </c>
      <c r="E3807" s="1">
        <v>813.47199999999998</v>
      </c>
      <c r="F3807" t="s">
        <v>8</v>
      </c>
      <c r="G3807" t="str">
        <f>_xlfn.XLOOKUP(transakcje[[#This Row],[podkategoria]],parametr[podkategoria],parametr[kategoria])</f>
        <v>dochody z pracy</v>
      </c>
      <c r="H3807" t="str">
        <f>_xlfn.XLOOKUP(transakcje[[#This Row],[kategoria]],parametr[kategoria],parametr[typ])</f>
        <v>dochody</v>
      </c>
      <c r="I3807" s="1">
        <f>ABS(transakcje[[#This Row],[kwota]])</f>
        <v>813.47199999999998</v>
      </c>
    </row>
    <row r="3808" spans="1:9" x14ac:dyDescent="0.3">
      <c r="A3808">
        <v>3807</v>
      </c>
      <c r="B3808">
        <v>2022</v>
      </c>
      <c r="C3808">
        <v>3</v>
      </c>
      <c r="D3808">
        <v>26</v>
      </c>
      <c r="E3808" s="1">
        <v>-23.8</v>
      </c>
      <c r="F3808" t="s">
        <v>32</v>
      </c>
      <c r="G3808" t="str">
        <f>_xlfn.XLOOKUP(transakcje[[#This Row],[podkategoria]],parametr[podkategoria],parametr[kategoria])</f>
        <v>opłaty stałe</v>
      </c>
      <c r="H3808" t="str">
        <f>_xlfn.XLOOKUP(transakcje[[#This Row],[kategoria]],parametr[kategoria],parametr[typ])</f>
        <v>wydatki</v>
      </c>
      <c r="I3808" s="1">
        <f>ABS(transakcje[[#This Row],[kwota]])</f>
        <v>23.8</v>
      </c>
    </row>
    <row r="3809" spans="1:9" x14ac:dyDescent="0.3">
      <c r="A3809">
        <v>3808</v>
      </c>
      <c r="B3809">
        <v>2022</v>
      </c>
      <c r="C3809">
        <v>3</v>
      </c>
      <c r="D3809">
        <v>27</v>
      </c>
      <c r="E3809" s="1">
        <v>-3.9979999999999998</v>
      </c>
      <c r="F3809" t="s">
        <v>11</v>
      </c>
      <c r="G3809" t="str">
        <f>_xlfn.XLOOKUP(transakcje[[#This Row],[podkategoria]],parametr[podkategoria],parametr[kategoria])</f>
        <v>wydatki inne</v>
      </c>
      <c r="H3809" t="str">
        <f>_xlfn.XLOOKUP(transakcje[[#This Row],[kategoria]],parametr[kategoria],parametr[typ])</f>
        <v>wydatki</v>
      </c>
      <c r="I3809" s="1">
        <f>ABS(transakcje[[#This Row],[kwota]])</f>
        <v>3.9979999999999998</v>
      </c>
    </row>
    <row r="3810" spans="1:9" x14ac:dyDescent="0.3">
      <c r="A3810">
        <v>3809</v>
      </c>
      <c r="B3810">
        <v>2022</v>
      </c>
      <c r="C3810">
        <v>3</v>
      </c>
      <c r="D3810">
        <v>29</v>
      </c>
      <c r="E3810" s="1">
        <v>-40.037999999999997</v>
      </c>
      <c r="F3810" t="s">
        <v>11</v>
      </c>
      <c r="G3810" t="str">
        <f>_xlfn.XLOOKUP(transakcje[[#This Row],[podkategoria]],parametr[podkategoria],parametr[kategoria])</f>
        <v>wydatki inne</v>
      </c>
      <c r="H3810" t="str">
        <f>_xlfn.XLOOKUP(transakcje[[#This Row],[kategoria]],parametr[kategoria],parametr[typ])</f>
        <v>wydatki</v>
      </c>
      <c r="I3810" s="1">
        <f>ABS(transakcje[[#This Row],[kwota]])</f>
        <v>40.037999999999997</v>
      </c>
    </row>
    <row r="3811" spans="1:9" x14ac:dyDescent="0.3">
      <c r="A3811">
        <v>3810</v>
      </c>
      <c r="B3811">
        <v>2022</v>
      </c>
      <c r="C3811">
        <v>3</v>
      </c>
      <c r="D3811">
        <v>29</v>
      </c>
      <c r="E3811" s="1">
        <v>-0.79800000000000004</v>
      </c>
      <c r="F3811" t="s">
        <v>26</v>
      </c>
      <c r="G3811" t="str">
        <f>_xlfn.XLOOKUP(transakcje[[#This Row],[podkategoria]],parametr[podkategoria],parametr[kategoria])</f>
        <v>życie</v>
      </c>
      <c r="H3811" t="str">
        <f>_xlfn.XLOOKUP(transakcje[[#This Row],[kategoria]],parametr[kategoria],parametr[typ])</f>
        <v>wydatki</v>
      </c>
      <c r="I3811" s="1">
        <f>ABS(transakcje[[#This Row],[kwota]])</f>
        <v>0.79800000000000004</v>
      </c>
    </row>
    <row r="3812" spans="1:9" x14ac:dyDescent="0.3">
      <c r="A3812">
        <v>3811</v>
      </c>
      <c r="B3812">
        <v>2022</v>
      </c>
      <c r="C3812">
        <v>3</v>
      </c>
      <c r="D3812">
        <v>29</v>
      </c>
      <c r="E3812" s="1">
        <v>-37.89</v>
      </c>
      <c r="F3812" t="s">
        <v>26</v>
      </c>
      <c r="G3812" t="str">
        <f>_xlfn.XLOOKUP(transakcje[[#This Row],[podkategoria]],parametr[podkategoria],parametr[kategoria])</f>
        <v>życie</v>
      </c>
      <c r="H3812" t="str">
        <f>_xlfn.XLOOKUP(transakcje[[#This Row],[kategoria]],parametr[kategoria],parametr[typ])</f>
        <v>wydatki</v>
      </c>
      <c r="I3812" s="1">
        <f>ABS(transakcje[[#This Row],[kwota]])</f>
        <v>37.89</v>
      </c>
    </row>
    <row r="3813" spans="1:9" x14ac:dyDescent="0.3">
      <c r="A3813">
        <v>3812</v>
      </c>
      <c r="B3813">
        <v>2022</v>
      </c>
      <c r="C3813">
        <v>3</v>
      </c>
      <c r="D3813">
        <v>31</v>
      </c>
      <c r="E3813" s="1">
        <v>-1.4</v>
      </c>
      <c r="F3813" t="s">
        <v>14</v>
      </c>
      <c r="G3813" t="str">
        <f>_xlfn.XLOOKUP(transakcje[[#This Row],[podkategoria]],parametr[podkategoria],parametr[kategoria])</f>
        <v>opłaty stałe</v>
      </c>
      <c r="H3813" t="str">
        <f>_xlfn.XLOOKUP(transakcje[[#This Row],[kategoria]],parametr[kategoria],parametr[typ])</f>
        <v>wydatki</v>
      </c>
      <c r="I3813" s="1">
        <f>ABS(transakcje[[#This Row],[kwota]])</f>
        <v>1.4</v>
      </c>
    </row>
    <row r="3814" spans="1:9" x14ac:dyDescent="0.3">
      <c r="A3814">
        <v>3813</v>
      </c>
      <c r="B3814">
        <v>2022</v>
      </c>
      <c r="C3814">
        <v>3</v>
      </c>
      <c r="D3814">
        <v>31</v>
      </c>
      <c r="E3814" s="1">
        <v>6.0000000000000001E-3</v>
      </c>
      <c r="F3814" t="s">
        <v>17</v>
      </c>
      <c r="G3814" t="str">
        <f>_xlfn.XLOOKUP(transakcje[[#This Row],[podkategoria]],parametr[podkategoria],parametr[kategoria])</f>
        <v>dochody pozostałe</v>
      </c>
      <c r="H3814" t="str">
        <f>_xlfn.XLOOKUP(transakcje[[#This Row],[kategoria]],parametr[kategoria],parametr[typ])</f>
        <v>dochody</v>
      </c>
      <c r="I3814" s="1">
        <f>ABS(transakcje[[#This Row],[kwota]])</f>
        <v>6.0000000000000001E-3</v>
      </c>
    </row>
    <row r="3815" spans="1:9" x14ac:dyDescent="0.3">
      <c r="A3815">
        <v>3814</v>
      </c>
      <c r="B3815">
        <v>2022</v>
      </c>
      <c r="C3815">
        <v>3</v>
      </c>
      <c r="D3815">
        <v>31</v>
      </c>
      <c r="E3815" s="1">
        <v>-2E-3</v>
      </c>
      <c r="F3815" t="s">
        <v>14</v>
      </c>
      <c r="G3815" t="str">
        <f>_xlfn.XLOOKUP(transakcje[[#This Row],[podkategoria]],parametr[podkategoria],parametr[kategoria])</f>
        <v>opłaty stałe</v>
      </c>
      <c r="H3815" t="str">
        <f>_xlfn.XLOOKUP(transakcje[[#This Row],[kategoria]],parametr[kategoria],parametr[typ])</f>
        <v>wydatki</v>
      </c>
      <c r="I3815" s="1">
        <f>ABS(transakcje[[#This Row],[kwota]])</f>
        <v>2E-3</v>
      </c>
    </row>
    <row r="3816" spans="1:9" x14ac:dyDescent="0.3">
      <c r="A3816">
        <v>3815</v>
      </c>
      <c r="B3816">
        <v>2022</v>
      </c>
      <c r="C3816">
        <v>3</v>
      </c>
      <c r="D3816">
        <v>31</v>
      </c>
      <c r="E3816" s="1">
        <v>-5.2359999999999998</v>
      </c>
      <c r="F3816" t="s">
        <v>26</v>
      </c>
      <c r="G3816" t="str">
        <f>_xlfn.XLOOKUP(transakcje[[#This Row],[podkategoria]],parametr[podkategoria],parametr[kategoria])</f>
        <v>życie</v>
      </c>
      <c r="H3816" t="str">
        <f>_xlfn.XLOOKUP(transakcje[[#This Row],[kategoria]],parametr[kategoria],parametr[typ])</f>
        <v>wydatki</v>
      </c>
      <c r="I3816" s="1">
        <f>ABS(transakcje[[#This Row],[kwota]])</f>
        <v>5.2359999999999998</v>
      </c>
    </row>
    <row r="3817" spans="1:9" x14ac:dyDescent="0.3">
      <c r="A3817">
        <v>3816</v>
      </c>
      <c r="B3817">
        <v>2022</v>
      </c>
      <c r="C3817">
        <v>4</v>
      </c>
      <c r="D3817">
        <v>1</v>
      </c>
      <c r="E3817" s="1">
        <v>-0.52</v>
      </c>
      <c r="F3817" t="s">
        <v>26</v>
      </c>
      <c r="G3817" t="str">
        <f>_xlfn.XLOOKUP(transakcje[[#This Row],[podkategoria]],parametr[podkategoria],parametr[kategoria])</f>
        <v>życie</v>
      </c>
      <c r="H3817" t="str">
        <f>_xlfn.XLOOKUP(transakcje[[#This Row],[kategoria]],parametr[kategoria],parametr[typ])</f>
        <v>wydatki</v>
      </c>
      <c r="I3817" s="1">
        <f>ABS(transakcje[[#This Row],[kwota]])</f>
        <v>0.52</v>
      </c>
    </row>
    <row r="3818" spans="1:9" x14ac:dyDescent="0.3">
      <c r="A3818">
        <v>3817</v>
      </c>
      <c r="B3818">
        <v>2022</v>
      </c>
      <c r="C3818">
        <v>4</v>
      </c>
      <c r="D3818">
        <v>3</v>
      </c>
      <c r="E3818" s="1">
        <v>-89.6</v>
      </c>
      <c r="F3818" t="s">
        <v>11</v>
      </c>
      <c r="G3818" t="str">
        <f>_xlfn.XLOOKUP(transakcje[[#This Row],[podkategoria]],parametr[podkategoria],parametr[kategoria])</f>
        <v>wydatki inne</v>
      </c>
      <c r="H3818" t="str">
        <f>_xlfn.XLOOKUP(transakcje[[#This Row],[kategoria]],parametr[kategoria],parametr[typ])</f>
        <v>wydatki</v>
      </c>
      <c r="I3818" s="1">
        <f>ABS(transakcje[[#This Row],[kwota]])</f>
        <v>89.6</v>
      </c>
    </row>
    <row r="3819" spans="1:9" x14ac:dyDescent="0.3">
      <c r="A3819">
        <v>3818</v>
      </c>
      <c r="B3819">
        <v>2022</v>
      </c>
      <c r="C3819">
        <v>4</v>
      </c>
      <c r="D3819">
        <v>3</v>
      </c>
      <c r="E3819" s="1">
        <v>-5.8</v>
      </c>
      <c r="F3819" t="s">
        <v>25</v>
      </c>
      <c r="G3819" t="str">
        <f>_xlfn.XLOOKUP(transakcje[[#This Row],[podkategoria]],parametr[podkategoria],parametr[kategoria])</f>
        <v>opłaty stałe</v>
      </c>
      <c r="H3819" t="str">
        <f>_xlfn.XLOOKUP(transakcje[[#This Row],[kategoria]],parametr[kategoria],parametr[typ])</f>
        <v>wydatki</v>
      </c>
      <c r="I3819" s="1">
        <f>ABS(transakcje[[#This Row],[kwota]])</f>
        <v>5.8</v>
      </c>
    </row>
    <row r="3820" spans="1:9" x14ac:dyDescent="0.3">
      <c r="A3820">
        <v>3819</v>
      </c>
      <c r="B3820">
        <v>2022</v>
      </c>
      <c r="C3820">
        <v>4</v>
      </c>
      <c r="D3820">
        <v>3</v>
      </c>
      <c r="E3820" s="1">
        <v>-7.38</v>
      </c>
      <c r="F3820" t="s">
        <v>23</v>
      </c>
      <c r="G3820" t="str">
        <f>_xlfn.XLOOKUP(transakcje[[#This Row],[podkategoria]],parametr[podkategoria],parametr[kategoria])</f>
        <v>opłaty stałe</v>
      </c>
      <c r="H3820" t="str">
        <f>_xlfn.XLOOKUP(transakcje[[#This Row],[kategoria]],parametr[kategoria],parametr[typ])</f>
        <v>wydatki</v>
      </c>
      <c r="I3820" s="1">
        <f>ABS(transakcje[[#This Row],[kwota]])</f>
        <v>7.38</v>
      </c>
    </row>
    <row r="3821" spans="1:9" x14ac:dyDescent="0.3">
      <c r="A3821">
        <v>3820</v>
      </c>
      <c r="B3821">
        <v>2022</v>
      </c>
      <c r="C3821">
        <v>4</v>
      </c>
      <c r="D3821">
        <v>3</v>
      </c>
      <c r="E3821" s="1">
        <v>-84.224000000000004</v>
      </c>
      <c r="F3821" t="s">
        <v>31</v>
      </c>
      <c r="G3821" t="str">
        <f>_xlfn.XLOOKUP(transakcje[[#This Row],[podkategoria]],parametr[podkategoria],parametr[kategoria])</f>
        <v>opłaty stałe</v>
      </c>
      <c r="H3821" t="str">
        <f>_xlfn.XLOOKUP(transakcje[[#This Row],[kategoria]],parametr[kategoria],parametr[typ])</f>
        <v>wydatki</v>
      </c>
      <c r="I3821" s="1">
        <f>ABS(transakcje[[#This Row],[kwota]])</f>
        <v>84.224000000000004</v>
      </c>
    </row>
    <row r="3822" spans="1:9" x14ac:dyDescent="0.3">
      <c r="A3822">
        <v>3821</v>
      </c>
      <c r="B3822">
        <v>2022</v>
      </c>
      <c r="C3822">
        <v>4</v>
      </c>
      <c r="D3822">
        <v>4</v>
      </c>
      <c r="E3822" s="1">
        <v>-0.79800000000000004</v>
      </c>
      <c r="F3822" t="s">
        <v>26</v>
      </c>
      <c r="G3822" t="str">
        <f>_xlfn.XLOOKUP(transakcje[[#This Row],[podkategoria]],parametr[podkategoria],parametr[kategoria])</f>
        <v>życie</v>
      </c>
      <c r="H3822" t="str">
        <f>_xlfn.XLOOKUP(transakcje[[#This Row],[kategoria]],parametr[kategoria],parametr[typ])</f>
        <v>wydatki</v>
      </c>
      <c r="I3822" s="1">
        <f>ABS(transakcje[[#This Row],[kwota]])</f>
        <v>0.79800000000000004</v>
      </c>
    </row>
    <row r="3823" spans="1:9" x14ac:dyDescent="0.3">
      <c r="A3823">
        <v>3822</v>
      </c>
      <c r="B3823">
        <v>2022</v>
      </c>
      <c r="C3823">
        <v>4</v>
      </c>
      <c r="D3823">
        <v>4</v>
      </c>
      <c r="E3823" s="1">
        <v>-16.128</v>
      </c>
      <c r="F3823" t="s">
        <v>26</v>
      </c>
      <c r="G3823" t="str">
        <f>_xlfn.XLOOKUP(transakcje[[#This Row],[podkategoria]],parametr[podkategoria],parametr[kategoria])</f>
        <v>życie</v>
      </c>
      <c r="H3823" t="str">
        <f>_xlfn.XLOOKUP(transakcje[[#This Row],[kategoria]],parametr[kategoria],parametr[typ])</f>
        <v>wydatki</v>
      </c>
      <c r="I3823" s="1">
        <f>ABS(transakcje[[#This Row],[kwota]])</f>
        <v>16.128</v>
      </c>
    </row>
    <row r="3824" spans="1:9" x14ac:dyDescent="0.3">
      <c r="A3824">
        <v>3823</v>
      </c>
      <c r="B3824">
        <v>2022</v>
      </c>
      <c r="C3824">
        <v>4</v>
      </c>
      <c r="D3824">
        <v>7</v>
      </c>
      <c r="E3824" s="1">
        <v>-0.79800000000000004</v>
      </c>
      <c r="F3824" t="s">
        <v>26</v>
      </c>
      <c r="G3824" t="str">
        <f>_xlfn.XLOOKUP(transakcje[[#This Row],[podkategoria]],parametr[podkategoria],parametr[kategoria])</f>
        <v>życie</v>
      </c>
      <c r="H3824" t="str">
        <f>_xlfn.XLOOKUP(transakcje[[#This Row],[kategoria]],parametr[kategoria],parametr[typ])</f>
        <v>wydatki</v>
      </c>
      <c r="I3824" s="1">
        <f>ABS(transakcje[[#This Row],[kwota]])</f>
        <v>0.79800000000000004</v>
      </c>
    </row>
    <row r="3825" spans="1:9" x14ac:dyDescent="0.3">
      <c r="A3825">
        <v>3824</v>
      </c>
      <c r="B3825">
        <v>2022</v>
      </c>
      <c r="C3825">
        <v>4</v>
      </c>
      <c r="D3825">
        <v>7</v>
      </c>
      <c r="E3825" s="1">
        <v>-3.3920000000000003</v>
      </c>
      <c r="F3825" t="s">
        <v>26</v>
      </c>
      <c r="G3825" t="str">
        <f>_xlfn.XLOOKUP(transakcje[[#This Row],[podkategoria]],parametr[podkategoria],parametr[kategoria])</f>
        <v>życie</v>
      </c>
      <c r="H3825" t="str">
        <f>_xlfn.XLOOKUP(transakcje[[#This Row],[kategoria]],parametr[kategoria],parametr[typ])</f>
        <v>wydatki</v>
      </c>
      <c r="I3825" s="1">
        <f>ABS(transakcje[[#This Row],[kwota]])</f>
        <v>3.3920000000000003</v>
      </c>
    </row>
    <row r="3826" spans="1:9" x14ac:dyDescent="0.3">
      <c r="A3826">
        <v>3825</v>
      </c>
      <c r="B3826">
        <v>2022</v>
      </c>
      <c r="C3826">
        <v>4</v>
      </c>
      <c r="D3826">
        <v>8</v>
      </c>
      <c r="E3826" s="1">
        <v>-0.65999999999999992</v>
      </c>
      <c r="F3826" t="s">
        <v>26</v>
      </c>
      <c r="G3826" t="str">
        <f>_xlfn.XLOOKUP(transakcje[[#This Row],[podkategoria]],parametr[podkategoria],parametr[kategoria])</f>
        <v>życie</v>
      </c>
      <c r="H3826" t="str">
        <f>_xlfn.XLOOKUP(transakcje[[#This Row],[kategoria]],parametr[kategoria],parametr[typ])</f>
        <v>wydatki</v>
      </c>
      <c r="I3826" s="1">
        <f>ABS(transakcje[[#This Row],[kwota]])</f>
        <v>0.65999999999999992</v>
      </c>
    </row>
    <row r="3827" spans="1:9" x14ac:dyDescent="0.3">
      <c r="A3827">
        <v>3826</v>
      </c>
      <c r="B3827">
        <v>2022</v>
      </c>
      <c r="C3827">
        <v>4</v>
      </c>
      <c r="D3827">
        <v>11</v>
      </c>
      <c r="E3827" s="1">
        <v>-8.4319999999999986</v>
      </c>
      <c r="F3827" t="s">
        <v>26</v>
      </c>
      <c r="G3827" t="str">
        <f>_xlfn.XLOOKUP(transakcje[[#This Row],[podkategoria]],parametr[podkategoria],parametr[kategoria])</f>
        <v>życie</v>
      </c>
      <c r="H3827" t="str">
        <f>_xlfn.XLOOKUP(transakcje[[#This Row],[kategoria]],parametr[kategoria],parametr[typ])</f>
        <v>wydatki</v>
      </c>
      <c r="I3827" s="1">
        <f>ABS(transakcje[[#This Row],[kwota]])</f>
        <v>8.4319999999999986</v>
      </c>
    </row>
    <row r="3828" spans="1:9" x14ac:dyDescent="0.3">
      <c r="A3828">
        <v>3827</v>
      </c>
      <c r="B3828">
        <v>2022</v>
      </c>
      <c r="C3828">
        <v>4</v>
      </c>
      <c r="D3828">
        <v>11</v>
      </c>
      <c r="E3828" s="1">
        <v>-7.734</v>
      </c>
      <c r="F3828" t="s">
        <v>26</v>
      </c>
      <c r="G3828" t="str">
        <f>_xlfn.XLOOKUP(transakcje[[#This Row],[podkategoria]],parametr[podkategoria],parametr[kategoria])</f>
        <v>życie</v>
      </c>
      <c r="H3828" t="str">
        <f>_xlfn.XLOOKUP(transakcje[[#This Row],[kategoria]],parametr[kategoria],parametr[typ])</f>
        <v>wydatki</v>
      </c>
      <c r="I3828" s="1">
        <f>ABS(transakcje[[#This Row],[kwota]])</f>
        <v>7.734</v>
      </c>
    </row>
    <row r="3829" spans="1:9" x14ac:dyDescent="0.3">
      <c r="A3829">
        <v>3828</v>
      </c>
      <c r="B3829">
        <v>2022</v>
      </c>
      <c r="C3829">
        <v>4</v>
      </c>
      <c r="D3829">
        <v>12</v>
      </c>
      <c r="E3829" s="1">
        <v>-1.3180000000000001</v>
      </c>
      <c r="F3829" t="s">
        <v>26</v>
      </c>
      <c r="G3829" t="str">
        <f>_xlfn.XLOOKUP(transakcje[[#This Row],[podkategoria]],parametr[podkategoria],parametr[kategoria])</f>
        <v>życie</v>
      </c>
      <c r="H3829" t="str">
        <f>_xlfn.XLOOKUP(transakcje[[#This Row],[kategoria]],parametr[kategoria],parametr[typ])</f>
        <v>wydatki</v>
      </c>
      <c r="I3829" s="1">
        <f>ABS(transakcje[[#This Row],[kwota]])</f>
        <v>1.3180000000000001</v>
      </c>
    </row>
    <row r="3830" spans="1:9" x14ac:dyDescent="0.3">
      <c r="A3830">
        <v>3829</v>
      </c>
      <c r="B3830">
        <v>2022</v>
      </c>
      <c r="C3830">
        <v>4</v>
      </c>
      <c r="D3830">
        <v>13</v>
      </c>
      <c r="E3830" s="1">
        <v>-20</v>
      </c>
      <c r="F3830" t="s">
        <v>26</v>
      </c>
      <c r="G3830" t="str">
        <f>_xlfn.XLOOKUP(transakcje[[#This Row],[podkategoria]],parametr[podkategoria],parametr[kategoria])</f>
        <v>życie</v>
      </c>
      <c r="H3830" t="str">
        <f>_xlfn.XLOOKUP(transakcje[[#This Row],[kategoria]],parametr[kategoria],parametr[typ])</f>
        <v>wydatki</v>
      </c>
      <c r="I3830" s="1">
        <f>ABS(transakcje[[#This Row],[kwota]])</f>
        <v>20</v>
      </c>
    </row>
    <row r="3831" spans="1:9" x14ac:dyDescent="0.3">
      <c r="A3831">
        <v>3830</v>
      </c>
      <c r="B3831">
        <v>2022</v>
      </c>
      <c r="C3831">
        <v>4</v>
      </c>
      <c r="D3831">
        <v>14</v>
      </c>
      <c r="E3831" s="1">
        <v>-7.2</v>
      </c>
      <c r="F3831" t="s">
        <v>26</v>
      </c>
      <c r="G3831" t="str">
        <f>_xlfn.XLOOKUP(transakcje[[#This Row],[podkategoria]],parametr[podkategoria],parametr[kategoria])</f>
        <v>życie</v>
      </c>
      <c r="H3831" t="str">
        <f>_xlfn.XLOOKUP(transakcje[[#This Row],[kategoria]],parametr[kategoria],parametr[typ])</f>
        <v>wydatki</v>
      </c>
      <c r="I3831" s="1">
        <f>ABS(transakcje[[#This Row],[kwota]])</f>
        <v>7.2</v>
      </c>
    </row>
    <row r="3832" spans="1:9" x14ac:dyDescent="0.3">
      <c r="A3832">
        <v>3831</v>
      </c>
      <c r="B3832">
        <v>2022</v>
      </c>
      <c r="C3832">
        <v>4</v>
      </c>
      <c r="D3832">
        <v>14</v>
      </c>
      <c r="E3832" s="1">
        <v>-2</v>
      </c>
      <c r="F3832" t="s">
        <v>26</v>
      </c>
      <c r="G3832" t="str">
        <f>_xlfn.XLOOKUP(transakcje[[#This Row],[podkategoria]],parametr[podkategoria],parametr[kategoria])</f>
        <v>życie</v>
      </c>
      <c r="H3832" t="str">
        <f>_xlfn.XLOOKUP(transakcje[[#This Row],[kategoria]],parametr[kategoria],parametr[typ])</f>
        <v>wydatki</v>
      </c>
      <c r="I3832" s="1">
        <f>ABS(transakcje[[#This Row],[kwota]])</f>
        <v>2</v>
      </c>
    </row>
    <row r="3833" spans="1:9" x14ac:dyDescent="0.3">
      <c r="A3833">
        <v>3832</v>
      </c>
      <c r="B3833">
        <v>2022</v>
      </c>
      <c r="C3833">
        <v>4</v>
      </c>
      <c r="D3833">
        <v>22</v>
      </c>
      <c r="E3833" s="1">
        <v>-12.504000000000001</v>
      </c>
      <c r="F3833" t="s">
        <v>26</v>
      </c>
      <c r="G3833" t="str">
        <f>_xlfn.XLOOKUP(transakcje[[#This Row],[podkategoria]],parametr[podkategoria],parametr[kategoria])</f>
        <v>życie</v>
      </c>
      <c r="H3833" t="str">
        <f>_xlfn.XLOOKUP(transakcje[[#This Row],[kategoria]],parametr[kategoria],parametr[typ])</f>
        <v>wydatki</v>
      </c>
      <c r="I3833" s="1">
        <f>ABS(transakcje[[#This Row],[kwota]])</f>
        <v>12.504000000000001</v>
      </c>
    </row>
    <row r="3834" spans="1:9" x14ac:dyDescent="0.3">
      <c r="A3834">
        <v>3833</v>
      </c>
      <c r="B3834">
        <v>2022</v>
      </c>
      <c r="C3834">
        <v>4</v>
      </c>
      <c r="D3834">
        <v>22</v>
      </c>
      <c r="E3834" s="1">
        <v>-0.2</v>
      </c>
      <c r="F3834" t="s">
        <v>14</v>
      </c>
      <c r="G3834" t="str">
        <f>_xlfn.XLOOKUP(transakcje[[#This Row],[podkategoria]],parametr[podkategoria],parametr[kategoria])</f>
        <v>opłaty stałe</v>
      </c>
      <c r="H3834" t="str">
        <f>_xlfn.XLOOKUP(transakcje[[#This Row],[kategoria]],parametr[kategoria],parametr[typ])</f>
        <v>wydatki</v>
      </c>
      <c r="I3834" s="1">
        <f>ABS(transakcje[[#This Row],[kwota]])</f>
        <v>0.2</v>
      </c>
    </row>
    <row r="3835" spans="1:9" x14ac:dyDescent="0.3">
      <c r="A3835">
        <v>3834</v>
      </c>
      <c r="B3835">
        <v>2022</v>
      </c>
      <c r="C3835">
        <v>4</v>
      </c>
      <c r="D3835">
        <v>24</v>
      </c>
      <c r="E3835" s="1">
        <v>-41.2</v>
      </c>
      <c r="F3835" t="s">
        <v>29</v>
      </c>
      <c r="G3835" t="str">
        <f>_xlfn.XLOOKUP(transakcje[[#This Row],[podkategoria]],parametr[podkategoria],parametr[kategoria])</f>
        <v>opłaty stałe</v>
      </c>
      <c r="H3835" t="str">
        <f>_xlfn.XLOOKUP(transakcje[[#This Row],[kategoria]],parametr[kategoria],parametr[typ])</f>
        <v>wydatki</v>
      </c>
      <c r="I3835" s="1">
        <f>ABS(transakcje[[#This Row],[kwota]])</f>
        <v>41.2</v>
      </c>
    </row>
    <row r="3836" spans="1:9" x14ac:dyDescent="0.3">
      <c r="A3836">
        <v>3835</v>
      </c>
      <c r="B3836">
        <v>2022</v>
      </c>
      <c r="C3836">
        <v>4</v>
      </c>
      <c r="D3836">
        <v>25</v>
      </c>
      <c r="E3836" s="1">
        <v>813.47199999999998</v>
      </c>
      <c r="F3836" t="s">
        <v>8</v>
      </c>
      <c r="G3836" t="str">
        <f>_xlfn.XLOOKUP(transakcje[[#This Row],[podkategoria]],parametr[podkategoria],parametr[kategoria])</f>
        <v>dochody z pracy</v>
      </c>
      <c r="H3836" t="str">
        <f>_xlfn.XLOOKUP(transakcje[[#This Row],[kategoria]],parametr[kategoria],parametr[typ])</f>
        <v>dochody</v>
      </c>
      <c r="I3836" s="1">
        <f>ABS(transakcje[[#This Row],[kwota]])</f>
        <v>813.47199999999998</v>
      </c>
    </row>
    <row r="3837" spans="1:9" x14ac:dyDescent="0.3">
      <c r="A3837">
        <v>3836</v>
      </c>
      <c r="B3837">
        <v>2022</v>
      </c>
      <c r="C3837">
        <v>4</v>
      </c>
      <c r="D3837">
        <v>25</v>
      </c>
      <c r="E3837" s="1">
        <v>-23.8</v>
      </c>
      <c r="F3837" t="s">
        <v>32</v>
      </c>
      <c r="G3837" t="str">
        <f>_xlfn.XLOOKUP(transakcje[[#This Row],[podkategoria]],parametr[podkategoria],parametr[kategoria])</f>
        <v>opłaty stałe</v>
      </c>
      <c r="H3837" t="str">
        <f>_xlfn.XLOOKUP(transakcje[[#This Row],[kategoria]],parametr[kategoria],parametr[typ])</f>
        <v>wydatki</v>
      </c>
      <c r="I3837" s="1">
        <f>ABS(transakcje[[#This Row],[kwota]])</f>
        <v>23.8</v>
      </c>
    </row>
    <row r="3838" spans="1:9" x14ac:dyDescent="0.3">
      <c r="A3838">
        <v>3837</v>
      </c>
      <c r="B3838">
        <v>2022</v>
      </c>
      <c r="C3838">
        <v>4</v>
      </c>
      <c r="D3838">
        <v>25</v>
      </c>
      <c r="E3838" s="1">
        <v>-15.734</v>
      </c>
      <c r="F3838" t="s">
        <v>26</v>
      </c>
      <c r="G3838" t="str">
        <f>_xlfn.XLOOKUP(transakcje[[#This Row],[podkategoria]],parametr[podkategoria],parametr[kategoria])</f>
        <v>życie</v>
      </c>
      <c r="H3838" t="str">
        <f>_xlfn.XLOOKUP(transakcje[[#This Row],[kategoria]],parametr[kategoria],parametr[typ])</f>
        <v>wydatki</v>
      </c>
      <c r="I3838" s="1">
        <f>ABS(transakcje[[#This Row],[kwota]])</f>
        <v>15.734</v>
      </c>
    </row>
    <row r="3839" spans="1:9" x14ac:dyDescent="0.3">
      <c r="A3839">
        <v>3838</v>
      </c>
      <c r="B3839">
        <v>2022</v>
      </c>
      <c r="C3839">
        <v>4</v>
      </c>
      <c r="D3839">
        <v>26</v>
      </c>
      <c r="E3839" s="1">
        <v>-0.87799999999999989</v>
      </c>
      <c r="F3839" t="s">
        <v>26</v>
      </c>
      <c r="G3839" t="str">
        <f>_xlfn.XLOOKUP(transakcje[[#This Row],[podkategoria]],parametr[podkategoria],parametr[kategoria])</f>
        <v>życie</v>
      </c>
      <c r="H3839" t="str">
        <f>_xlfn.XLOOKUP(transakcje[[#This Row],[kategoria]],parametr[kategoria],parametr[typ])</f>
        <v>wydatki</v>
      </c>
      <c r="I3839" s="1">
        <f>ABS(transakcje[[#This Row],[kwota]])</f>
        <v>0.87799999999999989</v>
      </c>
    </row>
    <row r="3840" spans="1:9" x14ac:dyDescent="0.3">
      <c r="A3840">
        <v>3839</v>
      </c>
      <c r="B3840">
        <v>2022</v>
      </c>
      <c r="C3840">
        <v>4</v>
      </c>
      <c r="D3840">
        <v>26</v>
      </c>
      <c r="E3840" s="1">
        <v>-13.228</v>
      </c>
      <c r="F3840" t="s">
        <v>26</v>
      </c>
      <c r="G3840" t="str">
        <f>_xlfn.XLOOKUP(transakcje[[#This Row],[podkategoria]],parametr[podkategoria],parametr[kategoria])</f>
        <v>życie</v>
      </c>
      <c r="H3840" t="str">
        <f>_xlfn.XLOOKUP(transakcje[[#This Row],[kategoria]],parametr[kategoria],parametr[typ])</f>
        <v>wydatki</v>
      </c>
      <c r="I3840" s="1">
        <f>ABS(transakcje[[#This Row],[kwota]])</f>
        <v>13.228</v>
      </c>
    </row>
    <row r="3841" spans="1:9" x14ac:dyDescent="0.3">
      <c r="A3841">
        <v>3840</v>
      </c>
      <c r="B3841">
        <v>2022</v>
      </c>
      <c r="C3841">
        <v>4</v>
      </c>
      <c r="D3841">
        <v>27</v>
      </c>
      <c r="E3841" s="1">
        <v>77.578000000000003</v>
      </c>
      <c r="F3841" t="s">
        <v>19</v>
      </c>
      <c r="G3841" t="str">
        <f>_xlfn.XLOOKUP(transakcje[[#This Row],[podkategoria]],parametr[podkategoria],parametr[kategoria])</f>
        <v>dochody z pracy</v>
      </c>
      <c r="H3841" t="str">
        <f>_xlfn.XLOOKUP(transakcje[[#This Row],[kategoria]],parametr[kategoria],parametr[typ])</f>
        <v>dochody</v>
      </c>
      <c r="I3841" s="1">
        <f>ABS(transakcje[[#This Row],[kwota]])</f>
        <v>77.578000000000003</v>
      </c>
    </row>
    <row r="3842" spans="1:9" x14ac:dyDescent="0.3">
      <c r="A3842">
        <v>3841</v>
      </c>
      <c r="B3842">
        <v>2022</v>
      </c>
      <c r="C3842">
        <v>4</v>
      </c>
      <c r="D3842">
        <v>27</v>
      </c>
      <c r="E3842" s="1">
        <v>-0.87799999999999989</v>
      </c>
      <c r="F3842" t="s">
        <v>26</v>
      </c>
      <c r="G3842" t="str">
        <f>_xlfn.XLOOKUP(transakcje[[#This Row],[podkategoria]],parametr[podkategoria],parametr[kategoria])</f>
        <v>życie</v>
      </c>
      <c r="H3842" t="str">
        <f>_xlfn.XLOOKUP(transakcje[[#This Row],[kategoria]],parametr[kategoria],parametr[typ])</f>
        <v>wydatki</v>
      </c>
      <c r="I3842" s="1">
        <f>ABS(transakcje[[#This Row],[kwota]])</f>
        <v>0.87799999999999989</v>
      </c>
    </row>
    <row r="3843" spans="1:9" x14ac:dyDescent="0.3">
      <c r="A3843">
        <v>3842</v>
      </c>
      <c r="B3843">
        <v>2022</v>
      </c>
      <c r="C3843">
        <v>4</v>
      </c>
      <c r="D3843">
        <v>28</v>
      </c>
      <c r="E3843" s="1">
        <v>-0.44000000000000006</v>
      </c>
      <c r="F3843" t="s">
        <v>26</v>
      </c>
      <c r="G3843" t="str">
        <f>_xlfn.XLOOKUP(transakcje[[#This Row],[podkategoria]],parametr[podkategoria],parametr[kategoria])</f>
        <v>życie</v>
      </c>
      <c r="H3843" t="str">
        <f>_xlfn.XLOOKUP(transakcje[[#This Row],[kategoria]],parametr[kategoria],parametr[typ])</f>
        <v>wydatki</v>
      </c>
      <c r="I3843" s="1">
        <f>ABS(transakcje[[#This Row],[kwota]])</f>
        <v>0.44000000000000006</v>
      </c>
    </row>
    <row r="3844" spans="1:9" x14ac:dyDescent="0.3">
      <c r="A3844">
        <v>3843</v>
      </c>
      <c r="B3844">
        <v>2022</v>
      </c>
      <c r="C3844">
        <v>4</v>
      </c>
      <c r="D3844">
        <v>30</v>
      </c>
      <c r="E3844" s="1">
        <v>-1.4</v>
      </c>
      <c r="F3844" t="s">
        <v>14</v>
      </c>
      <c r="G3844" t="str">
        <f>_xlfn.XLOOKUP(transakcje[[#This Row],[podkategoria]],parametr[podkategoria],parametr[kategoria])</f>
        <v>opłaty stałe</v>
      </c>
      <c r="H3844" t="str">
        <f>_xlfn.XLOOKUP(transakcje[[#This Row],[kategoria]],parametr[kategoria],parametr[typ])</f>
        <v>wydatki</v>
      </c>
      <c r="I3844" s="1">
        <f>ABS(transakcje[[#This Row],[kwota]])</f>
        <v>1.4</v>
      </c>
    </row>
    <row r="3845" spans="1:9" x14ac:dyDescent="0.3">
      <c r="A3845">
        <v>3844</v>
      </c>
      <c r="B3845">
        <v>2022</v>
      </c>
      <c r="C3845">
        <v>4</v>
      </c>
      <c r="D3845">
        <v>30</v>
      </c>
      <c r="E3845" s="1">
        <v>2E-3</v>
      </c>
      <c r="F3845" t="s">
        <v>17</v>
      </c>
      <c r="G3845" t="str">
        <f>_xlfn.XLOOKUP(transakcje[[#This Row],[podkategoria]],parametr[podkategoria],parametr[kategoria])</f>
        <v>dochody pozostałe</v>
      </c>
      <c r="H3845" t="str">
        <f>_xlfn.XLOOKUP(transakcje[[#This Row],[kategoria]],parametr[kategoria],parametr[typ])</f>
        <v>dochody</v>
      </c>
      <c r="I3845" s="1">
        <f>ABS(transakcje[[#This Row],[kwota]])</f>
        <v>2E-3</v>
      </c>
    </row>
    <row r="3846" spans="1:9" x14ac:dyDescent="0.3">
      <c r="A3846">
        <v>3845</v>
      </c>
      <c r="B3846">
        <v>2022</v>
      </c>
      <c r="C3846">
        <v>4</v>
      </c>
      <c r="D3846">
        <v>30</v>
      </c>
      <c r="E3846" s="1">
        <v>-2E-3</v>
      </c>
      <c r="F3846" t="s">
        <v>14</v>
      </c>
      <c r="G3846" t="str">
        <f>_xlfn.XLOOKUP(transakcje[[#This Row],[podkategoria]],parametr[podkategoria],parametr[kategoria])</f>
        <v>opłaty stałe</v>
      </c>
      <c r="H3846" t="str">
        <f>_xlfn.XLOOKUP(transakcje[[#This Row],[kategoria]],parametr[kategoria],parametr[typ])</f>
        <v>wydatki</v>
      </c>
      <c r="I3846" s="1">
        <f>ABS(transakcje[[#This Row],[kwota]])</f>
        <v>2E-3</v>
      </c>
    </row>
    <row r="3847" spans="1:9" x14ac:dyDescent="0.3">
      <c r="A3847">
        <v>3846</v>
      </c>
      <c r="B3847">
        <v>2022</v>
      </c>
      <c r="C3847">
        <v>4</v>
      </c>
      <c r="D3847">
        <v>30</v>
      </c>
      <c r="E3847" s="1">
        <v>-3.9979999999999998</v>
      </c>
      <c r="F3847" t="s">
        <v>26</v>
      </c>
      <c r="G3847" t="str">
        <f>_xlfn.XLOOKUP(transakcje[[#This Row],[podkategoria]],parametr[podkategoria],parametr[kategoria])</f>
        <v>życie</v>
      </c>
      <c r="H3847" t="str">
        <f>_xlfn.XLOOKUP(transakcje[[#This Row],[kategoria]],parametr[kategoria],parametr[typ])</f>
        <v>wydatki</v>
      </c>
      <c r="I3847" s="1">
        <f>ABS(transakcje[[#This Row],[kwota]])</f>
        <v>3.9979999999999998</v>
      </c>
    </row>
    <row r="3848" spans="1:9" x14ac:dyDescent="0.3">
      <c r="A3848">
        <v>3847</v>
      </c>
      <c r="B3848">
        <v>2022</v>
      </c>
      <c r="C3848">
        <v>5</v>
      </c>
      <c r="D3848">
        <v>1</v>
      </c>
      <c r="E3848" s="1">
        <v>-46.4</v>
      </c>
      <c r="F3848" t="s">
        <v>30</v>
      </c>
      <c r="G3848" t="str">
        <f>_xlfn.XLOOKUP(transakcje[[#This Row],[podkategoria]],parametr[podkategoria],parametr[kategoria])</f>
        <v>opłaty stałe</v>
      </c>
      <c r="H3848" t="str">
        <f>_xlfn.XLOOKUP(transakcje[[#This Row],[kategoria]],parametr[kategoria],parametr[typ])</f>
        <v>wydatki</v>
      </c>
      <c r="I3848" s="1">
        <f>ABS(transakcje[[#This Row],[kwota]])</f>
        <v>46.4</v>
      </c>
    </row>
    <row r="3849" spans="1:9" x14ac:dyDescent="0.3">
      <c r="A3849">
        <v>3848</v>
      </c>
      <c r="B3849">
        <v>2022</v>
      </c>
      <c r="C3849">
        <v>5</v>
      </c>
      <c r="D3849">
        <v>1</v>
      </c>
      <c r="E3849" s="1">
        <v>-16.752000000000002</v>
      </c>
      <c r="F3849" t="s">
        <v>34</v>
      </c>
      <c r="G3849" t="str">
        <f>_xlfn.XLOOKUP(transakcje[[#This Row],[podkategoria]],parametr[podkategoria],parametr[kategoria])</f>
        <v>opłaty stałe</v>
      </c>
      <c r="H3849" t="str">
        <f>_xlfn.XLOOKUP(transakcje[[#This Row],[kategoria]],parametr[kategoria],parametr[typ])</f>
        <v>wydatki</v>
      </c>
      <c r="I3849" s="1">
        <f>ABS(transakcje[[#This Row],[kwota]])</f>
        <v>16.752000000000002</v>
      </c>
    </row>
    <row r="3850" spans="1:9" x14ac:dyDescent="0.3">
      <c r="A3850">
        <v>3849</v>
      </c>
      <c r="B3850">
        <v>2022</v>
      </c>
      <c r="C3850">
        <v>5</v>
      </c>
      <c r="D3850">
        <v>1</v>
      </c>
      <c r="E3850" s="1">
        <v>-5.8</v>
      </c>
      <c r="F3850" t="s">
        <v>25</v>
      </c>
      <c r="G3850" t="str">
        <f>_xlfn.XLOOKUP(transakcje[[#This Row],[podkategoria]],parametr[podkategoria],parametr[kategoria])</f>
        <v>opłaty stałe</v>
      </c>
      <c r="H3850" t="str">
        <f>_xlfn.XLOOKUP(transakcje[[#This Row],[kategoria]],parametr[kategoria],parametr[typ])</f>
        <v>wydatki</v>
      </c>
      <c r="I3850" s="1">
        <f>ABS(transakcje[[#This Row],[kwota]])</f>
        <v>5.8</v>
      </c>
    </row>
    <row r="3851" spans="1:9" x14ac:dyDescent="0.3">
      <c r="A3851">
        <v>3850</v>
      </c>
      <c r="B3851">
        <v>2022</v>
      </c>
      <c r="C3851">
        <v>5</v>
      </c>
      <c r="D3851">
        <v>1</v>
      </c>
      <c r="E3851" s="1">
        <v>-7.38</v>
      </c>
      <c r="F3851" t="s">
        <v>23</v>
      </c>
      <c r="G3851" t="str">
        <f>_xlfn.XLOOKUP(transakcje[[#This Row],[podkategoria]],parametr[podkategoria],parametr[kategoria])</f>
        <v>opłaty stałe</v>
      </c>
      <c r="H3851" t="str">
        <f>_xlfn.XLOOKUP(transakcje[[#This Row],[kategoria]],parametr[kategoria],parametr[typ])</f>
        <v>wydatki</v>
      </c>
      <c r="I3851" s="1">
        <f>ABS(transakcje[[#This Row],[kwota]])</f>
        <v>7.38</v>
      </c>
    </row>
    <row r="3852" spans="1:9" x14ac:dyDescent="0.3">
      <c r="A3852">
        <v>3851</v>
      </c>
      <c r="B3852">
        <v>2022</v>
      </c>
      <c r="C3852">
        <v>5</v>
      </c>
      <c r="D3852">
        <v>1</v>
      </c>
      <c r="E3852" s="1">
        <v>-84.224000000000004</v>
      </c>
      <c r="F3852" t="s">
        <v>31</v>
      </c>
      <c r="G3852" t="str">
        <f>_xlfn.XLOOKUP(transakcje[[#This Row],[podkategoria]],parametr[podkategoria],parametr[kategoria])</f>
        <v>opłaty stałe</v>
      </c>
      <c r="H3852" t="str">
        <f>_xlfn.XLOOKUP(transakcje[[#This Row],[kategoria]],parametr[kategoria],parametr[typ])</f>
        <v>wydatki</v>
      </c>
      <c r="I3852" s="1">
        <f>ABS(transakcje[[#This Row],[kwota]])</f>
        <v>84.224000000000004</v>
      </c>
    </row>
    <row r="3853" spans="1:9" x14ac:dyDescent="0.3">
      <c r="A3853">
        <v>3852</v>
      </c>
      <c r="B3853">
        <v>2022</v>
      </c>
      <c r="C3853">
        <v>5</v>
      </c>
      <c r="D3853">
        <v>1</v>
      </c>
      <c r="E3853" s="1">
        <v>-0.87799999999999989</v>
      </c>
      <c r="F3853" t="s">
        <v>26</v>
      </c>
      <c r="G3853" t="str">
        <f>_xlfn.XLOOKUP(transakcje[[#This Row],[podkategoria]],parametr[podkategoria],parametr[kategoria])</f>
        <v>życie</v>
      </c>
      <c r="H3853" t="str">
        <f>_xlfn.XLOOKUP(transakcje[[#This Row],[kategoria]],parametr[kategoria],parametr[typ])</f>
        <v>wydatki</v>
      </c>
      <c r="I3853" s="1">
        <f>ABS(transakcje[[#This Row],[kwota]])</f>
        <v>0.87799999999999989</v>
      </c>
    </row>
    <row r="3854" spans="1:9" x14ac:dyDescent="0.3">
      <c r="A3854">
        <v>3853</v>
      </c>
      <c r="B3854">
        <v>2022</v>
      </c>
      <c r="C3854">
        <v>5</v>
      </c>
      <c r="D3854">
        <v>5</v>
      </c>
      <c r="E3854" s="1">
        <v>-19.058</v>
      </c>
      <c r="F3854" t="s">
        <v>26</v>
      </c>
      <c r="G3854" t="str">
        <f>_xlfn.XLOOKUP(transakcje[[#This Row],[podkategoria]],parametr[podkategoria],parametr[kategoria])</f>
        <v>życie</v>
      </c>
      <c r="H3854" t="str">
        <f>_xlfn.XLOOKUP(transakcje[[#This Row],[kategoria]],parametr[kategoria],parametr[typ])</f>
        <v>wydatki</v>
      </c>
      <c r="I3854" s="1">
        <f>ABS(transakcje[[#This Row],[kwota]])</f>
        <v>19.058</v>
      </c>
    </row>
    <row r="3855" spans="1:9" x14ac:dyDescent="0.3">
      <c r="A3855">
        <v>3854</v>
      </c>
      <c r="B3855">
        <v>2022</v>
      </c>
      <c r="C3855">
        <v>5</v>
      </c>
      <c r="D3855">
        <v>10</v>
      </c>
      <c r="E3855" s="1">
        <v>-8.2140000000000004</v>
      </c>
      <c r="F3855" t="s">
        <v>26</v>
      </c>
      <c r="G3855" t="str">
        <f>_xlfn.XLOOKUP(transakcje[[#This Row],[podkategoria]],parametr[podkategoria],parametr[kategoria])</f>
        <v>życie</v>
      </c>
      <c r="H3855" t="str">
        <f>_xlfn.XLOOKUP(transakcje[[#This Row],[kategoria]],parametr[kategoria],parametr[typ])</f>
        <v>wydatki</v>
      </c>
      <c r="I3855" s="1">
        <f>ABS(transakcje[[#This Row],[kwota]])</f>
        <v>8.2140000000000004</v>
      </c>
    </row>
    <row r="3856" spans="1:9" x14ac:dyDescent="0.3">
      <c r="A3856">
        <v>3855</v>
      </c>
      <c r="B3856">
        <v>2022</v>
      </c>
      <c r="C3856">
        <v>5</v>
      </c>
      <c r="D3856">
        <v>11</v>
      </c>
      <c r="E3856" s="1">
        <v>-5.68</v>
      </c>
      <c r="F3856" t="s">
        <v>26</v>
      </c>
      <c r="G3856" t="str">
        <f>_xlfn.XLOOKUP(transakcje[[#This Row],[podkategoria]],parametr[podkategoria],parametr[kategoria])</f>
        <v>życie</v>
      </c>
      <c r="H3856" t="str">
        <f>_xlfn.XLOOKUP(transakcje[[#This Row],[kategoria]],parametr[kategoria],parametr[typ])</f>
        <v>wydatki</v>
      </c>
      <c r="I3856" s="1">
        <f>ABS(transakcje[[#This Row],[kwota]])</f>
        <v>5.68</v>
      </c>
    </row>
    <row r="3857" spans="1:9" x14ac:dyDescent="0.3">
      <c r="A3857">
        <v>3856</v>
      </c>
      <c r="B3857">
        <v>2022</v>
      </c>
      <c r="C3857">
        <v>5</v>
      </c>
      <c r="D3857">
        <v>11</v>
      </c>
      <c r="E3857" s="1">
        <v>-1.3</v>
      </c>
      <c r="F3857" t="s">
        <v>26</v>
      </c>
      <c r="G3857" t="str">
        <f>_xlfn.XLOOKUP(transakcje[[#This Row],[podkategoria]],parametr[podkategoria],parametr[kategoria])</f>
        <v>życie</v>
      </c>
      <c r="H3857" t="str">
        <f>_xlfn.XLOOKUP(transakcje[[#This Row],[kategoria]],parametr[kategoria],parametr[typ])</f>
        <v>wydatki</v>
      </c>
      <c r="I3857" s="1">
        <f>ABS(transakcje[[#This Row],[kwota]])</f>
        <v>1.3</v>
      </c>
    </row>
    <row r="3858" spans="1:9" x14ac:dyDescent="0.3">
      <c r="A3858">
        <v>3857</v>
      </c>
      <c r="B3858">
        <v>2022</v>
      </c>
      <c r="C3858">
        <v>5</v>
      </c>
      <c r="D3858">
        <v>12</v>
      </c>
      <c r="E3858" s="1">
        <v>-2.48</v>
      </c>
      <c r="F3858" t="s">
        <v>26</v>
      </c>
      <c r="G3858" t="str">
        <f>_xlfn.XLOOKUP(transakcje[[#This Row],[podkategoria]],parametr[podkategoria],parametr[kategoria])</f>
        <v>życie</v>
      </c>
      <c r="H3858" t="str">
        <f>_xlfn.XLOOKUP(transakcje[[#This Row],[kategoria]],parametr[kategoria],parametr[typ])</f>
        <v>wydatki</v>
      </c>
      <c r="I3858" s="1">
        <f>ABS(transakcje[[#This Row],[kwota]])</f>
        <v>2.48</v>
      </c>
    </row>
    <row r="3859" spans="1:9" x14ac:dyDescent="0.3">
      <c r="A3859">
        <v>3858</v>
      </c>
      <c r="B3859">
        <v>2022</v>
      </c>
      <c r="C3859">
        <v>5</v>
      </c>
      <c r="D3859">
        <v>12</v>
      </c>
      <c r="E3859" s="1">
        <v>-1.748</v>
      </c>
      <c r="F3859" t="s">
        <v>26</v>
      </c>
      <c r="G3859" t="str">
        <f>_xlfn.XLOOKUP(transakcje[[#This Row],[podkategoria]],parametr[podkategoria],parametr[kategoria])</f>
        <v>życie</v>
      </c>
      <c r="H3859" t="str">
        <f>_xlfn.XLOOKUP(transakcje[[#This Row],[kategoria]],parametr[kategoria],parametr[typ])</f>
        <v>wydatki</v>
      </c>
      <c r="I3859" s="1">
        <f>ABS(transakcje[[#This Row],[kwota]])</f>
        <v>1.748</v>
      </c>
    </row>
    <row r="3860" spans="1:9" x14ac:dyDescent="0.3">
      <c r="A3860">
        <v>3859</v>
      </c>
      <c r="B3860">
        <v>2022</v>
      </c>
      <c r="C3860">
        <v>5</v>
      </c>
      <c r="D3860">
        <v>16</v>
      </c>
      <c r="E3860" s="1">
        <v>-10.623999999999999</v>
      </c>
      <c r="F3860" t="s">
        <v>26</v>
      </c>
      <c r="G3860" t="str">
        <f>_xlfn.XLOOKUP(transakcje[[#This Row],[podkategoria]],parametr[podkategoria],parametr[kategoria])</f>
        <v>życie</v>
      </c>
      <c r="H3860" t="str">
        <f>_xlfn.XLOOKUP(transakcje[[#This Row],[kategoria]],parametr[kategoria],parametr[typ])</f>
        <v>wydatki</v>
      </c>
      <c r="I3860" s="1">
        <f>ABS(transakcje[[#This Row],[kwota]])</f>
        <v>10.623999999999999</v>
      </c>
    </row>
    <row r="3861" spans="1:9" x14ac:dyDescent="0.3">
      <c r="A3861">
        <v>3860</v>
      </c>
      <c r="B3861">
        <v>2022</v>
      </c>
      <c r="C3861">
        <v>5</v>
      </c>
      <c r="D3861">
        <v>17</v>
      </c>
      <c r="E3861" s="1">
        <v>-0.2</v>
      </c>
      <c r="F3861" t="s">
        <v>14</v>
      </c>
      <c r="G3861" t="str">
        <f>_xlfn.XLOOKUP(transakcje[[#This Row],[podkategoria]],parametr[podkategoria],parametr[kategoria])</f>
        <v>opłaty stałe</v>
      </c>
      <c r="H3861" t="str">
        <f>_xlfn.XLOOKUP(transakcje[[#This Row],[kategoria]],parametr[kategoria],parametr[typ])</f>
        <v>wydatki</v>
      </c>
      <c r="I3861" s="1">
        <f>ABS(transakcje[[#This Row],[kwota]])</f>
        <v>0.2</v>
      </c>
    </row>
    <row r="3862" spans="1:9" x14ac:dyDescent="0.3">
      <c r="A3862">
        <v>3861</v>
      </c>
      <c r="B3862">
        <v>2022</v>
      </c>
      <c r="C3862">
        <v>5</v>
      </c>
      <c r="D3862">
        <v>19</v>
      </c>
      <c r="E3862" s="1">
        <v>-0.87799999999999989</v>
      </c>
      <c r="F3862" t="s">
        <v>26</v>
      </c>
      <c r="G3862" t="str">
        <f>_xlfn.XLOOKUP(transakcje[[#This Row],[podkategoria]],parametr[podkategoria],parametr[kategoria])</f>
        <v>życie</v>
      </c>
      <c r="H3862" t="str">
        <f>_xlfn.XLOOKUP(transakcje[[#This Row],[kategoria]],parametr[kategoria],parametr[typ])</f>
        <v>wydatki</v>
      </c>
      <c r="I3862" s="1">
        <f>ABS(transakcje[[#This Row],[kwota]])</f>
        <v>0.87799999999999989</v>
      </c>
    </row>
    <row r="3863" spans="1:9" x14ac:dyDescent="0.3">
      <c r="A3863">
        <v>3862</v>
      </c>
      <c r="B3863">
        <v>2022</v>
      </c>
      <c r="C3863">
        <v>5</v>
      </c>
      <c r="D3863">
        <v>19</v>
      </c>
      <c r="E3863" s="1">
        <v>-16.488</v>
      </c>
      <c r="F3863" t="s">
        <v>26</v>
      </c>
      <c r="G3863" t="str">
        <f>_xlfn.XLOOKUP(transakcje[[#This Row],[podkategoria]],parametr[podkategoria],parametr[kategoria])</f>
        <v>życie</v>
      </c>
      <c r="H3863" t="str">
        <f>_xlfn.XLOOKUP(transakcje[[#This Row],[kategoria]],parametr[kategoria],parametr[typ])</f>
        <v>wydatki</v>
      </c>
      <c r="I3863" s="1">
        <f>ABS(transakcje[[#This Row],[kwota]])</f>
        <v>16.488</v>
      </c>
    </row>
    <row r="3864" spans="1:9" x14ac:dyDescent="0.3">
      <c r="A3864">
        <v>3863</v>
      </c>
      <c r="B3864">
        <v>2022</v>
      </c>
      <c r="C3864">
        <v>5</v>
      </c>
      <c r="D3864">
        <v>20</v>
      </c>
      <c r="E3864" s="1">
        <v>-0.44000000000000006</v>
      </c>
      <c r="F3864" t="s">
        <v>26</v>
      </c>
      <c r="G3864" t="str">
        <f>_xlfn.XLOOKUP(transakcje[[#This Row],[podkategoria]],parametr[podkategoria],parametr[kategoria])</f>
        <v>życie</v>
      </c>
      <c r="H3864" t="str">
        <f>_xlfn.XLOOKUP(transakcje[[#This Row],[kategoria]],parametr[kategoria],parametr[typ])</f>
        <v>wydatki</v>
      </c>
      <c r="I3864" s="1">
        <f>ABS(transakcje[[#This Row],[kwota]])</f>
        <v>0.44000000000000006</v>
      </c>
    </row>
    <row r="3865" spans="1:9" x14ac:dyDescent="0.3">
      <c r="A3865">
        <v>3864</v>
      </c>
      <c r="B3865">
        <v>2022</v>
      </c>
      <c r="C3865">
        <v>5</v>
      </c>
      <c r="D3865">
        <v>20</v>
      </c>
      <c r="E3865" s="1">
        <v>-6.0880000000000001</v>
      </c>
      <c r="F3865" t="s">
        <v>26</v>
      </c>
      <c r="G3865" t="str">
        <f>_xlfn.XLOOKUP(transakcje[[#This Row],[podkategoria]],parametr[podkategoria],parametr[kategoria])</f>
        <v>życie</v>
      </c>
      <c r="H3865" t="str">
        <f>_xlfn.XLOOKUP(transakcje[[#This Row],[kategoria]],parametr[kategoria],parametr[typ])</f>
        <v>wydatki</v>
      </c>
      <c r="I3865" s="1">
        <f>ABS(transakcje[[#This Row],[kwota]])</f>
        <v>6.0880000000000001</v>
      </c>
    </row>
    <row r="3866" spans="1:9" x14ac:dyDescent="0.3">
      <c r="A3866">
        <v>3865</v>
      </c>
      <c r="B3866">
        <v>2022</v>
      </c>
      <c r="C3866">
        <v>5</v>
      </c>
      <c r="D3866">
        <v>23</v>
      </c>
      <c r="E3866" s="1">
        <v>-0.44000000000000006</v>
      </c>
      <c r="F3866" t="s">
        <v>26</v>
      </c>
      <c r="G3866" t="str">
        <f>_xlfn.XLOOKUP(transakcje[[#This Row],[podkategoria]],parametr[podkategoria],parametr[kategoria])</f>
        <v>życie</v>
      </c>
      <c r="H3866" t="str">
        <f>_xlfn.XLOOKUP(transakcje[[#This Row],[kategoria]],parametr[kategoria],parametr[typ])</f>
        <v>wydatki</v>
      </c>
      <c r="I3866" s="1">
        <f>ABS(transakcje[[#This Row],[kwota]])</f>
        <v>0.44000000000000006</v>
      </c>
    </row>
    <row r="3867" spans="1:9" x14ac:dyDescent="0.3">
      <c r="A3867">
        <v>3866</v>
      </c>
      <c r="B3867">
        <v>2022</v>
      </c>
      <c r="C3867">
        <v>5</v>
      </c>
      <c r="D3867">
        <v>22</v>
      </c>
      <c r="E3867" s="1">
        <v>-23.8</v>
      </c>
      <c r="F3867" t="s">
        <v>32</v>
      </c>
      <c r="G3867" t="str">
        <f>_xlfn.XLOOKUP(transakcje[[#This Row],[podkategoria]],parametr[podkategoria],parametr[kategoria])</f>
        <v>opłaty stałe</v>
      </c>
      <c r="H3867" t="str">
        <f>_xlfn.XLOOKUP(transakcje[[#This Row],[kategoria]],parametr[kategoria],parametr[typ])</f>
        <v>wydatki</v>
      </c>
      <c r="I3867" s="1">
        <f>ABS(transakcje[[#This Row],[kwota]])</f>
        <v>23.8</v>
      </c>
    </row>
    <row r="3868" spans="1:9" x14ac:dyDescent="0.3">
      <c r="A3868">
        <v>3867</v>
      </c>
      <c r="B3868">
        <v>2022</v>
      </c>
      <c r="C3868">
        <v>5</v>
      </c>
      <c r="D3868">
        <v>22</v>
      </c>
      <c r="E3868" s="1">
        <v>-3</v>
      </c>
      <c r="F3868" t="s">
        <v>26</v>
      </c>
      <c r="G3868" t="str">
        <f>_xlfn.XLOOKUP(transakcje[[#This Row],[podkategoria]],parametr[podkategoria],parametr[kategoria])</f>
        <v>życie</v>
      </c>
      <c r="H3868" t="str">
        <f>_xlfn.XLOOKUP(transakcje[[#This Row],[kategoria]],parametr[kategoria],parametr[typ])</f>
        <v>wydatki</v>
      </c>
      <c r="I3868" s="1">
        <f>ABS(transakcje[[#This Row],[kwota]])</f>
        <v>3</v>
      </c>
    </row>
    <row r="3869" spans="1:9" x14ac:dyDescent="0.3">
      <c r="A3869">
        <v>3868</v>
      </c>
      <c r="B3869">
        <v>2022</v>
      </c>
      <c r="C3869">
        <v>5</v>
      </c>
      <c r="D3869">
        <v>25</v>
      </c>
      <c r="E3869" s="1">
        <v>-14.012</v>
      </c>
      <c r="F3869" t="s">
        <v>26</v>
      </c>
      <c r="G3869" t="str">
        <f>_xlfn.XLOOKUP(transakcje[[#This Row],[podkategoria]],parametr[podkategoria],parametr[kategoria])</f>
        <v>życie</v>
      </c>
      <c r="H3869" t="str">
        <f>_xlfn.XLOOKUP(transakcje[[#This Row],[kategoria]],parametr[kategoria],parametr[typ])</f>
        <v>wydatki</v>
      </c>
      <c r="I3869" s="1">
        <f>ABS(transakcje[[#This Row],[kwota]])</f>
        <v>14.012</v>
      </c>
    </row>
    <row r="3870" spans="1:9" x14ac:dyDescent="0.3">
      <c r="A3870">
        <v>3869</v>
      </c>
      <c r="B3870">
        <v>2022</v>
      </c>
      <c r="C3870">
        <v>5</v>
      </c>
      <c r="D3870">
        <v>26</v>
      </c>
      <c r="E3870" s="1">
        <v>-1.478</v>
      </c>
      <c r="F3870" t="s">
        <v>26</v>
      </c>
      <c r="G3870" t="str">
        <f>_xlfn.XLOOKUP(transakcje[[#This Row],[podkategoria]],parametr[podkategoria],parametr[kategoria])</f>
        <v>życie</v>
      </c>
      <c r="H3870" t="str">
        <f>_xlfn.XLOOKUP(transakcje[[#This Row],[kategoria]],parametr[kategoria],parametr[typ])</f>
        <v>wydatki</v>
      </c>
      <c r="I3870" s="1">
        <f>ABS(transakcje[[#This Row],[kwota]])</f>
        <v>1.478</v>
      </c>
    </row>
    <row r="3871" spans="1:9" x14ac:dyDescent="0.3">
      <c r="A3871">
        <v>3870</v>
      </c>
      <c r="B3871">
        <v>2022</v>
      </c>
      <c r="C3871">
        <v>5</v>
      </c>
      <c r="D3871">
        <v>27</v>
      </c>
      <c r="E3871" s="1">
        <v>813.47199999999998</v>
      </c>
      <c r="F3871" t="s">
        <v>8</v>
      </c>
      <c r="G3871" t="str">
        <f>_xlfn.XLOOKUP(transakcje[[#This Row],[podkategoria]],parametr[podkategoria],parametr[kategoria])</f>
        <v>dochody z pracy</v>
      </c>
      <c r="H3871" t="str">
        <f>_xlfn.XLOOKUP(transakcje[[#This Row],[kategoria]],parametr[kategoria],parametr[typ])</f>
        <v>dochody</v>
      </c>
      <c r="I3871" s="1">
        <f>ABS(transakcje[[#This Row],[kwota]])</f>
        <v>813.47199999999998</v>
      </c>
    </row>
    <row r="3872" spans="1:9" x14ac:dyDescent="0.3">
      <c r="A3872">
        <v>3871</v>
      </c>
      <c r="B3872">
        <v>2022</v>
      </c>
      <c r="C3872">
        <v>5</v>
      </c>
      <c r="D3872">
        <v>31</v>
      </c>
      <c r="E3872" s="1">
        <v>-2E-3</v>
      </c>
      <c r="F3872" t="s">
        <v>14</v>
      </c>
      <c r="G3872" t="str">
        <f>_xlfn.XLOOKUP(transakcje[[#This Row],[podkategoria]],parametr[podkategoria],parametr[kategoria])</f>
        <v>opłaty stałe</v>
      </c>
      <c r="H3872" t="str">
        <f>_xlfn.XLOOKUP(transakcje[[#This Row],[kategoria]],parametr[kategoria],parametr[typ])</f>
        <v>wydatki</v>
      </c>
      <c r="I3872" s="1">
        <f>ABS(transakcje[[#This Row],[kwota]])</f>
        <v>2E-3</v>
      </c>
    </row>
    <row r="3873" spans="1:9" x14ac:dyDescent="0.3">
      <c r="A3873">
        <v>3872</v>
      </c>
      <c r="B3873">
        <v>2022</v>
      </c>
      <c r="C3873">
        <v>5</v>
      </c>
      <c r="D3873">
        <v>31</v>
      </c>
      <c r="E3873" s="1">
        <v>4.0000000000000001E-3</v>
      </c>
      <c r="F3873" t="s">
        <v>17</v>
      </c>
      <c r="G3873" t="str">
        <f>_xlfn.XLOOKUP(transakcje[[#This Row],[podkategoria]],parametr[podkategoria],parametr[kategoria])</f>
        <v>dochody pozostałe</v>
      </c>
      <c r="H3873" t="str">
        <f>_xlfn.XLOOKUP(transakcje[[#This Row],[kategoria]],parametr[kategoria],parametr[typ])</f>
        <v>dochody</v>
      </c>
      <c r="I3873" s="1">
        <f>ABS(transakcje[[#This Row],[kwota]])</f>
        <v>4.0000000000000001E-3</v>
      </c>
    </row>
    <row r="3874" spans="1:9" x14ac:dyDescent="0.3">
      <c r="A3874">
        <v>3873</v>
      </c>
      <c r="B3874">
        <v>2022</v>
      </c>
      <c r="C3874">
        <v>5</v>
      </c>
      <c r="D3874">
        <v>31</v>
      </c>
      <c r="E3874" s="1">
        <v>-1.4</v>
      </c>
      <c r="F3874" t="s">
        <v>14</v>
      </c>
      <c r="G3874" t="str">
        <f>_xlfn.XLOOKUP(transakcje[[#This Row],[podkategoria]],parametr[podkategoria],parametr[kategoria])</f>
        <v>opłaty stałe</v>
      </c>
      <c r="H3874" t="str">
        <f>_xlfn.XLOOKUP(transakcje[[#This Row],[kategoria]],parametr[kategoria],parametr[typ])</f>
        <v>wydatki</v>
      </c>
      <c r="I3874" s="1">
        <f>ABS(transakcje[[#This Row],[kwota]])</f>
        <v>1.4</v>
      </c>
    </row>
    <row r="3875" spans="1:9" x14ac:dyDescent="0.3">
      <c r="A3875">
        <v>3874</v>
      </c>
      <c r="B3875">
        <v>2022</v>
      </c>
      <c r="C3875">
        <v>5</v>
      </c>
      <c r="D3875">
        <v>31</v>
      </c>
      <c r="E3875" s="1">
        <v>-2.7</v>
      </c>
      <c r="F3875" t="s">
        <v>26</v>
      </c>
      <c r="G3875" t="str">
        <f>_xlfn.XLOOKUP(transakcje[[#This Row],[podkategoria]],parametr[podkategoria],parametr[kategoria])</f>
        <v>życie</v>
      </c>
      <c r="H3875" t="str">
        <f>_xlfn.XLOOKUP(transakcje[[#This Row],[kategoria]],parametr[kategoria],parametr[typ])</f>
        <v>wydatki</v>
      </c>
      <c r="I3875" s="1">
        <f>ABS(transakcje[[#This Row],[kwota]])</f>
        <v>2.7</v>
      </c>
    </row>
    <row r="3876" spans="1:9" x14ac:dyDescent="0.3">
      <c r="A3876">
        <v>3875</v>
      </c>
      <c r="B3876">
        <v>2022</v>
      </c>
      <c r="C3876">
        <v>5</v>
      </c>
      <c r="D3876">
        <v>31</v>
      </c>
      <c r="E3876" s="1">
        <v>-0.87799999999999989</v>
      </c>
      <c r="F3876" t="s">
        <v>26</v>
      </c>
      <c r="G3876" t="str">
        <f>_xlfn.XLOOKUP(transakcje[[#This Row],[podkategoria]],parametr[podkategoria],parametr[kategoria])</f>
        <v>życie</v>
      </c>
      <c r="H3876" t="str">
        <f>_xlfn.XLOOKUP(transakcje[[#This Row],[kategoria]],parametr[kategoria],parametr[typ])</f>
        <v>wydatki</v>
      </c>
      <c r="I3876" s="1">
        <f>ABS(transakcje[[#This Row],[kwota]])</f>
        <v>0.87799999999999989</v>
      </c>
    </row>
    <row r="3877" spans="1:9" x14ac:dyDescent="0.3">
      <c r="A3877">
        <v>3876</v>
      </c>
      <c r="B3877">
        <v>2022</v>
      </c>
      <c r="C3877">
        <v>5</v>
      </c>
      <c r="D3877">
        <v>31</v>
      </c>
      <c r="E3877" s="1">
        <v>-25.324000000000002</v>
      </c>
      <c r="F3877" t="s">
        <v>26</v>
      </c>
      <c r="G3877" t="str">
        <f>_xlfn.XLOOKUP(transakcje[[#This Row],[podkategoria]],parametr[podkategoria],parametr[kategoria])</f>
        <v>życie</v>
      </c>
      <c r="H3877" t="str">
        <f>_xlfn.XLOOKUP(transakcje[[#This Row],[kategoria]],parametr[kategoria],parametr[typ])</f>
        <v>wydatki</v>
      </c>
      <c r="I3877" s="1">
        <f>ABS(transakcje[[#This Row],[kwota]])</f>
        <v>25.324000000000002</v>
      </c>
    </row>
    <row r="3878" spans="1:9" x14ac:dyDescent="0.3">
      <c r="A3878">
        <v>3877</v>
      </c>
      <c r="B3878">
        <v>2022</v>
      </c>
      <c r="C3878">
        <v>5</v>
      </c>
      <c r="D3878">
        <v>31</v>
      </c>
      <c r="E3878" s="1">
        <v>-190</v>
      </c>
      <c r="F3878" t="s">
        <v>11</v>
      </c>
      <c r="G3878" t="str">
        <f>_xlfn.XLOOKUP(transakcje[[#This Row],[podkategoria]],parametr[podkategoria],parametr[kategoria])</f>
        <v>wydatki inne</v>
      </c>
      <c r="H3878" t="str">
        <f>_xlfn.XLOOKUP(transakcje[[#This Row],[kategoria]],parametr[kategoria],parametr[typ])</f>
        <v>wydatki</v>
      </c>
      <c r="I3878" s="1">
        <f>ABS(transakcje[[#This Row],[kwota]])</f>
        <v>190</v>
      </c>
    </row>
    <row r="3879" spans="1:9" x14ac:dyDescent="0.3">
      <c r="A3879">
        <v>3878</v>
      </c>
      <c r="B3879">
        <v>2022</v>
      </c>
      <c r="C3879">
        <v>6</v>
      </c>
      <c r="D3879">
        <v>1</v>
      </c>
      <c r="E3879" s="1">
        <v>-1.476</v>
      </c>
      <c r="F3879" t="s">
        <v>26</v>
      </c>
      <c r="G3879" t="str">
        <f>_xlfn.XLOOKUP(transakcje[[#This Row],[podkategoria]],parametr[podkategoria],parametr[kategoria])</f>
        <v>życie</v>
      </c>
      <c r="H3879" t="str">
        <f>_xlfn.XLOOKUP(transakcje[[#This Row],[kategoria]],parametr[kategoria],parametr[typ])</f>
        <v>wydatki</v>
      </c>
      <c r="I3879" s="1">
        <f>ABS(transakcje[[#This Row],[kwota]])</f>
        <v>1.476</v>
      </c>
    </row>
    <row r="3880" spans="1:9" x14ac:dyDescent="0.3">
      <c r="A3880">
        <v>3879</v>
      </c>
      <c r="B3880">
        <v>2022</v>
      </c>
      <c r="C3880">
        <v>6</v>
      </c>
      <c r="D3880">
        <v>1</v>
      </c>
      <c r="E3880" s="1">
        <v>-5.2880000000000003</v>
      </c>
      <c r="F3880" t="s">
        <v>26</v>
      </c>
      <c r="G3880" t="str">
        <f>_xlfn.XLOOKUP(transakcje[[#This Row],[podkategoria]],parametr[podkategoria],parametr[kategoria])</f>
        <v>życie</v>
      </c>
      <c r="H3880" t="str">
        <f>_xlfn.XLOOKUP(transakcje[[#This Row],[kategoria]],parametr[kategoria],parametr[typ])</f>
        <v>wydatki</v>
      </c>
      <c r="I3880" s="1">
        <f>ABS(transakcje[[#This Row],[kwota]])</f>
        <v>5.2880000000000003</v>
      </c>
    </row>
    <row r="3881" spans="1:9" x14ac:dyDescent="0.3">
      <c r="A3881">
        <v>3880</v>
      </c>
      <c r="B3881">
        <v>2022</v>
      </c>
      <c r="C3881">
        <v>6</v>
      </c>
      <c r="D3881">
        <v>2</v>
      </c>
      <c r="E3881" s="1">
        <v>-14.672000000000001</v>
      </c>
      <c r="F3881" t="s">
        <v>26</v>
      </c>
      <c r="G3881" t="str">
        <f>_xlfn.XLOOKUP(transakcje[[#This Row],[podkategoria]],parametr[podkategoria],parametr[kategoria])</f>
        <v>życie</v>
      </c>
      <c r="H3881" t="str">
        <f>_xlfn.XLOOKUP(transakcje[[#This Row],[kategoria]],parametr[kategoria],parametr[typ])</f>
        <v>wydatki</v>
      </c>
      <c r="I3881" s="1">
        <f>ABS(transakcje[[#This Row],[kwota]])</f>
        <v>14.672000000000001</v>
      </c>
    </row>
    <row r="3882" spans="1:9" x14ac:dyDescent="0.3">
      <c r="A3882">
        <v>3881</v>
      </c>
      <c r="B3882">
        <v>2022</v>
      </c>
      <c r="C3882">
        <v>6</v>
      </c>
      <c r="D3882">
        <v>2</v>
      </c>
      <c r="E3882" s="1">
        <v>-29.994</v>
      </c>
      <c r="F3882" t="s">
        <v>26</v>
      </c>
      <c r="G3882" t="str">
        <f>_xlfn.XLOOKUP(transakcje[[#This Row],[podkategoria]],parametr[podkategoria],parametr[kategoria])</f>
        <v>życie</v>
      </c>
      <c r="H3882" t="str">
        <f>_xlfn.XLOOKUP(transakcje[[#This Row],[kategoria]],parametr[kategoria],parametr[typ])</f>
        <v>wydatki</v>
      </c>
      <c r="I3882" s="1">
        <f>ABS(transakcje[[#This Row],[kwota]])</f>
        <v>29.994</v>
      </c>
    </row>
    <row r="3883" spans="1:9" x14ac:dyDescent="0.3">
      <c r="A3883">
        <v>3882</v>
      </c>
      <c r="B3883">
        <v>2022</v>
      </c>
      <c r="C3883">
        <v>6</v>
      </c>
      <c r="D3883">
        <v>2</v>
      </c>
      <c r="E3883" s="1">
        <v>-0.04</v>
      </c>
      <c r="F3883" t="s">
        <v>14</v>
      </c>
      <c r="G3883" t="str">
        <f>_xlfn.XLOOKUP(transakcje[[#This Row],[podkategoria]],parametr[podkategoria],parametr[kategoria])</f>
        <v>opłaty stałe</v>
      </c>
      <c r="H3883" t="str">
        <f>_xlfn.XLOOKUP(transakcje[[#This Row],[kategoria]],parametr[kategoria],parametr[typ])</f>
        <v>wydatki</v>
      </c>
      <c r="I3883" s="1">
        <f>ABS(transakcje[[#This Row],[kwota]])</f>
        <v>0.04</v>
      </c>
    </row>
    <row r="3884" spans="1:9" x14ac:dyDescent="0.3">
      <c r="A3884">
        <v>3883</v>
      </c>
      <c r="B3884">
        <v>2022</v>
      </c>
      <c r="C3884">
        <v>6</v>
      </c>
      <c r="D3884">
        <v>3</v>
      </c>
      <c r="E3884" s="1">
        <v>-0.99</v>
      </c>
      <c r="F3884" t="s">
        <v>26</v>
      </c>
      <c r="G3884" t="str">
        <f>_xlfn.XLOOKUP(transakcje[[#This Row],[podkategoria]],parametr[podkategoria],parametr[kategoria])</f>
        <v>życie</v>
      </c>
      <c r="H3884" t="str">
        <f>_xlfn.XLOOKUP(transakcje[[#This Row],[kategoria]],parametr[kategoria],parametr[typ])</f>
        <v>wydatki</v>
      </c>
      <c r="I3884" s="1">
        <f>ABS(transakcje[[#This Row],[kwota]])</f>
        <v>0.99</v>
      </c>
    </row>
    <row r="3885" spans="1:9" x14ac:dyDescent="0.3">
      <c r="A3885">
        <v>3884</v>
      </c>
      <c r="B3885">
        <v>2022</v>
      </c>
      <c r="C3885">
        <v>6</v>
      </c>
      <c r="D3885">
        <v>4</v>
      </c>
      <c r="E3885" s="1">
        <v>-5.8</v>
      </c>
      <c r="F3885" t="s">
        <v>25</v>
      </c>
      <c r="G3885" t="str">
        <f>_xlfn.XLOOKUP(transakcje[[#This Row],[podkategoria]],parametr[podkategoria],parametr[kategoria])</f>
        <v>opłaty stałe</v>
      </c>
      <c r="H3885" t="str">
        <f>_xlfn.XLOOKUP(transakcje[[#This Row],[kategoria]],parametr[kategoria],parametr[typ])</f>
        <v>wydatki</v>
      </c>
      <c r="I3885" s="1">
        <f>ABS(transakcje[[#This Row],[kwota]])</f>
        <v>5.8</v>
      </c>
    </row>
    <row r="3886" spans="1:9" x14ac:dyDescent="0.3">
      <c r="A3886">
        <v>3885</v>
      </c>
      <c r="B3886">
        <v>2022</v>
      </c>
      <c r="C3886">
        <v>6</v>
      </c>
      <c r="D3886">
        <v>4</v>
      </c>
      <c r="E3886" s="1">
        <v>-7.38</v>
      </c>
      <c r="F3886" t="s">
        <v>23</v>
      </c>
      <c r="G3886" t="str">
        <f>_xlfn.XLOOKUP(transakcje[[#This Row],[podkategoria]],parametr[podkategoria],parametr[kategoria])</f>
        <v>opłaty stałe</v>
      </c>
      <c r="H3886" t="str">
        <f>_xlfn.XLOOKUP(transakcje[[#This Row],[kategoria]],parametr[kategoria],parametr[typ])</f>
        <v>wydatki</v>
      </c>
      <c r="I3886" s="1">
        <f>ABS(transakcje[[#This Row],[kwota]])</f>
        <v>7.38</v>
      </c>
    </row>
    <row r="3887" spans="1:9" x14ac:dyDescent="0.3">
      <c r="A3887">
        <v>3886</v>
      </c>
      <c r="B3887">
        <v>2022</v>
      </c>
      <c r="C3887">
        <v>6</v>
      </c>
      <c r="D3887">
        <v>4</v>
      </c>
      <c r="E3887" s="1">
        <v>-84.224000000000004</v>
      </c>
      <c r="F3887" t="s">
        <v>31</v>
      </c>
      <c r="G3887" t="str">
        <f>_xlfn.XLOOKUP(transakcje[[#This Row],[podkategoria]],parametr[podkategoria],parametr[kategoria])</f>
        <v>opłaty stałe</v>
      </c>
      <c r="H3887" t="str">
        <f>_xlfn.XLOOKUP(transakcje[[#This Row],[kategoria]],parametr[kategoria],parametr[typ])</f>
        <v>wydatki</v>
      </c>
      <c r="I3887" s="1">
        <f>ABS(transakcje[[#This Row],[kwota]])</f>
        <v>84.224000000000004</v>
      </c>
    </row>
    <row r="3888" spans="1:9" x14ac:dyDescent="0.3">
      <c r="A3888">
        <v>3887</v>
      </c>
      <c r="B3888">
        <v>2022</v>
      </c>
      <c r="C3888">
        <v>6</v>
      </c>
      <c r="D3888">
        <v>8</v>
      </c>
      <c r="E3888" s="1">
        <v>-20.344000000000001</v>
      </c>
      <c r="F3888" t="s">
        <v>26</v>
      </c>
      <c r="G3888" t="str">
        <f>_xlfn.XLOOKUP(transakcje[[#This Row],[podkategoria]],parametr[podkategoria],parametr[kategoria])</f>
        <v>życie</v>
      </c>
      <c r="H3888" t="str">
        <f>_xlfn.XLOOKUP(transakcje[[#This Row],[kategoria]],parametr[kategoria],parametr[typ])</f>
        <v>wydatki</v>
      </c>
      <c r="I3888" s="1">
        <f>ABS(transakcje[[#This Row],[kwota]])</f>
        <v>20.344000000000001</v>
      </c>
    </row>
    <row r="3889" spans="1:9" x14ac:dyDescent="0.3">
      <c r="A3889">
        <v>3888</v>
      </c>
      <c r="B3889">
        <v>2022</v>
      </c>
      <c r="C3889">
        <v>6</v>
      </c>
      <c r="D3889">
        <v>8</v>
      </c>
      <c r="E3889" s="1">
        <v>-0.44000000000000006</v>
      </c>
      <c r="F3889" t="s">
        <v>26</v>
      </c>
      <c r="G3889" t="str">
        <f>_xlfn.XLOOKUP(transakcje[[#This Row],[podkategoria]],parametr[podkategoria],parametr[kategoria])</f>
        <v>życie</v>
      </c>
      <c r="H3889" t="str">
        <f>_xlfn.XLOOKUP(transakcje[[#This Row],[kategoria]],parametr[kategoria],parametr[typ])</f>
        <v>wydatki</v>
      </c>
      <c r="I3889" s="1">
        <f>ABS(transakcje[[#This Row],[kwota]])</f>
        <v>0.44000000000000006</v>
      </c>
    </row>
    <row r="3890" spans="1:9" x14ac:dyDescent="0.3">
      <c r="A3890">
        <v>3889</v>
      </c>
      <c r="B3890">
        <v>2022</v>
      </c>
      <c r="C3890">
        <v>6</v>
      </c>
      <c r="D3890">
        <v>10</v>
      </c>
      <c r="E3890" s="1">
        <v>-4.782</v>
      </c>
      <c r="F3890" t="s">
        <v>26</v>
      </c>
      <c r="G3890" t="str">
        <f>_xlfn.XLOOKUP(transakcje[[#This Row],[podkategoria]],parametr[podkategoria],parametr[kategoria])</f>
        <v>życie</v>
      </c>
      <c r="H3890" t="str">
        <f>_xlfn.XLOOKUP(transakcje[[#This Row],[kategoria]],parametr[kategoria],parametr[typ])</f>
        <v>wydatki</v>
      </c>
      <c r="I3890" s="1">
        <f>ABS(transakcje[[#This Row],[kwota]])</f>
        <v>4.782</v>
      </c>
    </row>
    <row r="3891" spans="1:9" x14ac:dyDescent="0.3">
      <c r="A3891">
        <v>3890</v>
      </c>
      <c r="B3891">
        <v>2022</v>
      </c>
      <c r="C3891">
        <v>6</v>
      </c>
      <c r="D3891">
        <v>10</v>
      </c>
      <c r="E3891" s="1">
        <v>-0.87799999999999989</v>
      </c>
      <c r="F3891" t="s">
        <v>26</v>
      </c>
      <c r="G3891" t="str">
        <f>_xlfn.XLOOKUP(transakcje[[#This Row],[podkategoria]],parametr[podkategoria],parametr[kategoria])</f>
        <v>życie</v>
      </c>
      <c r="H3891" t="str">
        <f>_xlfn.XLOOKUP(transakcje[[#This Row],[kategoria]],parametr[kategoria],parametr[typ])</f>
        <v>wydatki</v>
      </c>
      <c r="I3891" s="1">
        <f>ABS(transakcje[[#This Row],[kwota]])</f>
        <v>0.87799999999999989</v>
      </c>
    </row>
    <row r="3892" spans="1:9" x14ac:dyDescent="0.3">
      <c r="A3892">
        <v>3891</v>
      </c>
      <c r="B3892">
        <v>2022</v>
      </c>
      <c r="C3892">
        <v>6</v>
      </c>
      <c r="D3892">
        <v>13</v>
      </c>
      <c r="E3892" s="1">
        <v>-20.494</v>
      </c>
      <c r="F3892" t="s">
        <v>11</v>
      </c>
      <c r="G3892" t="str">
        <f>_xlfn.XLOOKUP(transakcje[[#This Row],[podkategoria]],parametr[podkategoria],parametr[kategoria])</f>
        <v>wydatki inne</v>
      </c>
      <c r="H3892" t="str">
        <f>_xlfn.XLOOKUP(transakcje[[#This Row],[kategoria]],parametr[kategoria],parametr[typ])</f>
        <v>wydatki</v>
      </c>
      <c r="I3892" s="1">
        <f>ABS(transakcje[[#This Row],[kwota]])</f>
        <v>20.494</v>
      </c>
    </row>
    <row r="3893" spans="1:9" x14ac:dyDescent="0.3">
      <c r="A3893">
        <v>3892</v>
      </c>
      <c r="B3893">
        <v>2022</v>
      </c>
      <c r="C3893">
        <v>6</v>
      </c>
      <c r="D3893">
        <v>13</v>
      </c>
      <c r="E3893" s="1">
        <v>-1.7559999999999998</v>
      </c>
      <c r="F3893" t="s">
        <v>26</v>
      </c>
      <c r="G3893" t="str">
        <f>_xlfn.XLOOKUP(transakcje[[#This Row],[podkategoria]],parametr[podkategoria],parametr[kategoria])</f>
        <v>życie</v>
      </c>
      <c r="H3893" t="str">
        <f>_xlfn.XLOOKUP(transakcje[[#This Row],[kategoria]],parametr[kategoria],parametr[typ])</f>
        <v>wydatki</v>
      </c>
      <c r="I3893" s="1">
        <f>ABS(transakcje[[#This Row],[kwota]])</f>
        <v>1.7559999999999998</v>
      </c>
    </row>
    <row r="3894" spans="1:9" x14ac:dyDescent="0.3">
      <c r="A3894">
        <v>3893</v>
      </c>
      <c r="B3894">
        <v>2022</v>
      </c>
      <c r="C3894">
        <v>6</v>
      </c>
      <c r="D3894">
        <v>15</v>
      </c>
      <c r="E3894" s="1">
        <v>-11.166</v>
      </c>
      <c r="F3894" t="s">
        <v>26</v>
      </c>
      <c r="G3894" t="str">
        <f>_xlfn.XLOOKUP(transakcje[[#This Row],[podkategoria]],parametr[podkategoria],parametr[kategoria])</f>
        <v>życie</v>
      </c>
      <c r="H3894" t="str">
        <f>_xlfn.XLOOKUP(transakcje[[#This Row],[kategoria]],parametr[kategoria],parametr[typ])</f>
        <v>wydatki</v>
      </c>
      <c r="I3894" s="1">
        <f>ABS(transakcje[[#This Row],[kwota]])</f>
        <v>11.166</v>
      </c>
    </row>
    <row r="3895" spans="1:9" x14ac:dyDescent="0.3">
      <c r="A3895">
        <v>3894</v>
      </c>
      <c r="B3895">
        <v>2022</v>
      </c>
      <c r="C3895">
        <v>6</v>
      </c>
      <c r="D3895">
        <v>15</v>
      </c>
      <c r="E3895" s="1">
        <v>-0.2</v>
      </c>
      <c r="F3895" t="s">
        <v>14</v>
      </c>
      <c r="G3895" t="str">
        <f>_xlfn.XLOOKUP(transakcje[[#This Row],[podkategoria]],parametr[podkategoria],parametr[kategoria])</f>
        <v>opłaty stałe</v>
      </c>
      <c r="H3895" t="str">
        <f>_xlfn.XLOOKUP(transakcje[[#This Row],[kategoria]],parametr[kategoria],parametr[typ])</f>
        <v>wydatki</v>
      </c>
      <c r="I3895" s="1">
        <f>ABS(transakcje[[#This Row],[kwota]])</f>
        <v>0.2</v>
      </c>
    </row>
    <row r="3896" spans="1:9" x14ac:dyDescent="0.3">
      <c r="A3896">
        <v>3895</v>
      </c>
      <c r="B3896">
        <v>2022</v>
      </c>
      <c r="C3896">
        <v>6</v>
      </c>
      <c r="D3896">
        <v>17</v>
      </c>
      <c r="E3896" s="1">
        <v>305.25</v>
      </c>
      <c r="F3896" t="s">
        <v>19</v>
      </c>
      <c r="G3896" t="str">
        <f>_xlfn.XLOOKUP(transakcje[[#This Row],[podkategoria]],parametr[podkategoria],parametr[kategoria])</f>
        <v>dochody z pracy</v>
      </c>
      <c r="H3896" t="str">
        <f>_xlfn.XLOOKUP(transakcje[[#This Row],[kategoria]],parametr[kategoria],parametr[typ])</f>
        <v>dochody</v>
      </c>
      <c r="I3896" s="1">
        <f>ABS(transakcje[[#This Row],[kwota]])</f>
        <v>305.25</v>
      </c>
    </row>
    <row r="3897" spans="1:9" x14ac:dyDescent="0.3">
      <c r="A3897">
        <v>3896</v>
      </c>
      <c r="B3897">
        <v>2022</v>
      </c>
      <c r="C3897">
        <v>6</v>
      </c>
      <c r="D3897">
        <v>18</v>
      </c>
      <c r="E3897" s="1">
        <v>-16.119999999999997</v>
      </c>
      <c r="F3897" t="s">
        <v>34</v>
      </c>
      <c r="G3897" t="str">
        <f>_xlfn.XLOOKUP(transakcje[[#This Row],[podkategoria]],parametr[podkategoria],parametr[kategoria])</f>
        <v>opłaty stałe</v>
      </c>
      <c r="H3897" t="str">
        <f>_xlfn.XLOOKUP(transakcje[[#This Row],[kategoria]],parametr[kategoria],parametr[typ])</f>
        <v>wydatki</v>
      </c>
      <c r="I3897" s="1">
        <f>ABS(transakcje[[#This Row],[kwota]])</f>
        <v>16.119999999999997</v>
      </c>
    </row>
    <row r="3898" spans="1:9" x14ac:dyDescent="0.3">
      <c r="A3898">
        <v>3897</v>
      </c>
      <c r="B3898">
        <v>2022</v>
      </c>
      <c r="C3898">
        <v>6</v>
      </c>
      <c r="D3898">
        <v>21</v>
      </c>
      <c r="E3898" s="1">
        <v>-30.574000000000002</v>
      </c>
      <c r="F3898" t="s">
        <v>11</v>
      </c>
      <c r="G3898" t="str">
        <f>_xlfn.XLOOKUP(transakcje[[#This Row],[podkategoria]],parametr[podkategoria],parametr[kategoria])</f>
        <v>wydatki inne</v>
      </c>
      <c r="H3898" t="str">
        <f>_xlfn.XLOOKUP(transakcje[[#This Row],[kategoria]],parametr[kategoria],parametr[typ])</f>
        <v>wydatki</v>
      </c>
      <c r="I3898" s="1">
        <f>ABS(transakcje[[#This Row],[kwota]])</f>
        <v>30.574000000000002</v>
      </c>
    </row>
    <row r="3899" spans="1:9" x14ac:dyDescent="0.3">
      <c r="A3899">
        <v>3898</v>
      </c>
      <c r="B3899">
        <v>2022</v>
      </c>
      <c r="C3899">
        <v>6</v>
      </c>
      <c r="D3899">
        <v>21</v>
      </c>
      <c r="E3899" s="1">
        <v>-24.48</v>
      </c>
      <c r="F3899" t="s">
        <v>11</v>
      </c>
      <c r="G3899" t="str">
        <f>_xlfn.XLOOKUP(transakcje[[#This Row],[podkategoria]],parametr[podkategoria],parametr[kategoria])</f>
        <v>wydatki inne</v>
      </c>
      <c r="H3899" t="str">
        <f>_xlfn.XLOOKUP(transakcje[[#This Row],[kategoria]],parametr[kategoria],parametr[typ])</f>
        <v>wydatki</v>
      </c>
      <c r="I3899" s="1">
        <f>ABS(transakcje[[#This Row],[kwota]])</f>
        <v>24.48</v>
      </c>
    </row>
    <row r="3900" spans="1:9" x14ac:dyDescent="0.3">
      <c r="A3900">
        <v>3899</v>
      </c>
      <c r="B3900">
        <v>2022</v>
      </c>
      <c r="C3900">
        <v>6</v>
      </c>
      <c r="D3900">
        <v>22</v>
      </c>
      <c r="E3900" s="1">
        <v>-4.516</v>
      </c>
      <c r="F3900" t="s">
        <v>26</v>
      </c>
      <c r="G3900" t="str">
        <f>_xlfn.XLOOKUP(transakcje[[#This Row],[podkategoria]],parametr[podkategoria],parametr[kategoria])</f>
        <v>życie</v>
      </c>
      <c r="H3900" t="str">
        <f>_xlfn.XLOOKUP(transakcje[[#This Row],[kategoria]],parametr[kategoria],parametr[typ])</f>
        <v>wydatki</v>
      </c>
      <c r="I3900" s="1">
        <f>ABS(transakcje[[#This Row],[kwota]])</f>
        <v>4.516</v>
      </c>
    </row>
    <row r="3901" spans="1:9" x14ac:dyDescent="0.3">
      <c r="A3901">
        <v>3900</v>
      </c>
      <c r="B3901">
        <v>2022</v>
      </c>
      <c r="C3901">
        <v>6</v>
      </c>
      <c r="D3901">
        <v>22</v>
      </c>
      <c r="E3901" s="1">
        <v>-1.748</v>
      </c>
      <c r="F3901" t="s">
        <v>26</v>
      </c>
      <c r="G3901" t="str">
        <f>_xlfn.XLOOKUP(transakcje[[#This Row],[podkategoria]],parametr[podkategoria],parametr[kategoria])</f>
        <v>życie</v>
      </c>
      <c r="H3901" t="str">
        <f>_xlfn.XLOOKUP(transakcje[[#This Row],[kategoria]],parametr[kategoria],parametr[typ])</f>
        <v>wydatki</v>
      </c>
      <c r="I3901" s="1">
        <f>ABS(transakcje[[#This Row],[kwota]])</f>
        <v>1.748</v>
      </c>
    </row>
    <row r="3902" spans="1:9" x14ac:dyDescent="0.3">
      <c r="A3902">
        <v>3901</v>
      </c>
      <c r="B3902">
        <v>2022</v>
      </c>
      <c r="C3902">
        <v>6</v>
      </c>
      <c r="D3902">
        <v>23</v>
      </c>
      <c r="E3902" s="1">
        <v>-28.648000000000003</v>
      </c>
      <c r="F3902" t="s">
        <v>11</v>
      </c>
      <c r="G3902" t="str">
        <f>_xlfn.XLOOKUP(transakcje[[#This Row],[podkategoria]],parametr[podkategoria],parametr[kategoria])</f>
        <v>wydatki inne</v>
      </c>
      <c r="H3902" t="str">
        <f>_xlfn.XLOOKUP(transakcje[[#This Row],[kategoria]],parametr[kategoria],parametr[typ])</f>
        <v>wydatki</v>
      </c>
      <c r="I3902" s="1">
        <f>ABS(transakcje[[#This Row],[kwota]])</f>
        <v>28.648000000000003</v>
      </c>
    </row>
    <row r="3903" spans="1:9" x14ac:dyDescent="0.3">
      <c r="A3903">
        <v>3902</v>
      </c>
      <c r="B3903">
        <v>2022</v>
      </c>
      <c r="C3903">
        <v>6</v>
      </c>
      <c r="D3903">
        <v>24</v>
      </c>
      <c r="E3903" s="1">
        <v>-12.866</v>
      </c>
      <c r="F3903" t="s">
        <v>26</v>
      </c>
      <c r="G3903" t="str">
        <f>_xlfn.XLOOKUP(transakcje[[#This Row],[podkategoria]],parametr[podkategoria],parametr[kategoria])</f>
        <v>życie</v>
      </c>
      <c r="H3903" t="str">
        <f>_xlfn.XLOOKUP(transakcje[[#This Row],[kategoria]],parametr[kategoria],parametr[typ])</f>
        <v>wydatki</v>
      </c>
      <c r="I3903" s="1">
        <f>ABS(transakcje[[#This Row],[kwota]])</f>
        <v>12.866</v>
      </c>
    </row>
    <row r="3904" spans="1:9" x14ac:dyDescent="0.3">
      <c r="A3904">
        <v>3903</v>
      </c>
      <c r="B3904">
        <v>2022</v>
      </c>
      <c r="C3904">
        <v>6</v>
      </c>
      <c r="D3904">
        <v>27</v>
      </c>
      <c r="E3904" s="1">
        <v>813.47199999999998</v>
      </c>
      <c r="F3904" t="s">
        <v>8</v>
      </c>
      <c r="G3904" t="str">
        <f>_xlfn.XLOOKUP(transakcje[[#This Row],[podkategoria]],parametr[podkategoria],parametr[kategoria])</f>
        <v>dochody z pracy</v>
      </c>
      <c r="H3904" t="str">
        <f>_xlfn.XLOOKUP(transakcje[[#This Row],[kategoria]],parametr[kategoria],parametr[typ])</f>
        <v>dochody</v>
      </c>
      <c r="I3904" s="1">
        <f>ABS(transakcje[[#This Row],[kwota]])</f>
        <v>813.47199999999998</v>
      </c>
    </row>
    <row r="3905" spans="1:9" x14ac:dyDescent="0.3">
      <c r="A3905">
        <v>3904</v>
      </c>
      <c r="B3905">
        <v>2022</v>
      </c>
      <c r="C3905">
        <v>6</v>
      </c>
      <c r="D3905">
        <v>27</v>
      </c>
      <c r="E3905" s="1">
        <v>-25.247999999999998</v>
      </c>
      <c r="F3905" t="s">
        <v>32</v>
      </c>
      <c r="G3905" t="str">
        <f>_xlfn.XLOOKUP(transakcje[[#This Row],[podkategoria]],parametr[podkategoria],parametr[kategoria])</f>
        <v>opłaty stałe</v>
      </c>
      <c r="H3905" t="str">
        <f>_xlfn.XLOOKUP(transakcje[[#This Row],[kategoria]],parametr[kategoria],parametr[typ])</f>
        <v>wydatki</v>
      </c>
      <c r="I3905" s="1">
        <f>ABS(transakcje[[#This Row],[kwota]])</f>
        <v>25.247999999999998</v>
      </c>
    </row>
    <row r="3906" spans="1:9" x14ac:dyDescent="0.3">
      <c r="A3906">
        <v>3905</v>
      </c>
      <c r="B3906">
        <v>2022</v>
      </c>
      <c r="C3906">
        <v>6</v>
      </c>
      <c r="D3906">
        <v>28</v>
      </c>
      <c r="E3906" s="1">
        <v>-0.87799999999999989</v>
      </c>
      <c r="F3906" t="s">
        <v>26</v>
      </c>
      <c r="G3906" t="str">
        <f>_xlfn.XLOOKUP(transakcje[[#This Row],[podkategoria]],parametr[podkategoria],parametr[kategoria])</f>
        <v>życie</v>
      </c>
      <c r="H3906" t="str">
        <f>_xlfn.XLOOKUP(transakcje[[#This Row],[kategoria]],parametr[kategoria],parametr[typ])</f>
        <v>wydatki</v>
      </c>
      <c r="I3906" s="1">
        <f>ABS(transakcje[[#This Row],[kwota]])</f>
        <v>0.87799999999999989</v>
      </c>
    </row>
    <row r="3907" spans="1:9" x14ac:dyDescent="0.3">
      <c r="A3907">
        <v>3906</v>
      </c>
      <c r="B3907">
        <v>2022</v>
      </c>
      <c r="C3907">
        <v>6</v>
      </c>
      <c r="D3907">
        <v>30</v>
      </c>
      <c r="E3907" s="1">
        <v>-2E-3</v>
      </c>
      <c r="F3907" t="s">
        <v>14</v>
      </c>
      <c r="G3907" t="str">
        <f>_xlfn.XLOOKUP(transakcje[[#This Row],[podkategoria]],parametr[podkategoria],parametr[kategoria])</f>
        <v>opłaty stałe</v>
      </c>
      <c r="H3907" t="str">
        <f>_xlfn.XLOOKUP(transakcje[[#This Row],[kategoria]],parametr[kategoria],parametr[typ])</f>
        <v>wydatki</v>
      </c>
      <c r="I3907" s="1">
        <f>ABS(transakcje[[#This Row],[kwota]])</f>
        <v>2E-3</v>
      </c>
    </row>
    <row r="3908" spans="1:9" x14ac:dyDescent="0.3">
      <c r="A3908">
        <v>3907</v>
      </c>
      <c r="B3908">
        <v>2022</v>
      </c>
      <c r="C3908">
        <v>6</v>
      </c>
      <c r="D3908">
        <v>30</v>
      </c>
      <c r="E3908" s="1">
        <v>-1.4</v>
      </c>
      <c r="F3908" t="s">
        <v>14</v>
      </c>
      <c r="G3908" t="str">
        <f>_xlfn.XLOOKUP(transakcje[[#This Row],[podkategoria]],parametr[podkategoria],parametr[kategoria])</f>
        <v>opłaty stałe</v>
      </c>
      <c r="H3908" t="str">
        <f>_xlfn.XLOOKUP(transakcje[[#This Row],[kategoria]],parametr[kategoria],parametr[typ])</f>
        <v>wydatki</v>
      </c>
      <c r="I3908" s="1">
        <f>ABS(transakcje[[#This Row],[kwota]])</f>
        <v>1.4</v>
      </c>
    </row>
    <row r="3909" spans="1:9" x14ac:dyDescent="0.3">
      <c r="A3909">
        <v>3908</v>
      </c>
      <c r="B3909">
        <v>2022</v>
      </c>
      <c r="C3909">
        <v>6</v>
      </c>
      <c r="D3909">
        <v>30</v>
      </c>
      <c r="E3909" s="1">
        <v>-6.0020000000000007</v>
      </c>
      <c r="F3909" t="s">
        <v>26</v>
      </c>
      <c r="G3909" t="str">
        <f>_xlfn.XLOOKUP(transakcje[[#This Row],[podkategoria]],parametr[podkategoria],parametr[kategoria])</f>
        <v>życie</v>
      </c>
      <c r="H3909" t="str">
        <f>_xlfn.XLOOKUP(transakcje[[#This Row],[kategoria]],parametr[kategoria],parametr[typ])</f>
        <v>wydatki</v>
      </c>
      <c r="I3909" s="1">
        <f>ABS(transakcje[[#This Row],[kwota]])</f>
        <v>6.0020000000000007</v>
      </c>
    </row>
    <row r="3910" spans="1:9" x14ac:dyDescent="0.3">
      <c r="A3910">
        <v>3909</v>
      </c>
      <c r="B3910">
        <v>2022</v>
      </c>
      <c r="C3910">
        <v>6</v>
      </c>
      <c r="D3910">
        <v>30</v>
      </c>
      <c r="E3910" s="1">
        <v>-9.2759999999999998</v>
      </c>
      <c r="F3910" t="s">
        <v>26</v>
      </c>
      <c r="G3910" t="str">
        <f>_xlfn.XLOOKUP(transakcje[[#This Row],[podkategoria]],parametr[podkategoria],parametr[kategoria])</f>
        <v>życie</v>
      </c>
      <c r="H3910" t="str">
        <f>_xlfn.XLOOKUP(transakcje[[#This Row],[kategoria]],parametr[kategoria],parametr[typ])</f>
        <v>wydatki</v>
      </c>
      <c r="I3910" s="1">
        <f>ABS(transakcje[[#This Row],[kwota]])</f>
        <v>9.2759999999999998</v>
      </c>
    </row>
    <row r="3911" spans="1:9" x14ac:dyDescent="0.3">
      <c r="A3911">
        <v>3910</v>
      </c>
      <c r="B3911">
        <v>2022</v>
      </c>
      <c r="C3911">
        <v>6</v>
      </c>
      <c r="D3911">
        <v>30</v>
      </c>
      <c r="E3911" s="1">
        <v>6.0000000000000001E-3</v>
      </c>
      <c r="F3911" t="s">
        <v>17</v>
      </c>
      <c r="G3911" t="str">
        <f>_xlfn.XLOOKUP(transakcje[[#This Row],[podkategoria]],parametr[podkategoria],parametr[kategoria])</f>
        <v>dochody pozostałe</v>
      </c>
      <c r="H3911" t="str">
        <f>_xlfn.XLOOKUP(transakcje[[#This Row],[kategoria]],parametr[kategoria],parametr[typ])</f>
        <v>dochody</v>
      </c>
      <c r="I3911" s="1">
        <f>ABS(transakcje[[#This Row],[kwota]])</f>
        <v>6.0000000000000001E-3</v>
      </c>
    </row>
    <row r="3912" spans="1:9" x14ac:dyDescent="0.3">
      <c r="A3912">
        <v>3911</v>
      </c>
      <c r="B3912">
        <v>2022</v>
      </c>
      <c r="C3912">
        <v>7</v>
      </c>
      <c r="D3912">
        <v>1</v>
      </c>
      <c r="E3912" s="1">
        <v>-6.4580000000000002</v>
      </c>
      <c r="F3912" t="s">
        <v>26</v>
      </c>
      <c r="G3912" t="str">
        <f>_xlfn.XLOOKUP(transakcje[[#This Row],[podkategoria]],parametr[podkategoria],parametr[kategoria])</f>
        <v>życie</v>
      </c>
      <c r="H3912" t="str">
        <f>_xlfn.XLOOKUP(transakcje[[#This Row],[kategoria]],parametr[kategoria],parametr[typ])</f>
        <v>wydatki</v>
      </c>
      <c r="I3912" s="1">
        <f>ABS(transakcje[[#This Row],[kwota]])</f>
        <v>6.4580000000000002</v>
      </c>
    </row>
    <row r="3913" spans="1:9" x14ac:dyDescent="0.3">
      <c r="A3913">
        <v>3912</v>
      </c>
      <c r="B3913">
        <v>2022</v>
      </c>
      <c r="C3913">
        <v>7</v>
      </c>
      <c r="D3913">
        <v>2</v>
      </c>
      <c r="E3913" s="1">
        <v>-5.798</v>
      </c>
      <c r="F3913" t="s">
        <v>14</v>
      </c>
      <c r="G3913" t="str">
        <f>_xlfn.XLOOKUP(transakcje[[#This Row],[podkategoria]],parametr[podkategoria],parametr[kategoria])</f>
        <v>opłaty stałe</v>
      </c>
      <c r="H3913" t="str">
        <f>_xlfn.XLOOKUP(transakcje[[#This Row],[kategoria]],parametr[kategoria],parametr[typ])</f>
        <v>wydatki</v>
      </c>
      <c r="I3913" s="1">
        <f>ABS(transakcje[[#This Row],[kwota]])</f>
        <v>5.798</v>
      </c>
    </row>
    <row r="3914" spans="1:9" x14ac:dyDescent="0.3">
      <c r="A3914">
        <v>3913</v>
      </c>
      <c r="B3914">
        <v>2022</v>
      </c>
      <c r="C3914">
        <v>7</v>
      </c>
      <c r="D3914">
        <v>2</v>
      </c>
      <c r="E3914" s="1">
        <v>-7.38</v>
      </c>
      <c r="F3914" t="s">
        <v>23</v>
      </c>
      <c r="G3914" t="str">
        <f>_xlfn.XLOOKUP(transakcje[[#This Row],[podkategoria]],parametr[podkategoria],parametr[kategoria])</f>
        <v>opłaty stałe</v>
      </c>
      <c r="H3914" t="str">
        <f>_xlfn.XLOOKUP(transakcje[[#This Row],[kategoria]],parametr[kategoria],parametr[typ])</f>
        <v>wydatki</v>
      </c>
      <c r="I3914" s="1">
        <f>ABS(transakcje[[#This Row],[kwota]])</f>
        <v>7.38</v>
      </c>
    </row>
    <row r="3915" spans="1:9" x14ac:dyDescent="0.3">
      <c r="A3915">
        <v>3914</v>
      </c>
      <c r="B3915">
        <v>2022</v>
      </c>
      <c r="C3915">
        <v>7</v>
      </c>
      <c r="D3915">
        <v>2</v>
      </c>
      <c r="E3915" s="1">
        <v>-84.224000000000004</v>
      </c>
      <c r="F3915" t="s">
        <v>31</v>
      </c>
      <c r="G3915" t="str">
        <f>_xlfn.XLOOKUP(transakcje[[#This Row],[podkategoria]],parametr[podkategoria],parametr[kategoria])</f>
        <v>opłaty stałe</v>
      </c>
      <c r="H3915" t="str">
        <f>_xlfn.XLOOKUP(transakcje[[#This Row],[kategoria]],parametr[kategoria],parametr[typ])</f>
        <v>wydatki</v>
      </c>
      <c r="I3915" s="1">
        <f>ABS(transakcje[[#This Row],[kwota]])</f>
        <v>84.224000000000004</v>
      </c>
    </row>
    <row r="3916" spans="1:9" x14ac:dyDescent="0.3">
      <c r="A3916">
        <v>3915</v>
      </c>
      <c r="B3916">
        <v>2022</v>
      </c>
      <c r="C3916">
        <v>7</v>
      </c>
      <c r="D3916">
        <v>2</v>
      </c>
      <c r="E3916" s="1">
        <v>-9.4920000000000009</v>
      </c>
      <c r="F3916" t="s">
        <v>35</v>
      </c>
      <c r="G3916" t="str">
        <f>_xlfn.XLOOKUP(transakcje[[#This Row],[podkategoria]],parametr[podkategoria],parametr[kategoria])</f>
        <v>opłaty stałe</v>
      </c>
      <c r="H3916" t="str">
        <f>_xlfn.XLOOKUP(transakcje[[#This Row],[kategoria]],parametr[kategoria],parametr[typ])</f>
        <v>wydatki</v>
      </c>
      <c r="I3916" s="1">
        <f>ABS(transakcje[[#This Row],[kwota]])</f>
        <v>9.4920000000000009</v>
      </c>
    </row>
    <row r="3917" spans="1:9" x14ac:dyDescent="0.3">
      <c r="A3917">
        <v>3916</v>
      </c>
      <c r="B3917">
        <v>2022</v>
      </c>
      <c r="C3917">
        <v>7</v>
      </c>
      <c r="D3917">
        <v>2</v>
      </c>
      <c r="E3917" s="1">
        <v>-5.8</v>
      </c>
      <c r="F3917" t="s">
        <v>25</v>
      </c>
      <c r="G3917" t="str">
        <f>_xlfn.XLOOKUP(transakcje[[#This Row],[podkategoria]],parametr[podkategoria],parametr[kategoria])</f>
        <v>opłaty stałe</v>
      </c>
      <c r="H3917" t="str">
        <f>_xlfn.XLOOKUP(transakcje[[#This Row],[kategoria]],parametr[kategoria],parametr[typ])</f>
        <v>wydatki</v>
      </c>
      <c r="I3917" s="1">
        <f>ABS(transakcje[[#This Row],[kwota]])</f>
        <v>5.8</v>
      </c>
    </row>
    <row r="3918" spans="1:9" x14ac:dyDescent="0.3">
      <c r="A3918">
        <v>3917</v>
      </c>
      <c r="B3918">
        <v>2022</v>
      </c>
      <c r="C3918">
        <v>7</v>
      </c>
      <c r="D3918">
        <v>8</v>
      </c>
      <c r="E3918" s="1">
        <v>-7.3340000000000005</v>
      </c>
      <c r="F3918" t="s">
        <v>26</v>
      </c>
      <c r="G3918" t="str">
        <f>_xlfn.XLOOKUP(transakcje[[#This Row],[podkategoria]],parametr[podkategoria],parametr[kategoria])</f>
        <v>życie</v>
      </c>
      <c r="H3918" t="str">
        <f>_xlfn.XLOOKUP(transakcje[[#This Row],[kategoria]],parametr[kategoria],parametr[typ])</f>
        <v>wydatki</v>
      </c>
      <c r="I3918" s="1">
        <f>ABS(transakcje[[#This Row],[kwota]])</f>
        <v>7.3340000000000005</v>
      </c>
    </row>
    <row r="3919" spans="1:9" x14ac:dyDescent="0.3">
      <c r="A3919">
        <v>3918</v>
      </c>
      <c r="B3919">
        <v>2022</v>
      </c>
      <c r="C3919">
        <v>7</v>
      </c>
      <c r="D3919">
        <v>12</v>
      </c>
      <c r="E3919" s="1">
        <v>-0.87799999999999989</v>
      </c>
      <c r="F3919" t="s">
        <v>26</v>
      </c>
      <c r="G3919" t="str">
        <f>_xlfn.XLOOKUP(transakcje[[#This Row],[podkategoria]],parametr[podkategoria],parametr[kategoria])</f>
        <v>życie</v>
      </c>
      <c r="H3919" t="str">
        <f>_xlfn.XLOOKUP(transakcje[[#This Row],[kategoria]],parametr[kategoria],parametr[typ])</f>
        <v>wydatki</v>
      </c>
      <c r="I3919" s="1">
        <f>ABS(transakcje[[#This Row],[kwota]])</f>
        <v>0.87799999999999989</v>
      </c>
    </row>
    <row r="3920" spans="1:9" x14ac:dyDescent="0.3">
      <c r="A3920">
        <v>3919</v>
      </c>
      <c r="B3920">
        <v>2022</v>
      </c>
      <c r="C3920">
        <v>7</v>
      </c>
      <c r="D3920">
        <v>12</v>
      </c>
      <c r="E3920" s="1">
        <v>-16.336000000000002</v>
      </c>
      <c r="F3920" t="s">
        <v>26</v>
      </c>
      <c r="G3920" t="str">
        <f>_xlfn.XLOOKUP(transakcje[[#This Row],[podkategoria]],parametr[podkategoria],parametr[kategoria])</f>
        <v>życie</v>
      </c>
      <c r="H3920" t="str">
        <f>_xlfn.XLOOKUP(transakcje[[#This Row],[kategoria]],parametr[kategoria],parametr[typ])</f>
        <v>wydatki</v>
      </c>
      <c r="I3920" s="1">
        <f>ABS(transakcje[[#This Row],[kwota]])</f>
        <v>16.336000000000002</v>
      </c>
    </row>
    <row r="3921" spans="1:9" x14ac:dyDescent="0.3">
      <c r="A3921">
        <v>3920</v>
      </c>
      <c r="B3921">
        <v>2022</v>
      </c>
      <c r="C3921">
        <v>7</v>
      </c>
      <c r="D3921">
        <v>13</v>
      </c>
      <c r="E3921" s="1">
        <v>-0.85</v>
      </c>
      <c r="F3921" t="s">
        <v>26</v>
      </c>
      <c r="G3921" t="str">
        <f>_xlfn.XLOOKUP(transakcje[[#This Row],[podkategoria]],parametr[podkategoria],parametr[kategoria])</f>
        <v>życie</v>
      </c>
      <c r="H3921" t="str">
        <f>_xlfn.XLOOKUP(transakcje[[#This Row],[kategoria]],parametr[kategoria],parametr[typ])</f>
        <v>wydatki</v>
      </c>
      <c r="I3921" s="1">
        <f>ABS(transakcje[[#This Row],[kwota]])</f>
        <v>0.85</v>
      </c>
    </row>
    <row r="3922" spans="1:9" x14ac:dyDescent="0.3">
      <c r="A3922">
        <v>3921</v>
      </c>
      <c r="B3922">
        <v>2022</v>
      </c>
      <c r="C3922">
        <v>7</v>
      </c>
      <c r="D3922">
        <v>14</v>
      </c>
      <c r="E3922" s="1">
        <v>-4.194</v>
      </c>
      <c r="F3922" t="s">
        <v>26</v>
      </c>
      <c r="G3922" t="str">
        <f>_xlfn.XLOOKUP(transakcje[[#This Row],[podkategoria]],parametr[podkategoria],parametr[kategoria])</f>
        <v>życie</v>
      </c>
      <c r="H3922" t="str">
        <f>_xlfn.XLOOKUP(transakcje[[#This Row],[kategoria]],parametr[kategoria],parametr[typ])</f>
        <v>wydatki</v>
      </c>
      <c r="I3922" s="1">
        <f>ABS(transakcje[[#This Row],[kwota]])</f>
        <v>4.194</v>
      </c>
    </row>
    <row r="3923" spans="1:9" x14ac:dyDescent="0.3">
      <c r="A3923">
        <v>3922</v>
      </c>
      <c r="B3923">
        <v>2022</v>
      </c>
      <c r="C3923">
        <v>7</v>
      </c>
      <c r="D3923">
        <v>15</v>
      </c>
      <c r="E3923" s="1">
        <v>-1.9600000000000002</v>
      </c>
      <c r="F3923" t="s">
        <v>26</v>
      </c>
      <c r="G3923" t="str">
        <f>_xlfn.XLOOKUP(transakcje[[#This Row],[podkategoria]],parametr[podkategoria],parametr[kategoria])</f>
        <v>życie</v>
      </c>
      <c r="H3923" t="str">
        <f>_xlfn.XLOOKUP(transakcje[[#This Row],[kategoria]],parametr[kategoria],parametr[typ])</f>
        <v>wydatki</v>
      </c>
      <c r="I3923" s="1">
        <f>ABS(transakcje[[#This Row],[kwota]])</f>
        <v>1.9600000000000002</v>
      </c>
    </row>
    <row r="3924" spans="1:9" x14ac:dyDescent="0.3">
      <c r="A3924">
        <v>3923</v>
      </c>
      <c r="B3924">
        <v>2022</v>
      </c>
      <c r="C3924">
        <v>7</v>
      </c>
      <c r="D3924">
        <v>15</v>
      </c>
      <c r="E3924" s="1">
        <v>-0.87799999999999989</v>
      </c>
      <c r="F3924" t="s">
        <v>26</v>
      </c>
      <c r="G3924" t="str">
        <f>_xlfn.XLOOKUP(transakcje[[#This Row],[podkategoria]],parametr[podkategoria],parametr[kategoria])</f>
        <v>życie</v>
      </c>
      <c r="H3924" t="str">
        <f>_xlfn.XLOOKUP(transakcje[[#This Row],[kategoria]],parametr[kategoria],parametr[typ])</f>
        <v>wydatki</v>
      </c>
      <c r="I3924" s="1">
        <f>ABS(transakcje[[#This Row],[kwota]])</f>
        <v>0.87799999999999989</v>
      </c>
    </row>
    <row r="3925" spans="1:9" x14ac:dyDescent="0.3">
      <c r="A3925">
        <v>3924</v>
      </c>
      <c r="B3925">
        <v>2022</v>
      </c>
      <c r="C3925">
        <v>7</v>
      </c>
      <c r="D3925">
        <v>19</v>
      </c>
      <c r="E3925" s="1">
        <v>-5.0140000000000002</v>
      </c>
      <c r="F3925" t="s">
        <v>26</v>
      </c>
      <c r="G3925" t="str">
        <f>_xlfn.XLOOKUP(transakcje[[#This Row],[podkategoria]],parametr[podkategoria],parametr[kategoria])</f>
        <v>życie</v>
      </c>
      <c r="H3925" t="str">
        <f>_xlfn.XLOOKUP(transakcje[[#This Row],[kategoria]],parametr[kategoria],parametr[typ])</f>
        <v>wydatki</v>
      </c>
      <c r="I3925" s="1">
        <f>ABS(transakcje[[#This Row],[kwota]])</f>
        <v>5.0140000000000002</v>
      </c>
    </row>
    <row r="3926" spans="1:9" x14ac:dyDescent="0.3">
      <c r="A3926">
        <v>3925</v>
      </c>
      <c r="B3926">
        <v>2022</v>
      </c>
      <c r="C3926">
        <v>7</v>
      </c>
      <c r="D3926">
        <v>19</v>
      </c>
      <c r="E3926" s="1">
        <v>-0.2</v>
      </c>
      <c r="F3926" t="s">
        <v>14</v>
      </c>
      <c r="G3926" t="str">
        <f>_xlfn.XLOOKUP(transakcje[[#This Row],[podkategoria]],parametr[podkategoria],parametr[kategoria])</f>
        <v>opłaty stałe</v>
      </c>
      <c r="H3926" t="str">
        <f>_xlfn.XLOOKUP(transakcje[[#This Row],[kategoria]],parametr[kategoria],parametr[typ])</f>
        <v>wydatki</v>
      </c>
      <c r="I3926" s="1">
        <f>ABS(transakcje[[#This Row],[kwota]])</f>
        <v>0.2</v>
      </c>
    </row>
    <row r="3927" spans="1:9" x14ac:dyDescent="0.3">
      <c r="A3927">
        <v>3926</v>
      </c>
      <c r="B3927">
        <v>2022</v>
      </c>
      <c r="C3927">
        <v>7</v>
      </c>
      <c r="D3927">
        <v>20</v>
      </c>
      <c r="E3927" s="1">
        <v>-0.87799999999999989</v>
      </c>
      <c r="F3927" t="s">
        <v>26</v>
      </c>
      <c r="G3927" t="str">
        <f>_xlfn.XLOOKUP(transakcje[[#This Row],[podkategoria]],parametr[podkategoria],parametr[kategoria])</f>
        <v>życie</v>
      </c>
      <c r="H3927" t="str">
        <f>_xlfn.XLOOKUP(transakcje[[#This Row],[kategoria]],parametr[kategoria],parametr[typ])</f>
        <v>wydatki</v>
      </c>
      <c r="I3927" s="1">
        <f>ABS(transakcje[[#This Row],[kwota]])</f>
        <v>0.87799999999999989</v>
      </c>
    </row>
    <row r="3928" spans="1:9" x14ac:dyDescent="0.3">
      <c r="A3928">
        <v>3927</v>
      </c>
      <c r="B3928">
        <v>2022</v>
      </c>
      <c r="C3928">
        <v>7</v>
      </c>
      <c r="D3928">
        <v>20</v>
      </c>
      <c r="E3928" s="1">
        <v>-4.9320000000000004</v>
      </c>
      <c r="F3928" t="s">
        <v>26</v>
      </c>
      <c r="G3928" t="str">
        <f>_xlfn.XLOOKUP(transakcje[[#This Row],[podkategoria]],parametr[podkategoria],parametr[kategoria])</f>
        <v>życie</v>
      </c>
      <c r="H3928" t="str">
        <f>_xlfn.XLOOKUP(transakcje[[#This Row],[kategoria]],parametr[kategoria],parametr[typ])</f>
        <v>wydatki</v>
      </c>
      <c r="I3928" s="1">
        <f>ABS(transakcje[[#This Row],[kwota]])</f>
        <v>4.9320000000000004</v>
      </c>
    </row>
    <row r="3929" spans="1:9" x14ac:dyDescent="0.3">
      <c r="A3929">
        <v>3928</v>
      </c>
      <c r="B3929">
        <v>2022</v>
      </c>
      <c r="C3929">
        <v>7</v>
      </c>
      <c r="D3929">
        <v>21</v>
      </c>
      <c r="E3929" s="1">
        <v>-21.562000000000001</v>
      </c>
      <c r="F3929" t="s">
        <v>26</v>
      </c>
      <c r="G3929" t="str">
        <f>_xlfn.XLOOKUP(transakcje[[#This Row],[podkategoria]],parametr[podkategoria],parametr[kategoria])</f>
        <v>życie</v>
      </c>
      <c r="H3929" t="str">
        <f>_xlfn.XLOOKUP(transakcje[[#This Row],[kategoria]],parametr[kategoria],parametr[typ])</f>
        <v>wydatki</v>
      </c>
      <c r="I3929" s="1">
        <f>ABS(transakcje[[#This Row],[kwota]])</f>
        <v>21.562000000000001</v>
      </c>
    </row>
    <row r="3930" spans="1:9" x14ac:dyDescent="0.3">
      <c r="A3930">
        <v>3929</v>
      </c>
      <c r="B3930">
        <v>2022</v>
      </c>
      <c r="C3930">
        <v>7</v>
      </c>
      <c r="D3930">
        <v>22</v>
      </c>
      <c r="E3930" s="1">
        <v>-0.44000000000000006</v>
      </c>
      <c r="F3930" t="s">
        <v>26</v>
      </c>
      <c r="G3930" t="str">
        <f>_xlfn.XLOOKUP(transakcje[[#This Row],[podkategoria]],parametr[podkategoria],parametr[kategoria])</f>
        <v>życie</v>
      </c>
      <c r="H3930" t="str">
        <f>_xlfn.XLOOKUP(transakcje[[#This Row],[kategoria]],parametr[kategoria],parametr[typ])</f>
        <v>wydatki</v>
      </c>
      <c r="I3930" s="1">
        <f>ABS(transakcje[[#This Row],[kwota]])</f>
        <v>0.44000000000000006</v>
      </c>
    </row>
    <row r="3931" spans="1:9" x14ac:dyDescent="0.3">
      <c r="A3931">
        <v>3930</v>
      </c>
      <c r="B3931">
        <v>2022</v>
      </c>
      <c r="C3931">
        <v>7</v>
      </c>
      <c r="D3931">
        <v>23</v>
      </c>
      <c r="E3931" s="1">
        <v>-19.196000000000002</v>
      </c>
      <c r="F3931" t="s">
        <v>11</v>
      </c>
      <c r="G3931" t="str">
        <f>_xlfn.XLOOKUP(transakcje[[#This Row],[podkategoria]],parametr[podkategoria],parametr[kategoria])</f>
        <v>wydatki inne</v>
      </c>
      <c r="H3931" t="str">
        <f>_xlfn.XLOOKUP(transakcje[[#This Row],[kategoria]],parametr[kategoria],parametr[typ])</f>
        <v>wydatki</v>
      </c>
      <c r="I3931" s="1">
        <f>ABS(transakcje[[#This Row],[kwota]])</f>
        <v>19.196000000000002</v>
      </c>
    </row>
    <row r="3932" spans="1:9" x14ac:dyDescent="0.3">
      <c r="A3932">
        <v>3931</v>
      </c>
      <c r="B3932">
        <v>2022</v>
      </c>
      <c r="C3932">
        <v>7</v>
      </c>
      <c r="D3932">
        <v>23</v>
      </c>
      <c r="E3932" s="1">
        <v>-24.48</v>
      </c>
      <c r="F3932" t="s">
        <v>32</v>
      </c>
      <c r="G3932" t="str">
        <f>_xlfn.XLOOKUP(transakcje[[#This Row],[podkategoria]],parametr[podkategoria],parametr[kategoria])</f>
        <v>opłaty stałe</v>
      </c>
      <c r="H3932" t="str">
        <f>_xlfn.XLOOKUP(transakcje[[#This Row],[kategoria]],parametr[kategoria],parametr[typ])</f>
        <v>wydatki</v>
      </c>
      <c r="I3932" s="1">
        <f>ABS(transakcje[[#This Row],[kwota]])</f>
        <v>24.48</v>
      </c>
    </row>
    <row r="3933" spans="1:9" x14ac:dyDescent="0.3">
      <c r="A3933">
        <v>3932</v>
      </c>
      <c r="B3933">
        <v>2022</v>
      </c>
      <c r="C3933">
        <v>7</v>
      </c>
      <c r="D3933">
        <v>24</v>
      </c>
      <c r="E3933" s="1">
        <v>-55.8</v>
      </c>
      <c r="F3933" t="s">
        <v>11</v>
      </c>
      <c r="G3933" t="str">
        <f>_xlfn.XLOOKUP(transakcje[[#This Row],[podkategoria]],parametr[podkategoria],parametr[kategoria])</f>
        <v>wydatki inne</v>
      </c>
      <c r="H3933" t="str">
        <f>_xlfn.XLOOKUP(transakcje[[#This Row],[kategoria]],parametr[kategoria],parametr[typ])</f>
        <v>wydatki</v>
      </c>
      <c r="I3933" s="1">
        <f>ABS(transakcje[[#This Row],[kwota]])</f>
        <v>55.8</v>
      </c>
    </row>
    <row r="3934" spans="1:9" x14ac:dyDescent="0.3">
      <c r="A3934">
        <v>3933</v>
      </c>
      <c r="B3934">
        <v>2022</v>
      </c>
      <c r="C3934">
        <v>7</v>
      </c>
      <c r="D3934">
        <v>26</v>
      </c>
      <c r="E3934" s="1">
        <v>833.07</v>
      </c>
      <c r="F3934" t="s">
        <v>8</v>
      </c>
      <c r="G3934" t="str">
        <f>_xlfn.XLOOKUP(transakcje[[#This Row],[podkategoria]],parametr[podkategoria],parametr[kategoria])</f>
        <v>dochody z pracy</v>
      </c>
      <c r="H3934" t="str">
        <f>_xlfn.XLOOKUP(transakcje[[#This Row],[kategoria]],parametr[kategoria],parametr[typ])</f>
        <v>dochody</v>
      </c>
      <c r="I3934" s="1">
        <f>ABS(transakcje[[#This Row],[kwota]])</f>
        <v>833.07</v>
      </c>
    </row>
    <row r="3935" spans="1:9" x14ac:dyDescent="0.3">
      <c r="A3935">
        <v>3934</v>
      </c>
      <c r="B3935">
        <v>2022</v>
      </c>
      <c r="C3935">
        <v>7</v>
      </c>
      <c r="D3935">
        <v>26</v>
      </c>
      <c r="E3935" s="1">
        <v>-2.9980000000000002</v>
      </c>
      <c r="F3935" t="s">
        <v>26</v>
      </c>
      <c r="G3935" t="str">
        <f>_xlfn.XLOOKUP(transakcje[[#This Row],[podkategoria]],parametr[podkategoria],parametr[kategoria])</f>
        <v>życie</v>
      </c>
      <c r="H3935" t="str">
        <f>_xlfn.XLOOKUP(transakcje[[#This Row],[kategoria]],parametr[kategoria],parametr[typ])</f>
        <v>wydatki</v>
      </c>
      <c r="I3935" s="1">
        <f>ABS(transakcje[[#This Row],[kwota]])</f>
        <v>2.9980000000000002</v>
      </c>
    </row>
    <row r="3936" spans="1:9" x14ac:dyDescent="0.3">
      <c r="A3936">
        <v>3935</v>
      </c>
      <c r="B3936">
        <v>2022</v>
      </c>
      <c r="C3936">
        <v>7</v>
      </c>
      <c r="D3936">
        <v>26</v>
      </c>
      <c r="E3936" s="1">
        <v>-20</v>
      </c>
      <c r="F3936" t="s">
        <v>11</v>
      </c>
      <c r="G3936" t="str">
        <f>_xlfn.XLOOKUP(transakcje[[#This Row],[podkategoria]],parametr[podkategoria],parametr[kategoria])</f>
        <v>wydatki inne</v>
      </c>
      <c r="H3936" t="str">
        <f>_xlfn.XLOOKUP(transakcje[[#This Row],[kategoria]],parametr[kategoria],parametr[typ])</f>
        <v>wydatki</v>
      </c>
      <c r="I3936" s="1">
        <f>ABS(transakcje[[#This Row],[kwota]])</f>
        <v>20</v>
      </c>
    </row>
    <row r="3937" spans="1:9" x14ac:dyDescent="0.3">
      <c r="A3937">
        <v>3936</v>
      </c>
      <c r="B3937">
        <v>2022</v>
      </c>
      <c r="C3937">
        <v>7</v>
      </c>
      <c r="D3937">
        <v>27</v>
      </c>
      <c r="E3937" s="1">
        <v>-13.238</v>
      </c>
      <c r="F3937" t="s">
        <v>26</v>
      </c>
      <c r="G3937" t="str">
        <f>_xlfn.XLOOKUP(transakcje[[#This Row],[podkategoria]],parametr[podkategoria],parametr[kategoria])</f>
        <v>życie</v>
      </c>
      <c r="H3937" t="str">
        <f>_xlfn.XLOOKUP(transakcje[[#This Row],[kategoria]],parametr[kategoria],parametr[typ])</f>
        <v>wydatki</v>
      </c>
      <c r="I3937" s="1">
        <f>ABS(transakcje[[#This Row],[kwota]])</f>
        <v>13.238</v>
      </c>
    </row>
    <row r="3938" spans="1:9" x14ac:dyDescent="0.3">
      <c r="A3938">
        <v>3937</v>
      </c>
      <c r="B3938">
        <v>2022</v>
      </c>
      <c r="C3938">
        <v>7</v>
      </c>
      <c r="D3938">
        <v>28</v>
      </c>
      <c r="E3938" s="1">
        <v>-1.476</v>
      </c>
      <c r="F3938" t="s">
        <v>26</v>
      </c>
      <c r="G3938" t="str">
        <f>_xlfn.XLOOKUP(transakcje[[#This Row],[podkategoria]],parametr[podkategoria],parametr[kategoria])</f>
        <v>życie</v>
      </c>
      <c r="H3938" t="str">
        <f>_xlfn.XLOOKUP(transakcje[[#This Row],[kategoria]],parametr[kategoria],parametr[typ])</f>
        <v>wydatki</v>
      </c>
      <c r="I3938" s="1">
        <f>ABS(transakcje[[#This Row],[kwota]])</f>
        <v>1.476</v>
      </c>
    </row>
    <row r="3939" spans="1:9" x14ac:dyDescent="0.3">
      <c r="A3939">
        <v>3938</v>
      </c>
      <c r="B3939">
        <v>2022</v>
      </c>
      <c r="C3939">
        <v>7</v>
      </c>
      <c r="D3939">
        <v>28</v>
      </c>
      <c r="E3939" s="1">
        <v>-13.669999999999998</v>
      </c>
      <c r="F3939" t="s">
        <v>26</v>
      </c>
      <c r="G3939" t="str">
        <f>_xlfn.XLOOKUP(transakcje[[#This Row],[podkategoria]],parametr[podkategoria],parametr[kategoria])</f>
        <v>życie</v>
      </c>
      <c r="H3939" t="str">
        <f>_xlfn.XLOOKUP(transakcje[[#This Row],[kategoria]],parametr[kategoria],parametr[typ])</f>
        <v>wydatki</v>
      </c>
      <c r="I3939" s="1">
        <f>ABS(transakcje[[#This Row],[kwota]])</f>
        <v>13.669999999999998</v>
      </c>
    </row>
    <row r="3940" spans="1:9" x14ac:dyDescent="0.3">
      <c r="A3940">
        <v>3939</v>
      </c>
      <c r="B3940">
        <v>2022</v>
      </c>
      <c r="C3940">
        <v>7</v>
      </c>
      <c r="D3940">
        <v>29</v>
      </c>
      <c r="E3940" s="1">
        <v>-0.87799999999999989</v>
      </c>
      <c r="F3940" t="s">
        <v>26</v>
      </c>
      <c r="G3940" t="str">
        <f>_xlfn.XLOOKUP(transakcje[[#This Row],[podkategoria]],parametr[podkategoria],parametr[kategoria])</f>
        <v>życie</v>
      </c>
      <c r="H3940" t="str">
        <f>_xlfn.XLOOKUP(transakcje[[#This Row],[kategoria]],parametr[kategoria],parametr[typ])</f>
        <v>wydatki</v>
      </c>
      <c r="I3940" s="1">
        <f>ABS(transakcje[[#This Row],[kwota]])</f>
        <v>0.87799999999999989</v>
      </c>
    </row>
    <row r="3941" spans="1:9" x14ac:dyDescent="0.3">
      <c r="A3941">
        <v>3940</v>
      </c>
      <c r="B3941">
        <v>2022</v>
      </c>
      <c r="C3941">
        <v>7</v>
      </c>
      <c r="D3941">
        <v>30</v>
      </c>
      <c r="E3941" s="1">
        <v>-1.4</v>
      </c>
      <c r="F3941" t="s">
        <v>14</v>
      </c>
      <c r="G3941" t="str">
        <f>_xlfn.XLOOKUP(transakcje[[#This Row],[podkategoria]],parametr[podkategoria],parametr[kategoria])</f>
        <v>opłaty stałe</v>
      </c>
      <c r="H3941" t="str">
        <f>_xlfn.XLOOKUP(transakcje[[#This Row],[kategoria]],parametr[kategoria],parametr[typ])</f>
        <v>wydatki</v>
      </c>
      <c r="I3941" s="1">
        <f>ABS(transakcje[[#This Row],[kwota]])</f>
        <v>1.4</v>
      </c>
    </row>
    <row r="3942" spans="1:9" x14ac:dyDescent="0.3">
      <c r="A3942">
        <v>3941</v>
      </c>
      <c r="B3942">
        <v>2022</v>
      </c>
      <c r="C3942">
        <v>7</v>
      </c>
      <c r="D3942">
        <v>30</v>
      </c>
      <c r="E3942" s="1">
        <v>6.0000000000000001E-3</v>
      </c>
      <c r="F3942" t="s">
        <v>17</v>
      </c>
      <c r="G3942" t="str">
        <f>_xlfn.XLOOKUP(transakcje[[#This Row],[podkategoria]],parametr[podkategoria],parametr[kategoria])</f>
        <v>dochody pozostałe</v>
      </c>
      <c r="H3942" t="str">
        <f>_xlfn.XLOOKUP(transakcje[[#This Row],[kategoria]],parametr[kategoria],parametr[typ])</f>
        <v>dochody</v>
      </c>
      <c r="I3942" s="1">
        <f>ABS(transakcje[[#This Row],[kwota]])</f>
        <v>6.0000000000000001E-3</v>
      </c>
    </row>
    <row r="3943" spans="1:9" x14ac:dyDescent="0.3">
      <c r="A3943">
        <v>3942</v>
      </c>
      <c r="B3943">
        <v>2022</v>
      </c>
      <c r="C3943">
        <v>7</v>
      </c>
      <c r="D3943">
        <v>30</v>
      </c>
      <c r="E3943" s="1">
        <v>-2E-3</v>
      </c>
      <c r="F3943" t="s">
        <v>14</v>
      </c>
      <c r="G3943" t="str">
        <f>_xlfn.XLOOKUP(transakcje[[#This Row],[podkategoria]],parametr[podkategoria],parametr[kategoria])</f>
        <v>opłaty stałe</v>
      </c>
      <c r="H3943" t="str">
        <f>_xlfn.XLOOKUP(transakcje[[#This Row],[kategoria]],parametr[kategoria],parametr[typ])</f>
        <v>wydatki</v>
      </c>
      <c r="I3943" s="1">
        <f>ABS(transakcje[[#This Row],[kwota]])</f>
        <v>2E-3</v>
      </c>
    </row>
    <row r="3944" spans="1:9" x14ac:dyDescent="0.3">
      <c r="A3944">
        <v>3943</v>
      </c>
      <c r="B3944">
        <v>2022</v>
      </c>
      <c r="C3944">
        <v>8</v>
      </c>
      <c r="D3944">
        <v>1</v>
      </c>
      <c r="E3944" s="1">
        <v>-9.9980000000000011</v>
      </c>
      <c r="F3944" t="s">
        <v>11</v>
      </c>
      <c r="G3944" t="str">
        <f>_xlfn.XLOOKUP(transakcje[[#This Row],[podkategoria]],parametr[podkategoria],parametr[kategoria])</f>
        <v>wydatki inne</v>
      </c>
      <c r="H3944" t="str">
        <f>_xlfn.XLOOKUP(transakcje[[#This Row],[kategoria]],parametr[kategoria],parametr[typ])</f>
        <v>wydatki</v>
      </c>
      <c r="I3944" s="1">
        <f>ABS(transakcje[[#This Row],[kwota]])</f>
        <v>9.9980000000000011</v>
      </c>
    </row>
    <row r="3945" spans="1:9" x14ac:dyDescent="0.3">
      <c r="A3945">
        <v>3944</v>
      </c>
      <c r="B3945">
        <v>2022</v>
      </c>
      <c r="C3945">
        <v>8</v>
      </c>
      <c r="D3945">
        <v>1</v>
      </c>
      <c r="E3945" s="1">
        <v>-5.8</v>
      </c>
      <c r="F3945" t="s">
        <v>25</v>
      </c>
      <c r="G3945" t="str">
        <f>_xlfn.XLOOKUP(transakcje[[#This Row],[podkategoria]],parametr[podkategoria],parametr[kategoria])</f>
        <v>opłaty stałe</v>
      </c>
      <c r="H3945" t="str">
        <f>_xlfn.XLOOKUP(transakcje[[#This Row],[kategoria]],parametr[kategoria],parametr[typ])</f>
        <v>wydatki</v>
      </c>
      <c r="I3945" s="1">
        <f>ABS(transakcje[[#This Row],[kwota]])</f>
        <v>5.8</v>
      </c>
    </row>
    <row r="3946" spans="1:9" x14ac:dyDescent="0.3">
      <c r="A3946">
        <v>3945</v>
      </c>
      <c r="B3946">
        <v>2022</v>
      </c>
      <c r="C3946">
        <v>8</v>
      </c>
      <c r="D3946">
        <v>1</v>
      </c>
      <c r="E3946" s="1">
        <v>-7.38</v>
      </c>
      <c r="F3946" t="s">
        <v>23</v>
      </c>
      <c r="G3946" t="str">
        <f>_xlfn.XLOOKUP(transakcje[[#This Row],[podkategoria]],parametr[podkategoria],parametr[kategoria])</f>
        <v>opłaty stałe</v>
      </c>
      <c r="H3946" t="str">
        <f>_xlfn.XLOOKUP(transakcje[[#This Row],[kategoria]],parametr[kategoria],parametr[typ])</f>
        <v>wydatki</v>
      </c>
      <c r="I3946" s="1">
        <f>ABS(transakcje[[#This Row],[kwota]])</f>
        <v>7.38</v>
      </c>
    </row>
    <row r="3947" spans="1:9" x14ac:dyDescent="0.3">
      <c r="A3947">
        <v>3946</v>
      </c>
      <c r="B3947">
        <v>2022</v>
      </c>
      <c r="C3947">
        <v>8</v>
      </c>
      <c r="D3947">
        <v>1</v>
      </c>
      <c r="E3947" s="1">
        <v>-84.224000000000004</v>
      </c>
      <c r="F3947" t="s">
        <v>31</v>
      </c>
      <c r="G3947" t="str">
        <f>_xlfn.XLOOKUP(transakcje[[#This Row],[podkategoria]],parametr[podkategoria],parametr[kategoria])</f>
        <v>opłaty stałe</v>
      </c>
      <c r="H3947" t="str">
        <f>_xlfn.XLOOKUP(transakcje[[#This Row],[kategoria]],parametr[kategoria],parametr[typ])</f>
        <v>wydatki</v>
      </c>
      <c r="I3947" s="1">
        <f>ABS(transakcje[[#This Row],[kwota]])</f>
        <v>84.224000000000004</v>
      </c>
    </row>
    <row r="3948" spans="1:9" x14ac:dyDescent="0.3">
      <c r="A3948">
        <v>3947</v>
      </c>
      <c r="B3948">
        <v>2022</v>
      </c>
      <c r="C3948">
        <v>8</v>
      </c>
      <c r="D3948">
        <v>1</v>
      </c>
      <c r="E3948" s="1">
        <v>-189.59</v>
      </c>
      <c r="F3948" t="s">
        <v>33</v>
      </c>
      <c r="G3948" t="str">
        <f>_xlfn.XLOOKUP(transakcje[[#This Row],[podkategoria]],parametr[podkategoria],parametr[kategoria])</f>
        <v>trwałe</v>
      </c>
      <c r="H3948" t="str">
        <f>_xlfn.XLOOKUP(transakcje[[#This Row],[kategoria]],parametr[kategoria],parametr[typ])</f>
        <v>wydatki</v>
      </c>
      <c r="I3948" s="1">
        <f>ABS(transakcje[[#This Row],[kwota]])</f>
        <v>189.59</v>
      </c>
    </row>
    <row r="3949" spans="1:9" x14ac:dyDescent="0.3">
      <c r="A3949">
        <v>3948</v>
      </c>
      <c r="B3949">
        <v>2022</v>
      </c>
      <c r="C3949">
        <v>8</v>
      </c>
      <c r="D3949">
        <v>2</v>
      </c>
      <c r="E3949" s="1">
        <v>272.69600000000003</v>
      </c>
      <c r="F3949" t="s">
        <v>19</v>
      </c>
      <c r="G3949" t="str">
        <f>_xlfn.XLOOKUP(transakcje[[#This Row],[podkategoria]],parametr[podkategoria],parametr[kategoria])</f>
        <v>dochody z pracy</v>
      </c>
      <c r="H3949" t="str">
        <f>_xlfn.XLOOKUP(transakcje[[#This Row],[kategoria]],parametr[kategoria],parametr[typ])</f>
        <v>dochody</v>
      </c>
      <c r="I3949" s="1">
        <f>ABS(transakcje[[#This Row],[kwota]])</f>
        <v>272.69600000000003</v>
      </c>
    </row>
    <row r="3950" spans="1:9" x14ac:dyDescent="0.3">
      <c r="A3950">
        <v>3949</v>
      </c>
      <c r="B3950">
        <v>2022</v>
      </c>
      <c r="C3950">
        <v>8</v>
      </c>
      <c r="D3950">
        <v>3</v>
      </c>
      <c r="E3950" s="1">
        <v>-0.87799999999999989</v>
      </c>
      <c r="F3950" t="s">
        <v>26</v>
      </c>
      <c r="G3950" t="str">
        <f>_xlfn.XLOOKUP(transakcje[[#This Row],[podkategoria]],parametr[podkategoria],parametr[kategoria])</f>
        <v>życie</v>
      </c>
      <c r="H3950" t="str">
        <f>_xlfn.XLOOKUP(transakcje[[#This Row],[kategoria]],parametr[kategoria],parametr[typ])</f>
        <v>wydatki</v>
      </c>
      <c r="I3950" s="1">
        <f>ABS(transakcje[[#This Row],[kwota]])</f>
        <v>0.87799999999999989</v>
      </c>
    </row>
    <row r="3951" spans="1:9" x14ac:dyDescent="0.3">
      <c r="A3951">
        <v>3950</v>
      </c>
      <c r="B3951">
        <v>2022</v>
      </c>
      <c r="C3951">
        <v>8</v>
      </c>
      <c r="D3951">
        <v>3</v>
      </c>
      <c r="E3951" s="1">
        <v>-9.5920000000000005</v>
      </c>
      <c r="F3951" t="s">
        <v>26</v>
      </c>
      <c r="G3951" t="str">
        <f>_xlfn.XLOOKUP(transakcje[[#This Row],[podkategoria]],parametr[podkategoria],parametr[kategoria])</f>
        <v>życie</v>
      </c>
      <c r="H3951" t="str">
        <f>_xlfn.XLOOKUP(transakcje[[#This Row],[kategoria]],parametr[kategoria],parametr[typ])</f>
        <v>wydatki</v>
      </c>
      <c r="I3951" s="1">
        <f>ABS(transakcje[[#This Row],[kwota]])</f>
        <v>9.5920000000000005</v>
      </c>
    </row>
    <row r="3952" spans="1:9" x14ac:dyDescent="0.3">
      <c r="A3952">
        <v>3951</v>
      </c>
      <c r="B3952">
        <v>2022</v>
      </c>
      <c r="C3952">
        <v>8</v>
      </c>
      <c r="D3952">
        <v>3</v>
      </c>
      <c r="E3952" s="1">
        <v>-12.382</v>
      </c>
      <c r="F3952" t="s">
        <v>26</v>
      </c>
      <c r="G3952" t="str">
        <f>_xlfn.XLOOKUP(transakcje[[#This Row],[podkategoria]],parametr[podkategoria],parametr[kategoria])</f>
        <v>życie</v>
      </c>
      <c r="H3952" t="str">
        <f>_xlfn.XLOOKUP(transakcje[[#This Row],[kategoria]],parametr[kategoria],parametr[typ])</f>
        <v>wydatki</v>
      </c>
      <c r="I3952" s="1">
        <f>ABS(transakcje[[#This Row],[kwota]])</f>
        <v>12.382</v>
      </c>
    </row>
    <row r="3953" spans="1:9" x14ac:dyDescent="0.3">
      <c r="A3953">
        <v>3952</v>
      </c>
      <c r="B3953">
        <v>2022</v>
      </c>
      <c r="C3953">
        <v>8</v>
      </c>
      <c r="D3953">
        <v>4</v>
      </c>
      <c r="E3953" s="1">
        <v>-54.387999999999998</v>
      </c>
      <c r="F3953" t="s">
        <v>33</v>
      </c>
      <c r="G3953" t="str">
        <f>_xlfn.XLOOKUP(transakcje[[#This Row],[podkategoria]],parametr[podkategoria],parametr[kategoria])</f>
        <v>trwałe</v>
      </c>
      <c r="H3953" t="str">
        <f>_xlfn.XLOOKUP(transakcje[[#This Row],[kategoria]],parametr[kategoria],parametr[typ])</f>
        <v>wydatki</v>
      </c>
      <c r="I3953" s="1">
        <f>ABS(transakcje[[#This Row],[kwota]])</f>
        <v>54.387999999999998</v>
      </c>
    </row>
    <row r="3954" spans="1:9" x14ac:dyDescent="0.3">
      <c r="A3954">
        <v>3953</v>
      </c>
      <c r="B3954">
        <v>2022</v>
      </c>
      <c r="C3954">
        <v>8</v>
      </c>
      <c r="D3954">
        <v>5</v>
      </c>
      <c r="E3954" s="1">
        <v>156</v>
      </c>
      <c r="F3954" t="s">
        <v>16</v>
      </c>
      <c r="G3954" t="str">
        <f>_xlfn.XLOOKUP(transakcje[[#This Row],[podkategoria]],parametr[podkategoria],parametr[kategoria])</f>
        <v>dochody z pracy</v>
      </c>
      <c r="H3954" t="str">
        <f>_xlfn.XLOOKUP(transakcje[[#This Row],[kategoria]],parametr[kategoria],parametr[typ])</f>
        <v>dochody</v>
      </c>
      <c r="I3954" s="1">
        <f>ABS(transakcje[[#This Row],[kwota]])</f>
        <v>156</v>
      </c>
    </row>
    <row r="3955" spans="1:9" x14ac:dyDescent="0.3">
      <c r="A3955">
        <v>3954</v>
      </c>
      <c r="B3955">
        <v>2022</v>
      </c>
      <c r="C3955">
        <v>8</v>
      </c>
      <c r="D3955">
        <v>9</v>
      </c>
      <c r="E3955" s="1">
        <v>-0.87799999999999989</v>
      </c>
      <c r="F3955" t="s">
        <v>26</v>
      </c>
      <c r="G3955" t="str">
        <f>_xlfn.XLOOKUP(transakcje[[#This Row],[podkategoria]],parametr[podkategoria],parametr[kategoria])</f>
        <v>życie</v>
      </c>
      <c r="H3955" t="str">
        <f>_xlfn.XLOOKUP(transakcje[[#This Row],[kategoria]],parametr[kategoria],parametr[typ])</f>
        <v>wydatki</v>
      </c>
      <c r="I3955" s="1">
        <f>ABS(transakcje[[#This Row],[kwota]])</f>
        <v>0.87799999999999989</v>
      </c>
    </row>
    <row r="3956" spans="1:9" x14ac:dyDescent="0.3">
      <c r="A3956">
        <v>3955</v>
      </c>
      <c r="B3956">
        <v>2022</v>
      </c>
      <c r="C3956">
        <v>8</v>
      </c>
      <c r="D3956">
        <v>9</v>
      </c>
      <c r="E3956" s="1">
        <v>-1.89</v>
      </c>
      <c r="F3956" t="s">
        <v>26</v>
      </c>
      <c r="G3956" t="str">
        <f>_xlfn.XLOOKUP(transakcje[[#This Row],[podkategoria]],parametr[podkategoria],parametr[kategoria])</f>
        <v>życie</v>
      </c>
      <c r="H3956" t="str">
        <f>_xlfn.XLOOKUP(transakcje[[#This Row],[kategoria]],parametr[kategoria],parametr[typ])</f>
        <v>wydatki</v>
      </c>
      <c r="I3956" s="1">
        <f>ABS(transakcje[[#This Row],[kwota]])</f>
        <v>1.89</v>
      </c>
    </row>
    <row r="3957" spans="1:9" x14ac:dyDescent="0.3">
      <c r="A3957">
        <v>3956</v>
      </c>
      <c r="B3957">
        <v>2022</v>
      </c>
      <c r="C3957">
        <v>8</v>
      </c>
      <c r="D3957">
        <v>9</v>
      </c>
      <c r="E3957" s="1">
        <v>-31.032</v>
      </c>
      <c r="F3957" t="s">
        <v>11</v>
      </c>
      <c r="G3957" t="str">
        <f>_xlfn.XLOOKUP(transakcje[[#This Row],[podkategoria]],parametr[podkategoria],parametr[kategoria])</f>
        <v>wydatki inne</v>
      </c>
      <c r="H3957" t="str">
        <f>_xlfn.XLOOKUP(transakcje[[#This Row],[kategoria]],parametr[kategoria],parametr[typ])</f>
        <v>wydatki</v>
      </c>
      <c r="I3957" s="1">
        <f>ABS(transakcje[[#This Row],[kwota]])</f>
        <v>31.032</v>
      </c>
    </row>
    <row r="3958" spans="1:9" x14ac:dyDescent="0.3">
      <c r="A3958">
        <v>3957</v>
      </c>
      <c r="B3958">
        <v>2022</v>
      </c>
      <c r="C3958">
        <v>8</v>
      </c>
      <c r="D3958">
        <v>9</v>
      </c>
      <c r="E3958" s="1">
        <v>-0.2</v>
      </c>
      <c r="F3958" t="s">
        <v>14</v>
      </c>
      <c r="G3958" t="str">
        <f>_xlfn.XLOOKUP(transakcje[[#This Row],[podkategoria]],parametr[podkategoria],parametr[kategoria])</f>
        <v>opłaty stałe</v>
      </c>
      <c r="H3958" t="str">
        <f>_xlfn.XLOOKUP(transakcje[[#This Row],[kategoria]],parametr[kategoria],parametr[typ])</f>
        <v>wydatki</v>
      </c>
      <c r="I3958" s="1">
        <f>ABS(transakcje[[#This Row],[kwota]])</f>
        <v>0.2</v>
      </c>
    </row>
    <row r="3959" spans="1:9" x14ac:dyDescent="0.3">
      <c r="A3959">
        <v>3958</v>
      </c>
      <c r="B3959">
        <v>2022</v>
      </c>
      <c r="C3959">
        <v>8</v>
      </c>
      <c r="D3959">
        <v>10</v>
      </c>
      <c r="E3959" s="1">
        <v>-0.87799999999999989</v>
      </c>
      <c r="F3959" t="s">
        <v>26</v>
      </c>
      <c r="G3959" t="str">
        <f>_xlfn.XLOOKUP(transakcje[[#This Row],[podkategoria]],parametr[podkategoria],parametr[kategoria])</f>
        <v>życie</v>
      </c>
      <c r="H3959" t="str">
        <f>_xlfn.XLOOKUP(transakcje[[#This Row],[kategoria]],parametr[kategoria],parametr[typ])</f>
        <v>wydatki</v>
      </c>
      <c r="I3959" s="1">
        <f>ABS(transakcje[[#This Row],[kwota]])</f>
        <v>0.87799999999999989</v>
      </c>
    </row>
    <row r="3960" spans="1:9" x14ac:dyDescent="0.3">
      <c r="A3960">
        <v>3959</v>
      </c>
      <c r="B3960">
        <v>2022</v>
      </c>
      <c r="C3960">
        <v>8</v>
      </c>
      <c r="D3960">
        <v>10</v>
      </c>
      <c r="E3960" s="1">
        <v>-20.468</v>
      </c>
      <c r="F3960" t="s">
        <v>26</v>
      </c>
      <c r="G3960" t="str">
        <f>_xlfn.XLOOKUP(transakcje[[#This Row],[podkategoria]],parametr[podkategoria],parametr[kategoria])</f>
        <v>życie</v>
      </c>
      <c r="H3960" t="str">
        <f>_xlfn.XLOOKUP(transakcje[[#This Row],[kategoria]],parametr[kategoria],parametr[typ])</f>
        <v>wydatki</v>
      </c>
      <c r="I3960" s="1">
        <f>ABS(transakcje[[#This Row],[kwota]])</f>
        <v>20.468</v>
      </c>
    </row>
    <row r="3961" spans="1:9" x14ac:dyDescent="0.3">
      <c r="A3961">
        <v>3960</v>
      </c>
      <c r="B3961">
        <v>2022</v>
      </c>
      <c r="C3961">
        <v>8</v>
      </c>
      <c r="D3961">
        <v>15</v>
      </c>
      <c r="E3961" s="1">
        <v>-65.8</v>
      </c>
      <c r="F3961" t="s">
        <v>11</v>
      </c>
      <c r="G3961" t="str">
        <f>_xlfn.XLOOKUP(transakcje[[#This Row],[podkategoria]],parametr[podkategoria],parametr[kategoria])</f>
        <v>wydatki inne</v>
      </c>
      <c r="H3961" t="str">
        <f>_xlfn.XLOOKUP(transakcje[[#This Row],[kategoria]],parametr[kategoria],parametr[typ])</f>
        <v>wydatki</v>
      </c>
      <c r="I3961" s="1">
        <f>ABS(transakcje[[#This Row],[kwota]])</f>
        <v>65.8</v>
      </c>
    </row>
    <row r="3962" spans="1:9" x14ac:dyDescent="0.3">
      <c r="A3962">
        <v>3961</v>
      </c>
      <c r="B3962">
        <v>2022</v>
      </c>
      <c r="C3962">
        <v>8</v>
      </c>
      <c r="D3962">
        <v>17</v>
      </c>
      <c r="E3962" s="1">
        <v>-0.96</v>
      </c>
      <c r="F3962" t="s">
        <v>26</v>
      </c>
      <c r="G3962" t="str">
        <f>_xlfn.XLOOKUP(transakcje[[#This Row],[podkategoria]],parametr[podkategoria],parametr[kategoria])</f>
        <v>życie</v>
      </c>
      <c r="H3962" t="str">
        <f>_xlfn.XLOOKUP(transakcje[[#This Row],[kategoria]],parametr[kategoria],parametr[typ])</f>
        <v>wydatki</v>
      </c>
      <c r="I3962" s="1">
        <f>ABS(transakcje[[#This Row],[kwota]])</f>
        <v>0.96</v>
      </c>
    </row>
    <row r="3963" spans="1:9" x14ac:dyDescent="0.3">
      <c r="A3963">
        <v>3962</v>
      </c>
      <c r="B3963">
        <v>2022</v>
      </c>
      <c r="C3963">
        <v>8</v>
      </c>
      <c r="D3963">
        <v>18</v>
      </c>
      <c r="E3963" s="1">
        <v>-18.208000000000002</v>
      </c>
      <c r="F3963" t="s">
        <v>26</v>
      </c>
      <c r="G3963" t="str">
        <f>_xlfn.XLOOKUP(transakcje[[#This Row],[podkategoria]],parametr[podkategoria],parametr[kategoria])</f>
        <v>życie</v>
      </c>
      <c r="H3963" t="str">
        <f>_xlfn.XLOOKUP(transakcje[[#This Row],[kategoria]],parametr[kategoria],parametr[typ])</f>
        <v>wydatki</v>
      </c>
      <c r="I3963" s="1">
        <f>ABS(transakcje[[#This Row],[kwota]])</f>
        <v>18.208000000000002</v>
      </c>
    </row>
    <row r="3964" spans="1:9" x14ac:dyDescent="0.3">
      <c r="A3964">
        <v>3963</v>
      </c>
      <c r="B3964">
        <v>2022</v>
      </c>
      <c r="C3964">
        <v>8</v>
      </c>
      <c r="D3964">
        <v>20</v>
      </c>
      <c r="E3964" s="1">
        <v>-17.253999999999998</v>
      </c>
      <c r="F3964" t="s">
        <v>34</v>
      </c>
      <c r="G3964" t="str">
        <f>_xlfn.XLOOKUP(transakcje[[#This Row],[podkategoria]],parametr[podkategoria],parametr[kategoria])</f>
        <v>opłaty stałe</v>
      </c>
      <c r="H3964" t="str">
        <f>_xlfn.XLOOKUP(transakcje[[#This Row],[kategoria]],parametr[kategoria],parametr[typ])</f>
        <v>wydatki</v>
      </c>
      <c r="I3964" s="1">
        <f>ABS(transakcje[[#This Row],[kwota]])</f>
        <v>17.253999999999998</v>
      </c>
    </row>
    <row r="3965" spans="1:9" x14ac:dyDescent="0.3">
      <c r="A3965">
        <v>3964</v>
      </c>
      <c r="B3965">
        <v>2022</v>
      </c>
      <c r="C3965">
        <v>8</v>
      </c>
      <c r="D3965">
        <v>20</v>
      </c>
      <c r="E3965" s="1">
        <v>-23.8</v>
      </c>
      <c r="F3965" t="s">
        <v>32</v>
      </c>
      <c r="G3965" t="str">
        <f>_xlfn.XLOOKUP(transakcje[[#This Row],[podkategoria]],parametr[podkategoria],parametr[kategoria])</f>
        <v>opłaty stałe</v>
      </c>
      <c r="H3965" t="str">
        <f>_xlfn.XLOOKUP(transakcje[[#This Row],[kategoria]],parametr[kategoria],parametr[typ])</f>
        <v>wydatki</v>
      </c>
      <c r="I3965" s="1">
        <f>ABS(transakcje[[#This Row],[kwota]])</f>
        <v>23.8</v>
      </c>
    </row>
    <row r="3966" spans="1:9" x14ac:dyDescent="0.3">
      <c r="A3966">
        <v>3965</v>
      </c>
      <c r="B3966">
        <v>2022</v>
      </c>
      <c r="C3966">
        <v>8</v>
      </c>
      <c r="D3966">
        <v>24</v>
      </c>
      <c r="E3966" s="1">
        <v>-7.3340000000000005</v>
      </c>
      <c r="F3966" t="s">
        <v>26</v>
      </c>
      <c r="G3966" t="str">
        <f>_xlfn.XLOOKUP(transakcje[[#This Row],[podkategoria]],parametr[podkategoria],parametr[kategoria])</f>
        <v>życie</v>
      </c>
      <c r="H3966" t="str">
        <f>_xlfn.XLOOKUP(transakcje[[#This Row],[kategoria]],parametr[kategoria],parametr[typ])</f>
        <v>wydatki</v>
      </c>
      <c r="I3966" s="1">
        <f>ABS(transakcje[[#This Row],[kwota]])</f>
        <v>7.3340000000000005</v>
      </c>
    </row>
    <row r="3967" spans="1:9" x14ac:dyDescent="0.3">
      <c r="A3967">
        <v>3966</v>
      </c>
      <c r="B3967">
        <v>2022</v>
      </c>
      <c r="C3967">
        <v>8</v>
      </c>
      <c r="D3967">
        <v>24</v>
      </c>
      <c r="E3967" s="1">
        <v>-12.87</v>
      </c>
      <c r="F3967" t="s">
        <v>26</v>
      </c>
      <c r="G3967" t="str">
        <f>_xlfn.XLOOKUP(transakcje[[#This Row],[podkategoria]],parametr[podkategoria],parametr[kategoria])</f>
        <v>życie</v>
      </c>
      <c r="H3967" t="str">
        <f>_xlfn.XLOOKUP(transakcje[[#This Row],[kategoria]],parametr[kategoria],parametr[typ])</f>
        <v>wydatki</v>
      </c>
      <c r="I3967" s="1">
        <f>ABS(transakcje[[#This Row],[kwota]])</f>
        <v>12.87</v>
      </c>
    </row>
    <row r="3968" spans="1:9" x14ac:dyDescent="0.3">
      <c r="A3968">
        <v>3967</v>
      </c>
      <c r="B3968">
        <v>2022</v>
      </c>
      <c r="C3968">
        <v>8</v>
      </c>
      <c r="D3968">
        <v>25</v>
      </c>
      <c r="E3968" s="1">
        <v>-1.9</v>
      </c>
      <c r="F3968" t="s">
        <v>26</v>
      </c>
      <c r="G3968" t="str">
        <f>_xlfn.XLOOKUP(transakcje[[#This Row],[podkategoria]],parametr[podkategoria],parametr[kategoria])</f>
        <v>życie</v>
      </c>
      <c r="H3968" t="str">
        <f>_xlfn.XLOOKUP(transakcje[[#This Row],[kategoria]],parametr[kategoria],parametr[typ])</f>
        <v>wydatki</v>
      </c>
      <c r="I3968" s="1">
        <f>ABS(transakcje[[#This Row],[kwota]])</f>
        <v>1.9</v>
      </c>
    </row>
    <row r="3969" spans="1:9" x14ac:dyDescent="0.3">
      <c r="A3969">
        <v>3968</v>
      </c>
      <c r="B3969">
        <v>2022</v>
      </c>
      <c r="C3969">
        <v>8</v>
      </c>
      <c r="D3969">
        <v>25</v>
      </c>
      <c r="E3969" s="1">
        <v>-15.462</v>
      </c>
      <c r="F3969" t="s">
        <v>26</v>
      </c>
      <c r="G3969" t="str">
        <f>_xlfn.XLOOKUP(transakcje[[#This Row],[podkategoria]],parametr[podkategoria],parametr[kategoria])</f>
        <v>życie</v>
      </c>
      <c r="H3969" t="str">
        <f>_xlfn.XLOOKUP(transakcje[[#This Row],[kategoria]],parametr[kategoria],parametr[typ])</f>
        <v>wydatki</v>
      </c>
      <c r="I3969" s="1">
        <f>ABS(transakcje[[#This Row],[kwota]])</f>
        <v>15.462</v>
      </c>
    </row>
    <row r="3970" spans="1:9" x14ac:dyDescent="0.3">
      <c r="A3970">
        <v>3969</v>
      </c>
      <c r="B3970">
        <v>2022</v>
      </c>
      <c r="C3970">
        <v>8</v>
      </c>
      <c r="D3970">
        <v>26</v>
      </c>
      <c r="E3970" s="1">
        <v>-0.96</v>
      </c>
      <c r="F3970" t="s">
        <v>26</v>
      </c>
      <c r="G3970" t="str">
        <f>_xlfn.XLOOKUP(transakcje[[#This Row],[podkategoria]],parametr[podkategoria],parametr[kategoria])</f>
        <v>życie</v>
      </c>
      <c r="H3970" t="str">
        <f>_xlfn.XLOOKUP(transakcje[[#This Row],[kategoria]],parametr[kategoria],parametr[typ])</f>
        <v>wydatki</v>
      </c>
      <c r="I3970" s="1">
        <f>ABS(transakcje[[#This Row],[kwota]])</f>
        <v>0.96</v>
      </c>
    </row>
    <row r="3971" spans="1:9" x14ac:dyDescent="0.3">
      <c r="A3971">
        <v>3970</v>
      </c>
      <c r="B3971">
        <v>2022</v>
      </c>
      <c r="C3971">
        <v>8</v>
      </c>
      <c r="D3971">
        <v>26</v>
      </c>
      <c r="E3971" s="1">
        <v>833.07</v>
      </c>
      <c r="F3971" t="s">
        <v>8</v>
      </c>
      <c r="G3971" t="str">
        <f>_xlfn.XLOOKUP(transakcje[[#This Row],[podkategoria]],parametr[podkategoria],parametr[kategoria])</f>
        <v>dochody z pracy</v>
      </c>
      <c r="H3971" t="str">
        <f>_xlfn.XLOOKUP(transakcje[[#This Row],[kategoria]],parametr[kategoria],parametr[typ])</f>
        <v>dochody</v>
      </c>
      <c r="I3971" s="1">
        <f>ABS(transakcje[[#This Row],[kwota]])</f>
        <v>833.07</v>
      </c>
    </row>
    <row r="3972" spans="1:9" x14ac:dyDescent="0.3">
      <c r="A3972">
        <v>3971</v>
      </c>
      <c r="B3972">
        <v>2022</v>
      </c>
      <c r="C3972">
        <v>8</v>
      </c>
      <c r="D3972">
        <v>27</v>
      </c>
      <c r="E3972" s="1">
        <v>-59.998000000000005</v>
      </c>
      <c r="F3972" t="s">
        <v>11</v>
      </c>
      <c r="G3972" t="str">
        <f>_xlfn.XLOOKUP(transakcje[[#This Row],[podkategoria]],parametr[podkategoria],parametr[kategoria])</f>
        <v>wydatki inne</v>
      </c>
      <c r="H3972" t="str">
        <f>_xlfn.XLOOKUP(transakcje[[#This Row],[kategoria]],parametr[kategoria],parametr[typ])</f>
        <v>wydatki</v>
      </c>
      <c r="I3972" s="1">
        <f>ABS(transakcje[[#This Row],[kwota]])</f>
        <v>59.998000000000005</v>
      </c>
    </row>
    <row r="3973" spans="1:9" x14ac:dyDescent="0.3">
      <c r="A3973">
        <v>3972</v>
      </c>
      <c r="B3973">
        <v>2022</v>
      </c>
      <c r="C3973">
        <v>8</v>
      </c>
      <c r="D3973">
        <v>31</v>
      </c>
      <c r="E3973" s="1">
        <v>-1.4</v>
      </c>
      <c r="F3973" t="s">
        <v>14</v>
      </c>
      <c r="G3973" t="str">
        <f>_xlfn.XLOOKUP(transakcje[[#This Row],[podkategoria]],parametr[podkategoria],parametr[kategoria])</f>
        <v>opłaty stałe</v>
      </c>
      <c r="H3973" t="str">
        <f>_xlfn.XLOOKUP(transakcje[[#This Row],[kategoria]],parametr[kategoria],parametr[typ])</f>
        <v>wydatki</v>
      </c>
      <c r="I3973" s="1">
        <f>ABS(transakcje[[#This Row],[kwota]])</f>
        <v>1.4</v>
      </c>
    </row>
    <row r="3974" spans="1:9" x14ac:dyDescent="0.3">
      <c r="A3974">
        <v>3973</v>
      </c>
      <c r="B3974">
        <v>2022</v>
      </c>
      <c r="C3974">
        <v>8</v>
      </c>
      <c r="D3974">
        <v>31</v>
      </c>
      <c r="E3974" s="1">
        <v>-2E-3</v>
      </c>
      <c r="F3974" t="s">
        <v>14</v>
      </c>
      <c r="G3974" t="str">
        <f>_xlfn.XLOOKUP(transakcje[[#This Row],[podkategoria]],parametr[podkategoria],parametr[kategoria])</f>
        <v>opłaty stałe</v>
      </c>
      <c r="H3974" t="str">
        <f>_xlfn.XLOOKUP(transakcje[[#This Row],[kategoria]],parametr[kategoria],parametr[typ])</f>
        <v>wydatki</v>
      </c>
      <c r="I3974" s="1">
        <f>ABS(transakcje[[#This Row],[kwota]])</f>
        <v>2E-3</v>
      </c>
    </row>
    <row r="3975" spans="1:9" x14ac:dyDescent="0.3">
      <c r="A3975">
        <v>3974</v>
      </c>
      <c r="B3975">
        <v>2022</v>
      </c>
      <c r="C3975">
        <v>8</v>
      </c>
      <c r="D3975">
        <v>31</v>
      </c>
      <c r="E3975" s="1">
        <v>0.01</v>
      </c>
      <c r="F3975" t="s">
        <v>17</v>
      </c>
      <c r="G3975" t="str">
        <f>_xlfn.XLOOKUP(transakcje[[#This Row],[podkategoria]],parametr[podkategoria],parametr[kategoria])</f>
        <v>dochody pozostałe</v>
      </c>
      <c r="H3975" t="str">
        <f>_xlfn.XLOOKUP(transakcje[[#This Row],[kategoria]],parametr[kategoria],parametr[typ])</f>
        <v>dochody</v>
      </c>
      <c r="I3975" s="1">
        <f>ABS(transakcje[[#This Row],[kwota]])</f>
        <v>0.01</v>
      </c>
    </row>
    <row r="3976" spans="1:9" x14ac:dyDescent="0.3">
      <c r="A3976">
        <v>3975</v>
      </c>
      <c r="B3976">
        <v>2022</v>
      </c>
      <c r="C3976">
        <v>8</v>
      </c>
      <c r="D3976">
        <v>31</v>
      </c>
      <c r="E3976" s="1">
        <v>-12.862</v>
      </c>
      <c r="F3976" t="s">
        <v>26</v>
      </c>
      <c r="G3976" t="str">
        <f>_xlfn.XLOOKUP(transakcje[[#This Row],[podkategoria]],parametr[podkategoria],parametr[kategoria])</f>
        <v>życie</v>
      </c>
      <c r="H3976" t="str">
        <f>_xlfn.XLOOKUP(transakcje[[#This Row],[kategoria]],parametr[kategoria],parametr[typ])</f>
        <v>wydatki</v>
      </c>
      <c r="I3976" s="1">
        <f>ABS(transakcje[[#This Row],[kwota]])</f>
        <v>12.862</v>
      </c>
    </row>
    <row r="3977" spans="1:9" x14ac:dyDescent="0.3">
      <c r="A3977">
        <v>3976</v>
      </c>
      <c r="B3977">
        <v>2022</v>
      </c>
      <c r="C3977">
        <v>9</v>
      </c>
      <c r="D3977">
        <v>1</v>
      </c>
      <c r="E3977" s="1">
        <v>-1.7559999999999998</v>
      </c>
      <c r="F3977" t="s">
        <v>26</v>
      </c>
      <c r="G3977" t="str">
        <f>_xlfn.XLOOKUP(transakcje[[#This Row],[podkategoria]],parametr[podkategoria],parametr[kategoria])</f>
        <v>życie</v>
      </c>
      <c r="H3977" t="str">
        <f>_xlfn.XLOOKUP(transakcje[[#This Row],[kategoria]],parametr[kategoria],parametr[typ])</f>
        <v>wydatki</v>
      </c>
      <c r="I3977" s="1">
        <f>ABS(transakcje[[#This Row],[kwota]])</f>
        <v>1.7559999999999998</v>
      </c>
    </row>
    <row r="3978" spans="1:9" x14ac:dyDescent="0.3">
      <c r="A3978">
        <v>3977</v>
      </c>
      <c r="B3978">
        <v>2022</v>
      </c>
      <c r="C3978">
        <v>9</v>
      </c>
      <c r="D3978">
        <v>3</v>
      </c>
      <c r="E3978" s="1">
        <v>-4</v>
      </c>
      <c r="F3978" t="s">
        <v>26</v>
      </c>
      <c r="G3978" t="str">
        <f>_xlfn.XLOOKUP(transakcje[[#This Row],[podkategoria]],parametr[podkategoria],parametr[kategoria])</f>
        <v>życie</v>
      </c>
      <c r="H3978" t="str">
        <f>_xlfn.XLOOKUP(transakcje[[#This Row],[kategoria]],parametr[kategoria],parametr[typ])</f>
        <v>wydatki</v>
      </c>
      <c r="I3978" s="1">
        <f>ABS(transakcje[[#This Row],[kwota]])</f>
        <v>4</v>
      </c>
    </row>
    <row r="3979" spans="1:9" x14ac:dyDescent="0.3">
      <c r="A3979">
        <v>3978</v>
      </c>
      <c r="B3979">
        <v>2022</v>
      </c>
      <c r="C3979">
        <v>9</v>
      </c>
      <c r="D3979">
        <v>3</v>
      </c>
      <c r="E3979" s="1">
        <v>-9.9980000000000011</v>
      </c>
      <c r="F3979" t="s">
        <v>11</v>
      </c>
      <c r="G3979" t="str">
        <f>_xlfn.XLOOKUP(transakcje[[#This Row],[podkategoria]],parametr[podkategoria],parametr[kategoria])</f>
        <v>wydatki inne</v>
      </c>
      <c r="H3979" t="str">
        <f>_xlfn.XLOOKUP(transakcje[[#This Row],[kategoria]],parametr[kategoria],parametr[typ])</f>
        <v>wydatki</v>
      </c>
      <c r="I3979" s="1">
        <f>ABS(transakcje[[#This Row],[kwota]])</f>
        <v>9.9980000000000011</v>
      </c>
    </row>
    <row r="3980" spans="1:9" x14ac:dyDescent="0.3">
      <c r="A3980">
        <v>3979</v>
      </c>
      <c r="B3980">
        <v>2022</v>
      </c>
      <c r="C3980">
        <v>9</v>
      </c>
      <c r="D3980">
        <v>3</v>
      </c>
      <c r="E3980" s="1">
        <v>-7.4580000000000002</v>
      </c>
      <c r="F3980" t="s">
        <v>35</v>
      </c>
      <c r="G3980" t="str">
        <f>_xlfn.XLOOKUP(transakcje[[#This Row],[podkategoria]],parametr[podkategoria],parametr[kategoria])</f>
        <v>opłaty stałe</v>
      </c>
      <c r="H3980" t="str">
        <f>_xlfn.XLOOKUP(transakcje[[#This Row],[kategoria]],parametr[kategoria],parametr[typ])</f>
        <v>wydatki</v>
      </c>
      <c r="I3980" s="1">
        <f>ABS(transakcje[[#This Row],[kwota]])</f>
        <v>7.4580000000000002</v>
      </c>
    </row>
    <row r="3981" spans="1:9" x14ac:dyDescent="0.3">
      <c r="A3981">
        <v>3980</v>
      </c>
      <c r="B3981">
        <v>2022</v>
      </c>
      <c r="C3981">
        <v>9</v>
      </c>
      <c r="D3981">
        <v>3</v>
      </c>
      <c r="E3981" s="1">
        <v>-46.4</v>
      </c>
      <c r="F3981" t="s">
        <v>30</v>
      </c>
      <c r="G3981" t="str">
        <f>_xlfn.XLOOKUP(transakcje[[#This Row],[podkategoria]],parametr[podkategoria],parametr[kategoria])</f>
        <v>opłaty stałe</v>
      </c>
      <c r="H3981" t="str">
        <f>_xlfn.XLOOKUP(transakcje[[#This Row],[kategoria]],parametr[kategoria],parametr[typ])</f>
        <v>wydatki</v>
      </c>
      <c r="I3981" s="1">
        <f>ABS(transakcje[[#This Row],[kwota]])</f>
        <v>46.4</v>
      </c>
    </row>
    <row r="3982" spans="1:9" x14ac:dyDescent="0.3">
      <c r="A3982">
        <v>3981</v>
      </c>
      <c r="B3982">
        <v>2022</v>
      </c>
      <c r="C3982">
        <v>9</v>
      </c>
      <c r="D3982">
        <v>3</v>
      </c>
      <c r="E3982" s="1">
        <v>-6.04</v>
      </c>
      <c r="F3982" t="s">
        <v>25</v>
      </c>
      <c r="G3982" t="str">
        <f>_xlfn.XLOOKUP(transakcje[[#This Row],[podkategoria]],parametr[podkategoria],parametr[kategoria])</f>
        <v>opłaty stałe</v>
      </c>
      <c r="H3982" t="str">
        <f>_xlfn.XLOOKUP(transakcje[[#This Row],[kategoria]],parametr[kategoria],parametr[typ])</f>
        <v>wydatki</v>
      </c>
      <c r="I3982" s="1">
        <f>ABS(transakcje[[#This Row],[kwota]])</f>
        <v>6.04</v>
      </c>
    </row>
    <row r="3983" spans="1:9" x14ac:dyDescent="0.3">
      <c r="A3983">
        <v>3982</v>
      </c>
      <c r="B3983">
        <v>2022</v>
      </c>
      <c r="C3983">
        <v>9</v>
      </c>
      <c r="D3983">
        <v>3</v>
      </c>
      <c r="E3983" s="1">
        <v>-7.38</v>
      </c>
      <c r="F3983" t="s">
        <v>23</v>
      </c>
      <c r="G3983" t="str">
        <f>_xlfn.XLOOKUP(transakcje[[#This Row],[podkategoria]],parametr[podkategoria],parametr[kategoria])</f>
        <v>opłaty stałe</v>
      </c>
      <c r="H3983" t="str">
        <f>_xlfn.XLOOKUP(transakcje[[#This Row],[kategoria]],parametr[kategoria],parametr[typ])</f>
        <v>wydatki</v>
      </c>
      <c r="I3983" s="1">
        <f>ABS(transakcje[[#This Row],[kwota]])</f>
        <v>7.38</v>
      </c>
    </row>
    <row r="3984" spans="1:9" x14ac:dyDescent="0.3">
      <c r="A3984">
        <v>3983</v>
      </c>
      <c r="B3984">
        <v>2022</v>
      </c>
      <c r="C3984">
        <v>9</v>
      </c>
      <c r="D3984">
        <v>3</v>
      </c>
      <c r="E3984" s="1">
        <v>-84.224000000000004</v>
      </c>
      <c r="F3984" t="s">
        <v>24</v>
      </c>
      <c r="G3984" t="str">
        <f>_xlfn.XLOOKUP(transakcje[[#This Row],[podkategoria]],parametr[podkategoria],parametr[kategoria])</f>
        <v>trwałe</v>
      </c>
      <c r="H3984" t="str">
        <f>_xlfn.XLOOKUP(transakcje[[#This Row],[kategoria]],parametr[kategoria],parametr[typ])</f>
        <v>wydatki</v>
      </c>
      <c r="I3984" s="1">
        <f>ABS(transakcje[[#This Row],[kwota]])</f>
        <v>84.224000000000004</v>
      </c>
    </row>
    <row r="3985" spans="1:9" x14ac:dyDescent="0.3">
      <c r="A3985">
        <v>3984</v>
      </c>
      <c r="B3985">
        <v>2022</v>
      </c>
      <c r="C3985">
        <v>9</v>
      </c>
      <c r="D3985">
        <v>10</v>
      </c>
      <c r="E3985" s="1">
        <v>-2.57</v>
      </c>
      <c r="F3985" t="s">
        <v>26</v>
      </c>
      <c r="G3985" t="str">
        <f>_xlfn.XLOOKUP(transakcje[[#This Row],[podkategoria]],parametr[podkategoria],parametr[kategoria])</f>
        <v>życie</v>
      </c>
      <c r="H3985" t="str">
        <f>_xlfn.XLOOKUP(transakcje[[#This Row],[kategoria]],parametr[kategoria],parametr[typ])</f>
        <v>wydatki</v>
      </c>
      <c r="I3985" s="1">
        <f>ABS(transakcje[[#This Row],[kwota]])</f>
        <v>2.57</v>
      </c>
    </row>
    <row r="3986" spans="1:9" x14ac:dyDescent="0.3">
      <c r="A3986">
        <v>3985</v>
      </c>
      <c r="B3986">
        <v>2022</v>
      </c>
      <c r="C3986">
        <v>9</v>
      </c>
      <c r="D3986">
        <v>10</v>
      </c>
      <c r="E3986" s="1">
        <v>-49.986000000000004</v>
      </c>
      <c r="F3986" t="s">
        <v>11</v>
      </c>
      <c r="G3986" t="str">
        <f>_xlfn.XLOOKUP(transakcje[[#This Row],[podkategoria]],parametr[podkategoria],parametr[kategoria])</f>
        <v>wydatki inne</v>
      </c>
      <c r="H3986" t="str">
        <f>_xlfn.XLOOKUP(transakcje[[#This Row],[kategoria]],parametr[kategoria],parametr[typ])</f>
        <v>wydatki</v>
      </c>
      <c r="I3986" s="1">
        <f>ABS(transakcje[[#This Row],[kwota]])</f>
        <v>49.986000000000004</v>
      </c>
    </row>
    <row r="3987" spans="1:9" x14ac:dyDescent="0.3">
      <c r="A3987">
        <v>3986</v>
      </c>
      <c r="B3987">
        <v>2022</v>
      </c>
      <c r="C3987">
        <v>9</v>
      </c>
      <c r="D3987">
        <v>12</v>
      </c>
      <c r="E3987" s="1">
        <v>-115.8</v>
      </c>
      <c r="F3987" t="s">
        <v>26</v>
      </c>
      <c r="G3987" t="str">
        <f>_xlfn.XLOOKUP(transakcje[[#This Row],[podkategoria]],parametr[podkategoria],parametr[kategoria])</f>
        <v>życie</v>
      </c>
      <c r="H3987" t="str">
        <f>_xlfn.XLOOKUP(transakcje[[#This Row],[kategoria]],parametr[kategoria],parametr[typ])</f>
        <v>wydatki</v>
      </c>
      <c r="I3987" s="1">
        <f>ABS(transakcje[[#This Row],[kwota]])</f>
        <v>115.8</v>
      </c>
    </row>
    <row r="3988" spans="1:9" x14ac:dyDescent="0.3">
      <c r="A3988">
        <v>3987</v>
      </c>
      <c r="B3988">
        <v>2022</v>
      </c>
      <c r="C3988">
        <v>9</v>
      </c>
      <c r="D3988">
        <v>12</v>
      </c>
      <c r="E3988" s="1">
        <v>-6.4</v>
      </c>
      <c r="F3988" t="s">
        <v>26</v>
      </c>
      <c r="G3988" t="str">
        <f>_xlfn.XLOOKUP(transakcje[[#This Row],[podkategoria]],parametr[podkategoria],parametr[kategoria])</f>
        <v>życie</v>
      </c>
      <c r="H3988" t="str">
        <f>_xlfn.XLOOKUP(transakcje[[#This Row],[kategoria]],parametr[kategoria],parametr[typ])</f>
        <v>wydatki</v>
      </c>
      <c r="I3988" s="1">
        <f>ABS(transakcje[[#This Row],[kwota]])</f>
        <v>6.4</v>
      </c>
    </row>
    <row r="3989" spans="1:9" x14ac:dyDescent="0.3">
      <c r="A3989">
        <v>3988</v>
      </c>
      <c r="B3989">
        <v>2022</v>
      </c>
      <c r="C3989">
        <v>9</v>
      </c>
      <c r="D3989">
        <v>12</v>
      </c>
      <c r="E3989" s="1">
        <v>-51.632000000000005</v>
      </c>
      <c r="F3989" t="s">
        <v>11</v>
      </c>
      <c r="G3989" t="str">
        <f>_xlfn.XLOOKUP(transakcje[[#This Row],[podkategoria]],parametr[podkategoria],parametr[kategoria])</f>
        <v>wydatki inne</v>
      </c>
      <c r="H3989" t="str">
        <f>_xlfn.XLOOKUP(transakcje[[#This Row],[kategoria]],parametr[kategoria],parametr[typ])</f>
        <v>wydatki</v>
      </c>
      <c r="I3989" s="1">
        <f>ABS(transakcje[[#This Row],[kwota]])</f>
        <v>51.632000000000005</v>
      </c>
    </row>
    <row r="3990" spans="1:9" x14ac:dyDescent="0.3">
      <c r="A3990">
        <v>3989</v>
      </c>
      <c r="B3990">
        <v>2022</v>
      </c>
      <c r="C3990">
        <v>9</v>
      </c>
      <c r="D3990">
        <v>13</v>
      </c>
      <c r="E3990" s="1">
        <v>-28.336000000000002</v>
      </c>
      <c r="F3990" t="s">
        <v>11</v>
      </c>
      <c r="G3990" t="str">
        <f>_xlfn.XLOOKUP(transakcje[[#This Row],[podkategoria]],parametr[podkategoria],parametr[kategoria])</f>
        <v>wydatki inne</v>
      </c>
      <c r="H3990" t="str">
        <f>_xlfn.XLOOKUP(transakcje[[#This Row],[kategoria]],parametr[kategoria],parametr[typ])</f>
        <v>wydatki</v>
      </c>
      <c r="I3990" s="1">
        <f>ABS(transakcje[[#This Row],[kwota]])</f>
        <v>28.336000000000002</v>
      </c>
    </row>
    <row r="3991" spans="1:9" x14ac:dyDescent="0.3">
      <c r="A3991">
        <v>3990</v>
      </c>
      <c r="B3991">
        <v>2022</v>
      </c>
      <c r="C3991">
        <v>9</v>
      </c>
      <c r="D3991">
        <v>13</v>
      </c>
      <c r="E3991" s="1">
        <v>-0.2</v>
      </c>
      <c r="F3991" t="s">
        <v>14</v>
      </c>
      <c r="G3991" t="str">
        <f>_xlfn.XLOOKUP(transakcje[[#This Row],[podkategoria]],parametr[podkategoria],parametr[kategoria])</f>
        <v>opłaty stałe</v>
      </c>
      <c r="H3991" t="str">
        <f>_xlfn.XLOOKUP(transakcje[[#This Row],[kategoria]],parametr[kategoria],parametr[typ])</f>
        <v>wydatki</v>
      </c>
      <c r="I3991" s="1">
        <f>ABS(transakcje[[#This Row],[kwota]])</f>
        <v>0.2</v>
      </c>
    </row>
    <row r="3992" spans="1:9" x14ac:dyDescent="0.3">
      <c r="A3992">
        <v>3991</v>
      </c>
      <c r="B3992">
        <v>2022</v>
      </c>
      <c r="C3992">
        <v>9</v>
      </c>
      <c r="D3992">
        <v>14</v>
      </c>
      <c r="E3992" s="1">
        <v>-52.982000000000006</v>
      </c>
      <c r="F3992" t="s">
        <v>11</v>
      </c>
      <c r="G3992" t="str">
        <f>_xlfn.XLOOKUP(transakcje[[#This Row],[podkategoria]],parametr[podkategoria],parametr[kategoria])</f>
        <v>wydatki inne</v>
      </c>
      <c r="H3992" t="str">
        <f>_xlfn.XLOOKUP(transakcje[[#This Row],[kategoria]],parametr[kategoria],parametr[typ])</f>
        <v>wydatki</v>
      </c>
      <c r="I3992" s="1">
        <f>ABS(transakcje[[#This Row],[kwota]])</f>
        <v>52.982000000000006</v>
      </c>
    </row>
    <row r="3993" spans="1:9" x14ac:dyDescent="0.3">
      <c r="A3993">
        <v>3992</v>
      </c>
      <c r="B3993">
        <v>2022</v>
      </c>
      <c r="C3993">
        <v>9</v>
      </c>
      <c r="D3993">
        <v>15</v>
      </c>
      <c r="E3993" s="1">
        <v>-5</v>
      </c>
      <c r="F3993" t="s">
        <v>26</v>
      </c>
      <c r="G3993" t="str">
        <f>_xlfn.XLOOKUP(transakcje[[#This Row],[podkategoria]],parametr[podkategoria],parametr[kategoria])</f>
        <v>życie</v>
      </c>
      <c r="H3993" t="str">
        <f>_xlfn.XLOOKUP(transakcje[[#This Row],[kategoria]],parametr[kategoria],parametr[typ])</f>
        <v>wydatki</v>
      </c>
      <c r="I3993" s="1">
        <f>ABS(transakcje[[#This Row],[kwota]])</f>
        <v>5</v>
      </c>
    </row>
    <row r="3994" spans="1:9" x14ac:dyDescent="0.3">
      <c r="A3994">
        <v>3993</v>
      </c>
      <c r="B3994">
        <v>2022</v>
      </c>
      <c r="C3994">
        <v>9</v>
      </c>
      <c r="D3994">
        <v>15</v>
      </c>
      <c r="E3994" s="1">
        <v>-5.54</v>
      </c>
      <c r="F3994" t="s">
        <v>26</v>
      </c>
      <c r="G3994" t="str">
        <f>_xlfn.XLOOKUP(transakcje[[#This Row],[podkategoria]],parametr[podkategoria],parametr[kategoria])</f>
        <v>życie</v>
      </c>
      <c r="H3994" t="str">
        <f>_xlfn.XLOOKUP(transakcje[[#This Row],[kategoria]],parametr[kategoria],parametr[typ])</f>
        <v>wydatki</v>
      </c>
      <c r="I3994" s="1">
        <f>ABS(transakcje[[#This Row],[kwota]])</f>
        <v>5.54</v>
      </c>
    </row>
    <row r="3995" spans="1:9" x14ac:dyDescent="0.3">
      <c r="A3995">
        <v>3994</v>
      </c>
      <c r="B3995">
        <v>2022</v>
      </c>
      <c r="C3995">
        <v>9</v>
      </c>
      <c r="D3995">
        <v>15</v>
      </c>
      <c r="E3995" s="1">
        <v>-46.966000000000001</v>
      </c>
      <c r="F3995" t="s">
        <v>11</v>
      </c>
      <c r="G3995" t="str">
        <f>_xlfn.XLOOKUP(transakcje[[#This Row],[podkategoria]],parametr[podkategoria],parametr[kategoria])</f>
        <v>wydatki inne</v>
      </c>
      <c r="H3995" t="str">
        <f>_xlfn.XLOOKUP(transakcje[[#This Row],[kategoria]],parametr[kategoria],parametr[typ])</f>
        <v>wydatki</v>
      </c>
      <c r="I3995" s="1">
        <f>ABS(transakcje[[#This Row],[kwota]])</f>
        <v>46.966000000000001</v>
      </c>
    </row>
    <row r="3996" spans="1:9" x14ac:dyDescent="0.3">
      <c r="A3996">
        <v>3995</v>
      </c>
      <c r="B3996">
        <v>2022</v>
      </c>
      <c r="C3996">
        <v>9</v>
      </c>
      <c r="D3996">
        <v>16</v>
      </c>
      <c r="E3996" s="1">
        <v>-8</v>
      </c>
      <c r="F3996" t="s">
        <v>26</v>
      </c>
      <c r="G3996" t="str">
        <f>_xlfn.XLOOKUP(transakcje[[#This Row],[podkategoria]],parametr[podkategoria],parametr[kategoria])</f>
        <v>życie</v>
      </c>
      <c r="H3996" t="str">
        <f>_xlfn.XLOOKUP(transakcje[[#This Row],[kategoria]],parametr[kategoria],parametr[typ])</f>
        <v>wydatki</v>
      </c>
      <c r="I3996" s="1">
        <f>ABS(transakcje[[#This Row],[kwota]])</f>
        <v>8</v>
      </c>
    </row>
    <row r="3997" spans="1:9" x14ac:dyDescent="0.3">
      <c r="A3997">
        <v>3996</v>
      </c>
      <c r="B3997">
        <v>2022</v>
      </c>
      <c r="C3997">
        <v>9</v>
      </c>
      <c r="D3997">
        <v>17</v>
      </c>
      <c r="E3997" s="1">
        <v>-2.6559999999999997</v>
      </c>
      <c r="F3997" t="s">
        <v>26</v>
      </c>
      <c r="G3997" t="str">
        <f>_xlfn.XLOOKUP(transakcje[[#This Row],[podkategoria]],parametr[podkategoria],parametr[kategoria])</f>
        <v>życie</v>
      </c>
      <c r="H3997" t="str">
        <f>_xlfn.XLOOKUP(transakcje[[#This Row],[kategoria]],parametr[kategoria],parametr[typ])</f>
        <v>wydatki</v>
      </c>
      <c r="I3997" s="1">
        <f>ABS(transakcje[[#This Row],[kwota]])</f>
        <v>2.6559999999999997</v>
      </c>
    </row>
    <row r="3998" spans="1:9" x14ac:dyDescent="0.3">
      <c r="A3998">
        <v>3997</v>
      </c>
      <c r="B3998">
        <v>2022</v>
      </c>
      <c r="C3998">
        <v>9</v>
      </c>
      <c r="D3998">
        <v>20</v>
      </c>
      <c r="E3998" s="1">
        <v>-0.87799999999999989</v>
      </c>
      <c r="F3998" t="s">
        <v>26</v>
      </c>
      <c r="G3998" t="str">
        <f>_xlfn.XLOOKUP(transakcje[[#This Row],[podkategoria]],parametr[podkategoria],parametr[kategoria])</f>
        <v>życie</v>
      </c>
      <c r="H3998" t="str">
        <f>_xlfn.XLOOKUP(transakcje[[#This Row],[kategoria]],parametr[kategoria],parametr[typ])</f>
        <v>wydatki</v>
      </c>
      <c r="I3998" s="1">
        <f>ABS(transakcje[[#This Row],[kwota]])</f>
        <v>0.87799999999999989</v>
      </c>
    </row>
    <row r="3999" spans="1:9" x14ac:dyDescent="0.3">
      <c r="A3999">
        <v>3998</v>
      </c>
      <c r="B3999">
        <v>2022</v>
      </c>
      <c r="C3999">
        <v>9</v>
      </c>
      <c r="D3999">
        <v>20</v>
      </c>
      <c r="E3999" s="1">
        <v>-19.716000000000001</v>
      </c>
      <c r="F3999" t="s">
        <v>11</v>
      </c>
      <c r="G3999" t="str">
        <f>_xlfn.XLOOKUP(transakcje[[#This Row],[podkategoria]],parametr[podkategoria],parametr[kategoria])</f>
        <v>wydatki inne</v>
      </c>
      <c r="H3999" t="str">
        <f>_xlfn.XLOOKUP(transakcje[[#This Row],[kategoria]],parametr[kategoria],parametr[typ])</f>
        <v>wydatki</v>
      </c>
      <c r="I3999" s="1">
        <f>ABS(transakcje[[#This Row],[kwota]])</f>
        <v>19.716000000000001</v>
      </c>
    </row>
    <row r="4000" spans="1:9" x14ac:dyDescent="0.3">
      <c r="A4000">
        <v>3999</v>
      </c>
      <c r="B4000">
        <v>2022</v>
      </c>
      <c r="C4000">
        <v>9</v>
      </c>
      <c r="D4000">
        <v>21</v>
      </c>
      <c r="E4000" s="1">
        <v>-24.48</v>
      </c>
      <c r="F4000" t="s">
        <v>32</v>
      </c>
      <c r="G4000" t="str">
        <f>_xlfn.XLOOKUP(transakcje[[#This Row],[podkategoria]],parametr[podkategoria],parametr[kategoria])</f>
        <v>opłaty stałe</v>
      </c>
      <c r="H4000" t="str">
        <f>_xlfn.XLOOKUP(transakcje[[#This Row],[kategoria]],parametr[kategoria],parametr[typ])</f>
        <v>wydatki</v>
      </c>
      <c r="I4000" s="1">
        <f>ABS(transakcje[[#This Row],[kwota]])</f>
        <v>24.48</v>
      </c>
    </row>
    <row r="4001" spans="1:9" x14ac:dyDescent="0.3">
      <c r="A4001">
        <v>4000</v>
      </c>
      <c r="B4001">
        <v>2022</v>
      </c>
      <c r="C4001">
        <v>9</v>
      </c>
      <c r="D4001">
        <v>24</v>
      </c>
      <c r="E4001" s="1">
        <v>-2.6339999999999999</v>
      </c>
      <c r="F4001" t="s">
        <v>11</v>
      </c>
      <c r="G4001" t="str">
        <f>_xlfn.XLOOKUP(transakcje[[#This Row],[podkategoria]],parametr[podkategoria],parametr[kategoria])</f>
        <v>wydatki inne</v>
      </c>
      <c r="H4001" t="str">
        <f>_xlfn.XLOOKUP(transakcje[[#This Row],[kategoria]],parametr[kategoria],parametr[typ])</f>
        <v>wydatki</v>
      </c>
      <c r="I4001" s="1">
        <f>ABS(transakcje[[#This Row],[kwota]])</f>
        <v>2.6339999999999999</v>
      </c>
    </row>
    <row r="4002" spans="1:9" x14ac:dyDescent="0.3">
      <c r="A4002">
        <v>4001</v>
      </c>
      <c r="B4002">
        <v>2022</v>
      </c>
      <c r="C4002">
        <v>9</v>
      </c>
      <c r="D4002">
        <v>24</v>
      </c>
      <c r="E4002" s="1">
        <v>-2.734</v>
      </c>
      <c r="F4002" t="s">
        <v>26</v>
      </c>
      <c r="G4002" t="str">
        <f>_xlfn.XLOOKUP(transakcje[[#This Row],[podkategoria]],parametr[podkategoria],parametr[kategoria])</f>
        <v>życie</v>
      </c>
      <c r="H4002" t="str">
        <f>_xlfn.XLOOKUP(transakcje[[#This Row],[kategoria]],parametr[kategoria],parametr[typ])</f>
        <v>wydatki</v>
      </c>
      <c r="I4002" s="1">
        <f>ABS(transakcje[[#This Row],[kwota]])</f>
        <v>2.734</v>
      </c>
    </row>
    <row r="4003" spans="1:9" x14ac:dyDescent="0.3">
      <c r="A4003">
        <v>4002</v>
      </c>
      <c r="B4003">
        <v>2022</v>
      </c>
      <c r="C4003">
        <v>9</v>
      </c>
      <c r="D4003">
        <v>26</v>
      </c>
      <c r="E4003" s="1">
        <v>833.07</v>
      </c>
      <c r="F4003" t="s">
        <v>8</v>
      </c>
      <c r="G4003" t="str">
        <f>_xlfn.XLOOKUP(transakcje[[#This Row],[podkategoria]],parametr[podkategoria],parametr[kategoria])</f>
        <v>dochody z pracy</v>
      </c>
      <c r="H4003" t="str">
        <f>_xlfn.XLOOKUP(transakcje[[#This Row],[kategoria]],parametr[kategoria],parametr[typ])</f>
        <v>dochody</v>
      </c>
      <c r="I4003" s="1">
        <f>ABS(transakcje[[#This Row],[kwota]])</f>
        <v>833.07</v>
      </c>
    </row>
    <row r="4004" spans="1:9" x14ac:dyDescent="0.3">
      <c r="A4004">
        <v>4003</v>
      </c>
      <c r="B4004">
        <v>2022</v>
      </c>
      <c r="C4004">
        <v>9</v>
      </c>
      <c r="D4004">
        <v>26</v>
      </c>
      <c r="E4004" s="1">
        <v>-24.48</v>
      </c>
      <c r="F4004" t="s">
        <v>11</v>
      </c>
      <c r="G4004" t="str">
        <f>_xlfn.XLOOKUP(transakcje[[#This Row],[podkategoria]],parametr[podkategoria],parametr[kategoria])</f>
        <v>wydatki inne</v>
      </c>
      <c r="H4004" t="str">
        <f>_xlfn.XLOOKUP(transakcje[[#This Row],[kategoria]],parametr[kategoria],parametr[typ])</f>
        <v>wydatki</v>
      </c>
      <c r="I4004" s="1">
        <f>ABS(transakcje[[#This Row],[kwota]])</f>
        <v>24.48</v>
      </c>
    </row>
    <row r="4005" spans="1:9" x14ac:dyDescent="0.3">
      <c r="A4005">
        <v>4004</v>
      </c>
      <c r="B4005">
        <v>2022</v>
      </c>
      <c r="C4005">
        <v>9</v>
      </c>
      <c r="D4005">
        <v>29</v>
      </c>
      <c r="E4005" s="1">
        <v>-0.87799999999999989</v>
      </c>
      <c r="F4005" t="s">
        <v>26</v>
      </c>
      <c r="G4005" t="str">
        <f>_xlfn.XLOOKUP(transakcje[[#This Row],[podkategoria]],parametr[podkategoria],parametr[kategoria])</f>
        <v>życie</v>
      </c>
      <c r="H4005" t="str">
        <f>_xlfn.XLOOKUP(transakcje[[#This Row],[kategoria]],parametr[kategoria],parametr[typ])</f>
        <v>wydatki</v>
      </c>
      <c r="I4005" s="1">
        <f>ABS(transakcje[[#This Row],[kwota]])</f>
        <v>0.87799999999999989</v>
      </c>
    </row>
    <row r="4006" spans="1:9" x14ac:dyDescent="0.3">
      <c r="A4006">
        <v>4005</v>
      </c>
      <c r="B4006">
        <v>2022</v>
      </c>
      <c r="C4006">
        <v>9</v>
      </c>
      <c r="D4006">
        <v>30</v>
      </c>
      <c r="E4006" s="1">
        <v>-1.4</v>
      </c>
      <c r="F4006" t="s">
        <v>14</v>
      </c>
      <c r="G4006" t="str">
        <f>_xlfn.XLOOKUP(transakcje[[#This Row],[podkategoria]],parametr[podkategoria],parametr[kategoria])</f>
        <v>opłaty stałe</v>
      </c>
      <c r="H4006" t="str">
        <f>_xlfn.XLOOKUP(transakcje[[#This Row],[kategoria]],parametr[kategoria],parametr[typ])</f>
        <v>wydatki</v>
      </c>
      <c r="I4006" s="1">
        <f>ABS(transakcje[[#This Row],[kwota]])</f>
        <v>1.4</v>
      </c>
    </row>
    <row r="4007" spans="1:9" x14ac:dyDescent="0.3">
      <c r="A4007">
        <v>4006</v>
      </c>
      <c r="B4007">
        <v>2022</v>
      </c>
      <c r="C4007">
        <v>9</v>
      </c>
      <c r="D4007">
        <v>30</v>
      </c>
      <c r="E4007" s="1">
        <v>6.0000000000000001E-3</v>
      </c>
      <c r="F4007" t="s">
        <v>17</v>
      </c>
      <c r="G4007" t="str">
        <f>_xlfn.XLOOKUP(transakcje[[#This Row],[podkategoria]],parametr[podkategoria],parametr[kategoria])</f>
        <v>dochody pozostałe</v>
      </c>
      <c r="H4007" t="str">
        <f>_xlfn.XLOOKUP(transakcje[[#This Row],[kategoria]],parametr[kategoria],parametr[typ])</f>
        <v>dochody</v>
      </c>
      <c r="I4007" s="1">
        <f>ABS(transakcje[[#This Row],[kwota]])</f>
        <v>6.0000000000000001E-3</v>
      </c>
    </row>
    <row r="4008" spans="1:9" x14ac:dyDescent="0.3">
      <c r="A4008">
        <v>4007</v>
      </c>
      <c r="B4008">
        <v>2022</v>
      </c>
      <c r="C4008">
        <v>9</v>
      </c>
      <c r="D4008">
        <v>30</v>
      </c>
      <c r="E4008" s="1">
        <v>-2E-3</v>
      </c>
      <c r="F4008" t="s">
        <v>14</v>
      </c>
      <c r="G4008" t="str">
        <f>_xlfn.XLOOKUP(transakcje[[#This Row],[podkategoria]],parametr[podkategoria],parametr[kategoria])</f>
        <v>opłaty stałe</v>
      </c>
      <c r="H4008" t="str">
        <f>_xlfn.XLOOKUP(transakcje[[#This Row],[kategoria]],parametr[kategoria],parametr[typ])</f>
        <v>wydatki</v>
      </c>
      <c r="I4008" s="1">
        <f>ABS(transakcje[[#This Row],[kwota]])</f>
        <v>2E-3</v>
      </c>
    </row>
    <row r="4009" spans="1:9" x14ac:dyDescent="0.3">
      <c r="A4009">
        <v>4008</v>
      </c>
      <c r="B4009">
        <v>2022</v>
      </c>
      <c r="C4009">
        <v>10</v>
      </c>
      <c r="D4009">
        <v>1</v>
      </c>
      <c r="E4009" s="1">
        <v>-5.798</v>
      </c>
      <c r="F4009" t="s">
        <v>11</v>
      </c>
      <c r="G4009" t="str">
        <f>_xlfn.XLOOKUP(transakcje[[#This Row],[podkategoria]],parametr[podkategoria],parametr[kategoria])</f>
        <v>wydatki inne</v>
      </c>
      <c r="H4009" t="str">
        <f>_xlfn.XLOOKUP(transakcje[[#This Row],[kategoria]],parametr[kategoria],parametr[typ])</f>
        <v>wydatki</v>
      </c>
      <c r="I4009" s="1">
        <f>ABS(transakcje[[#This Row],[kwota]])</f>
        <v>5.798</v>
      </c>
    </row>
    <row r="4010" spans="1:9" x14ac:dyDescent="0.3">
      <c r="A4010">
        <v>4009</v>
      </c>
      <c r="B4010">
        <v>2022</v>
      </c>
      <c r="C4010">
        <v>10</v>
      </c>
      <c r="D4010">
        <v>1</v>
      </c>
      <c r="E4010" s="1">
        <v>-5.8</v>
      </c>
      <c r="F4010" t="s">
        <v>25</v>
      </c>
      <c r="G4010" t="str">
        <f>_xlfn.XLOOKUP(transakcje[[#This Row],[podkategoria]],parametr[podkategoria],parametr[kategoria])</f>
        <v>opłaty stałe</v>
      </c>
      <c r="H4010" t="str">
        <f>_xlfn.XLOOKUP(transakcje[[#This Row],[kategoria]],parametr[kategoria],parametr[typ])</f>
        <v>wydatki</v>
      </c>
      <c r="I4010" s="1">
        <f>ABS(transakcje[[#This Row],[kwota]])</f>
        <v>5.8</v>
      </c>
    </row>
    <row r="4011" spans="1:9" x14ac:dyDescent="0.3">
      <c r="A4011">
        <v>4010</v>
      </c>
      <c r="B4011">
        <v>2022</v>
      </c>
      <c r="C4011">
        <v>10</v>
      </c>
      <c r="D4011">
        <v>1</v>
      </c>
      <c r="E4011" s="1">
        <v>-7.38</v>
      </c>
      <c r="F4011" t="s">
        <v>23</v>
      </c>
      <c r="G4011" t="str">
        <f>_xlfn.XLOOKUP(transakcje[[#This Row],[podkategoria]],parametr[podkategoria],parametr[kategoria])</f>
        <v>opłaty stałe</v>
      </c>
      <c r="H4011" t="str">
        <f>_xlfn.XLOOKUP(transakcje[[#This Row],[kategoria]],parametr[kategoria],parametr[typ])</f>
        <v>wydatki</v>
      </c>
      <c r="I4011" s="1">
        <f>ABS(transakcje[[#This Row],[kwota]])</f>
        <v>7.38</v>
      </c>
    </row>
    <row r="4012" spans="1:9" x14ac:dyDescent="0.3">
      <c r="A4012">
        <v>4011</v>
      </c>
      <c r="B4012">
        <v>2022</v>
      </c>
      <c r="C4012">
        <v>10</v>
      </c>
      <c r="D4012">
        <v>1</v>
      </c>
      <c r="E4012" s="1">
        <v>-84.224000000000004</v>
      </c>
      <c r="F4012" t="s">
        <v>31</v>
      </c>
      <c r="G4012" t="str">
        <f>_xlfn.XLOOKUP(transakcje[[#This Row],[podkategoria]],parametr[podkategoria],parametr[kategoria])</f>
        <v>opłaty stałe</v>
      </c>
      <c r="H4012" t="str">
        <f>_xlfn.XLOOKUP(transakcje[[#This Row],[kategoria]],parametr[kategoria],parametr[typ])</f>
        <v>wydatki</v>
      </c>
      <c r="I4012" s="1">
        <f>ABS(transakcje[[#This Row],[kwota]])</f>
        <v>84.224000000000004</v>
      </c>
    </row>
    <row r="4013" spans="1:9" x14ac:dyDescent="0.3">
      <c r="A4013">
        <v>4012</v>
      </c>
      <c r="B4013">
        <v>2022</v>
      </c>
      <c r="C4013">
        <v>10</v>
      </c>
      <c r="D4013">
        <v>1</v>
      </c>
      <c r="E4013" s="1">
        <v>-9.9980000000000011</v>
      </c>
      <c r="F4013" t="s">
        <v>11</v>
      </c>
      <c r="G4013" t="str">
        <f>_xlfn.XLOOKUP(transakcje[[#This Row],[podkategoria]],parametr[podkategoria],parametr[kategoria])</f>
        <v>wydatki inne</v>
      </c>
      <c r="H4013" t="str">
        <f>_xlfn.XLOOKUP(transakcje[[#This Row],[kategoria]],parametr[kategoria],parametr[typ])</f>
        <v>wydatki</v>
      </c>
      <c r="I4013" s="1">
        <f>ABS(transakcje[[#This Row],[kwota]])</f>
        <v>9.9980000000000011</v>
      </c>
    </row>
    <row r="4014" spans="1:9" x14ac:dyDescent="0.3">
      <c r="A4014">
        <v>4013</v>
      </c>
      <c r="B4014">
        <v>2022</v>
      </c>
      <c r="C4014">
        <v>10</v>
      </c>
      <c r="D4014">
        <v>3</v>
      </c>
      <c r="E4014" s="1">
        <v>-0.08</v>
      </c>
      <c r="F4014" t="s">
        <v>26</v>
      </c>
      <c r="G4014" t="str">
        <f>_xlfn.XLOOKUP(transakcje[[#This Row],[podkategoria]],parametr[podkategoria],parametr[kategoria])</f>
        <v>życie</v>
      </c>
      <c r="H4014" t="str">
        <f>_xlfn.XLOOKUP(transakcje[[#This Row],[kategoria]],parametr[kategoria],parametr[typ])</f>
        <v>wydatki</v>
      </c>
      <c r="I4014" s="1">
        <f>ABS(transakcje[[#This Row],[kwota]])</f>
        <v>0.08</v>
      </c>
    </row>
    <row r="4015" spans="1:9" x14ac:dyDescent="0.3">
      <c r="A4015">
        <v>4014</v>
      </c>
      <c r="B4015">
        <v>2022</v>
      </c>
      <c r="C4015">
        <v>10</v>
      </c>
      <c r="D4015">
        <v>4</v>
      </c>
      <c r="E4015" s="1">
        <v>-0.92200000000000004</v>
      </c>
      <c r="F4015" t="s">
        <v>26</v>
      </c>
      <c r="G4015" t="str">
        <f>_xlfn.XLOOKUP(transakcje[[#This Row],[podkategoria]],parametr[podkategoria],parametr[kategoria])</f>
        <v>życie</v>
      </c>
      <c r="H4015" t="str">
        <f>_xlfn.XLOOKUP(transakcje[[#This Row],[kategoria]],parametr[kategoria],parametr[typ])</f>
        <v>wydatki</v>
      </c>
      <c r="I4015" s="1">
        <f>ABS(transakcje[[#This Row],[kwota]])</f>
        <v>0.92200000000000004</v>
      </c>
    </row>
    <row r="4016" spans="1:9" x14ac:dyDescent="0.3">
      <c r="A4016">
        <v>4015</v>
      </c>
      <c r="B4016">
        <v>2022</v>
      </c>
      <c r="C4016">
        <v>10</v>
      </c>
      <c r="D4016">
        <v>4</v>
      </c>
      <c r="E4016" s="1">
        <v>-0.87799999999999989</v>
      </c>
      <c r="F4016" t="s">
        <v>26</v>
      </c>
      <c r="G4016" t="str">
        <f>_xlfn.XLOOKUP(transakcje[[#This Row],[podkategoria]],parametr[podkategoria],parametr[kategoria])</f>
        <v>życie</v>
      </c>
      <c r="H4016" t="str">
        <f>_xlfn.XLOOKUP(transakcje[[#This Row],[kategoria]],parametr[kategoria],parametr[typ])</f>
        <v>wydatki</v>
      </c>
      <c r="I4016" s="1">
        <f>ABS(transakcje[[#This Row],[kwota]])</f>
        <v>0.87799999999999989</v>
      </c>
    </row>
    <row r="4017" spans="1:9" x14ac:dyDescent="0.3">
      <c r="A4017">
        <v>4016</v>
      </c>
      <c r="B4017">
        <v>2022</v>
      </c>
      <c r="C4017">
        <v>10</v>
      </c>
      <c r="D4017">
        <v>4</v>
      </c>
      <c r="E4017" s="1">
        <v>-15.468</v>
      </c>
      <c r="F4017" t="s">
        <v>26</v>
      </c>
      <c r="G4017" t="str">
        <f>_xlfn.XLOOKUP(transakcje[[#This Row],[podkategoria]],parametr[podkategoria],parametr[kategoria])</f>
        <v>życie</v>
      </c>
      <c r="H4017" t="str">
        <f>_xlfn.XLOOKUP(transakcje[[#This Row],[kategoria]],parametr[kategoria],parametr[typ])</f>
        <v>wydatki</v>
      </c>
      <c r="I4017" s="1">
        <f>ABS(transakcje[[#This Row],[kwota]])</f>
        <v>15.468</v>
      </c>
    </row>
    <row r="4018" spans="1:9" x14ac:dyDescent="0.3">
      <c r="A4018">
        <v>4017</v>
      </c>
      <c r="B4018">
        <v>2022</v>
      </c>
      <c r="C4018">
        <v>10</v>
      </c>
      <c r="D4018">
        <v>11</v>
      </c>
      <c r="E4018" s="1">
        <v>-0.98199999999999998</v>
      </c>
      <c r="F4018" t="s">
        <v>26</v>
      </c>
      <c r="G4018" t="str">
        <f>_xlfn.XLOOKUP(transakcje[[#This Row],[podkategoria]],parametr[podkategoria],parametr[kategoria])</f>
        <v>życie</v>
      </c>
      <c r="H4018" t="str">
        <f>_xlfn.XLOOKUP(transakcje[[#This Row],[kategoria]],parametr[kategoria],parametr[typ])</f>
        <v>wydatki</v>
      </c>
      <c r="I4018" s="1">
        <f>ABS(transakcje[[#This Row],[kwota]])</f>
        <v>0.98199999999999998</v>
      </c>
    </row>
    <row r="4019" spans="1:9" x14ac:dyDescent="0.3">
      <c r="A4019">
        <v>4018</v>
      </c>
      <c r="B4019">
        <v>2022</v>
      </c>
      <c r="C4019">
        <v>10</v>
      </c>
      <c r="D4019">
        <v>11</v>
      </c>
      <c r="E4019" s="1">
        <v>-0.87799999999999989</v>
      </c>
      <c r="F4019" t="s">
        <v>26</v>
      </c>
      <c r="G4019" t="str">
        <f>_xlfn.XLOOKUP(transakcje[[#This Row],[podkategoria]],parametr[podkategoria],parametr[kategoria])</f>
        <v>życie</v>
      </c>
      <c r="H4019" t="str">
        <f>_xlfn.XLOOKUP(transakcje[[#This Row],[kategoria]],parametr[kategoria],parametr[typ])</f>
        <v>wydatki</v>
      </c>
      <c r="I4019" s="1">
        <f>ABS(transakcje[[#This Row],[kwota]])</f>
        <v>0.87799999999999989</v>
      </c>
    </row>
    <row r="4020" spans="1:9" x14ac:dyDescent="0.3">
      <c r="A4020">
        <v>4019</v>
      </c>
      <c r="B4020">
        <v>2022</v>
      </c>
      <c r="C4020">
        <v>10</v>
      </c>
      <c r="D4020">
        <v>11</v>
      </c>
      <c r="E4020" s="1">
        <v>-16.584</v>
      </c>
      <c r="F4020" t="s">
        <v>26</v>
      </c>
      <c r="G4020" t="str">
        <f>_xlfn.XLOOKUP(transakcje[[#This Row],[podkategoria]],parametr[podkategoria],parametr[kategoria])</f>
        <v>życie</v>
      </c>
      <c r="H4020" t="str">
        <f>_xlfn.XLOOKUP(transakcje[[#This Row],[kategoria]],parametr[kategoria],parametr[typ])</f>
        <v>wydatki</v>
      </c>
      <c r="I4020" s="1">
        <f>ABS(transakcje[[#This Row],[kwota]])</f>
        <v>16.584</v>
      </c>
    </row>
    <row r="4021" spans="1:9" x14ac:dyDescent="0.3">
      <c r="A4021">
        <v>4020</v>
      </c>
      <c r="B4021">
        <v>2022</v>
      </c>
      <c r="C4021">
        <v>10</v>
      </c>
      <c r="D4021">
        <v>13</v>
      </c>
      <c r="E4021" s="1">
        <v>-0.87799999999999989</v>
      </c>
      <c r="F4021" t="s">
        <v>26</v>
      </c>
      <c r="G4021" t="str">
        <f>_xlfn.XLOOKUP(transakcje[[#This Row],[podkategoria]],parametr[podkategoria],parametr[kategoria])</f>
        <v>życie</v>
      </c>
      <c r="H4021" t="str">
        <f>_xlfn.XLOOKUP(transakcje[[#This Row],[kategoria]],parametr[kategoria],parametr[typ])</f>
        <v>wydatki</v>
      </c>
      <c r="I4021" s="1">
        <f>ABS(transakcje[[#This Row],[kwota]])</f>
        <v>0.87799999999999989</v>
      </c>
    </row>
    <row r="4022" spans="1:9" x14ac:dyDescent="0.3">
      <c r="A4022">
        <v>4021</v>
      </c>
      <c r="B4022">
        <v>2022</v>
      </c>
      <c r="C4022">
        <v>10</v>
      </c>
      <c r="D4022">
        <v>18</v>
      </c>
      <c r="E4022" s="1">
        <v>-0.2</v>
      </c>
      <c r="F4022" t="s">
        <v>14</v>
      </c>
      <c r="G4022" t="str">
        <f>_xlfn.XLOOKUP(transakcje[[#This Row],[podkategoria]],parametr[podkategoria],parametr[kategoria])</f>
        <v>opłaty stałe</v>
      </c>
      <c r="H4022" t="str">
        <f>_xlfn.XLOOKUP(transakcje[[#This Row],[kategoria]],parametr[kategoria],parametr[typ])</f>
        <v>wydatki</v>
      </c>
      <c r="I4022" s="1">
        <f>ABS(transakcje[[#This Row],[kwota]])</f>
        <v>0.2</v>
      </c>
    </row>
    <row r="4023" spans="1:9" x14ac:dyDescent="0.3">
      <c r="A4023">
        <v>4022</v>
      </c>
      <c r="B4023">
        <v>2022</v>
      </c>
      <c r="C4023">
        <v>10</v>
      </c>
      <c r="D4023">
        <v>19</v>
      </c>
      <c r="E4023" s="1">
        <v>-0.87799999999999989</v>
      </c>
      <c r="F4023" t="s">
        <v>26</v>
      </c>
      <c r="G4023" t="str">
        <f>_xlfn.XLOOKUP(transakcje[[#This Row],[podkategoria]],parametr[podkategoria],parametr[kategoria])</f>
        <v>życie</v>
      </c>
      <c r="H4023" t="str">
        <f>_xlfn.XLOOKUP(transakcje[[#This Row],[kategoria]],parametr[kategoria],parametr[typ])</f>
        <v>wydatki</v>
      </c>
      <c r="I4023" s="1">
        <f>ABS(transakcje[[#This Row],[kwota]])</f>
        <v>0.87799999999999989</v>
      </c>
    </row>
    <row r="4024" spans="1:9" x14ac:dyDescent="0.3">
      <c r="A4024">
        <v>4023</v>
      </c>
      <c r="B4024">
        <v>2022</v>
      </c>
      <c r="C4024">
        <v>10</v>
      </c>
      <c r="D4024">
        <v>19</v>
      </c>
      <c r="E4024" s="1">
        <v>-12.571999999999999</v>
      </c>
      <c r="F4024" t="s">
        <v>26</v>
      </c>
      <c r="G4024" t="str">
        <f>_xlfn.XLOOKUP(transakcje[[#This Row],[podkategoria]],parametr[podkategoria],parametr[kategoria])</f>
        <v>życie</v>
      </c>
      <c r="H4024" t="str">
        <f>_xlfn.XLOOKUP(transakcje[[#This Row],[kategoria]],parametr[kategoria],parametr[typ])</f>
        <v>wydatki</v>
      </c>
      <c r="I4024" s="1">
        <f>ABS(transakcje[[#This Row],[kwota]])</f>
        <v>12.571999999999999</v>
      </c>
    </row>
    <row r="4025" spans="1:9" x14ac:dyDescent="0.3">
      <c r="A4025">
        <v>4024</v>
      </c>
      <c r="B4025">
        <v>2022</v>
      </c>
      <c r="C4025">
        <v>10</v>
      </c>
      <c r="D4025">
        <v>22</v>
      </c>
      <c r="E4025" s="1">
        <v>-23.8</v>
      </c>
      <c r="F4025" t="s">
        <v>32</v>
      </c>
      <c r="G4025" t="str">
        <f>_xlfn.XLOOKUP(transakcje[[#This Row],[podkategoria]],parametr[podkategoria],parametr[kategoria])</f>
        <v>opłaty stałe</v>
      </c>
      <c r="H4025" t="str">
        <f>_xlfn.XLOOKUP(transakcje[[#This Row],[kategoria]],parametr[kategoria],parametr[typ])</f>
        <v>wydatki</v>
      </c>
      <c r="I4025" s="1">
        <f>ABS(transakcje[[#This Row],[kwota]])</f>
        <v>23.8</v>
      </c>
    </row>
    <row r="4026" spans="1:9" x14ac:dyDescent="0.3">
      <c r="A4026">
        <v>4025</v>
      </c>
      <c r="B4026">
        <v>2022</v>
      </c>
      <c r="C4026">
        <v>10</v>
      </c>
      <c r="D4026">
        <v>22</v>
      </c>
      <c r="E4026" s="1">
        <v>-21.274000000000001</v>
      </c>
      <c r="F4026" t="s">
        <v>34</v>
      </c>
      <c r="G4026" t="str">
        <f>_xlfn.XLOOKUP(transakcje[[#This Row],[podkategoria]],parametr[podkategoria],parametr[kategoria])</f>
        <v>opłaty stałe</v>
      </c>
      <c r="H4026" t="str">
        <f>_xlfn.XLOOKUP(transakcje[[#This Row],[kategoria]],parametr[kategoria],parametr[typ])</f>
        <v>wydatki</v>
      </c>
      <c r="I4026" s="1">
        <f>ABS(transakcje[[#This Row],[kwota]])</f>
        <v>21.274000000000001</v>
      </c>
    </row>
    <row r="4027" spans="1:9" x14ac:dyDescent="0.3">
      <c r="A4027">
        <v>4026</v>
      </c>
      <c r="B4027">
        <v>2022</v>
      </c>
      <c r="C4027">
        <v>10</v>
      </c>
      <c r="D4027">
        <v>25</v>
      </c>
      <c r="E4027" s="1">
        <v>-0.87799999999999989</v>
      </c>
      <c r="F4027" t="s">
        <v>26</v>
      </c>
      <c r="G4027" t="str">
        <f>_xlfn.XLOOKUP(transakcje[[#This Row],[podkategoria]],parametr[podkategoria],parametr[kategoria])</f>
        <v>życie</v>
      </c>
      <c r="H4027" t="str">
        <f>_xlfn.XLOOKUP(transakcje[[#This Row],[kategoria]],parametr[kategoria],parametr[typ])</f>
        <v>wydatki</v>
      </c>
      <c r="I4027" s="1">
        <f>ABS(transakcje[[#This Row],[kwota]])</f>
        <v>0.87799999999999989</v>
      </c>
    </row>
    <row r="4028" spans="1:9" x14ac:dyDescent="0.3">
      <c r="A4028">
        <v>4027</v>
      </c>
      <c r="B4028">
        <v>2022</v>
      </c>
      <c r="C4028">
        <v>10</v>
      </c>
      <c r="D4028">
        <v>25</v>
      </c>
      <c r="E4028" s="1">
        <v>-4.0200000000000005</v>
      </c>
      <c r="F4028" t="s">
        <v>26</v>
      </c>
      <c r="G4028" t="str">
        <f>_xlfn.XLOOKUP(transakcje[[#This Row],[podkategoria]],parametr[podkategoria],parametr[kategoria])</f>
        <v>życie</v>
      </c>
      <c r="H4028" t="str">
        <f>_xlfn.XLOOKUP(transakcje[[#This Row],[kategoria]],parametr[kategoria],parametr[typ])</f>
        <v>wydatki</v>
      </c>
      <c r="I4028" s="1">
        <f>ABS(transakcje[[#This Row],[kwota]])</f>
        <v>4.0200000000000005</v>
      </c>
    </row>
    <row r="4029" spans="1:9" x14ac:dyDescent="0.3">
      <c r="A4029">
        <v>4028</v>
      </c>
      <c r="B4029">
        <v>2022</v>
      </c>
      <c r="C4029">
        <v>10</v>
      </c>
      <c r="D4029">
        <v>25</v>
      </c>
      <c r="E4029" s="1">
        <v>-16.303999999999998</v>
      </c>
      <c r="F4029" t="s">
        <v>26</v>
      </c>
      <c r="G4029" t="str">
        <f>_xlfn.XLOOKUP(transakcje[[#This Row],[podkategoria]],parametr[podkategoria],parametr[kategoria])</f>
        <v>życie</v>
      </c>
      <c r="H4029" t="str">
        <f>_xlfn.XLOOKUP(transakcje[[#This Row],[kategoria]],parametr[kategoria],parametr[typ])</f>
        <v>wydatki</v>
      </c>
      <c r="I4029" s="1">
        <f>ABS(transakcje[[#This Row],[kwota]])</f>
        <v>16.303999999999998</v>
      </c>
    </row>
    <row r="4030" spans="1:9" x14ac:dyDescent="0.3">
      <c r="A4030">
        <v>4029</v>
      </c>
      <c r="B4030">
        <v>2022</v>
      </c>
      <c r="C4030">
        <v>10</v>
      </c>
      <c r="D4030">
        <v>26</v>
      </c>
      <c r="E4030" s="1">
        <v>873.95799999999997</v>
      </c>
      <c r="F4030" t="s">
        <v>8</v>
      </c>
      <c r="G4030" t="str">
        <f>_xlfn.XLOOKUP(transakcje[[#This Row],[podkategoria]],parametr[podkategoria],parametr[kategoria])</f>
        <v>dochody z pracy</v>
      </c>
      <c r="H4030" t="str">
        <f>_xlfn.XLOOKUP(transakcje[[#This Row],[kategoria]],parametr[kategoria],parametr[typ])</f>
        <v>dochody</v>
      </c>
      <c r="I4030" s="1">
        <f>ABS(transakcje[[#This Row],[kwota]])</f>
        <v>873.95799999999997</v>
      </c>
    </row>
    <row r="4031" spans="1:9" x14ac:dyDescent="0.3">
      <c r="A4031">
        <v>4030</v>
      </c>
      <c r="B4031">
        <v>2022</v>
      </c>
      <c r="C4031">
        <v>10</v>
      </c>
      <c r="D4031">
        <v>26</v>
      </c>
      <c r="E4031" s="1">
        <v>-5.4939999999999998</v>
      </c>
      <c r="F4031" t="s">
        <v>26</v>
      </c>
      <c r="G4031" t="str">
        <f>_xlfn.XLOOKUP(transakcje[[#This Row],[podkategoria]],parametr[podkategoria],parametr[kategoria])</f>
        <v>życie</v>
      </c>
      <c r="H4031" t="str">
        <f>_xlfn.XLOOKUP(transakcje[[#This Row],[kategoria]],parametr[kategoria],parametr[typ])</f>
        <v>wydatki</v>
      </c>
      <c r="I4031" s="1">
        <f>ABS(transakcje[[#This Row],[kwota]])</f>
        <v>5.4939999999999998</v>
      </c>
    </row>
    <row r="4032" spans="1:9" x14ac:dyDescent="0.3">
      <c r="A4032">
        <v>4031</v>
      </c>
      <c r="B4032">
        <v>2022</v>
      </c>
      <c r="C4032">
        <v>10</v>
      </c>
      <c r="D4032">
        <v>26</v>
      </c>
      <c r="E4032" s="1">
        <v>-1.1000000000000001</v>
      </c>
      <c r="F4032" t="s">
        <v>26</v>
      </c>
      <c r="G4032" t="str">
        <f>_xlfn.XLOOKUP(transakcje[[#This Row],[podkategoria]],parametr[podkategoria],parametr[kategoria])</f>
        <v>życie</v>
      </c>
      <c r="H4032" t="str">
        <f>_xlfn.XLOOKUP(transakcje[[#This Row],[kategoria]],parametr[kategoria],parametr[typ])</f>
        <v>wydatki</v>
      </c>
      <c r="I4032" s="1">
        <f>ABS(transakcje[[#This Row],[kwota]])</f>
        <v>1.1000000000000001</v>
      </c>
    </row>
    <row r="4033" spans="1:9" x14ac:dyDescent="0.3">
      <c r="A4033">
        <v>4032</v>
      </c>
      <c r="B4033">
        <v>2022</v>
      </c>
      <c r="C4033">
        <v>10</v>
      </c>
      <c r="D4033">
        <v>31</v>
      </c>
      <c r="E4033" s="1">
        <v>2E-3</v>
      </c>
      <c r="F4033" t="s">
        <v>17</v>
      </c>
      <c r="G4033" t="str">
        <f>_xlfn.XLOOKUP(transakcje[[#This Row],[podkategoria]],parametr[podkategoria],parametr[kategoria])</f>
        <v>dochody pozostałe</v>
      </c>
      <c r="H4033" t="str">
        <f>_xlfn.XLOOKUP(transakcje[[#This Row],[kategoria]],parametr[kategoria],parametr[typ])</f>
        <v>dochody</v>
      </c>
      <c r="I4033" s="1">
        <f>ABS(transakcje[[#This Row],[kwota]])</f>
        <v>2E-3</v>
      </c>
    </row>
    <row r="4034" spans="1:9" x14ac:dyDescent="0.3">
      <c r="A4034">
        <v>4033</v>
      </c>
      <c r="B4034">
        <v>2022</v>
      </c>
      <c r="C4034">
        <v>10</v>
      </c>
      <c r="D4034">
        <v>31</v>
      </c>
      <c r="E4034" s="1">
        <v>-1.4</v>
      </c>
      <c r="F4034" t="s">
        <v>14</v>
      </c>
      <c r="G4034" t="str">
        <f>_xlfn.XLOOKUP(transakcje[[#This Row],[podkategoria]],parametr[podkategoria],parametr[kategoria])</f>
        <v>opłaty stałe</v>
      </c>
      <c r="H4034" t="str">
        <f>_xlfn.XLOOKUP(transakcje[[#This Row],[kategoria]],parametr[kategoria],parametr[typ])</f>
        <v>wydatki</v>
      </c>
      <c r="I4034" s="1">
        <f>ABS(transakcje[[#This Row],[kwota]])</f>
        <v>1.4</v>
      </c>
    </row>
    <row r="4035" spans="1:9" x14ac:dyDescent="0.3">
      <c r="A4035">
        <v>4034</v>
      </c>
      <c r="B4035">
        <v>2022</v>
      </c>
      <c r="C4035">
        <v>10</v>
      </c>
      <c r="D4035">
        <v>31</v>
      </c>
      <c r="E4035" s="1">
        <v>782.39</v>
      </c>
      <c r="F4035" t="s">
        <v>16</v>
      </c>
      <c r="G4035" t="str">
        <f>_xlfn.XLOOKUP(transakcje[[#This Row],[podkategoria]],parametr[podkategoria],parametr[kategoria])</f>
        <v>dochody z pracy</v>
      </c>
      <c r="H4035" t="str">
        <f>_xlfn.XLOOKUP(transakcje[[#This Row],[kategoria]],parametr[kategoria],parametr[typ])</f>
        <v>dochody</v>
      </c>
      <c r="I4035" s="1">
        <f>ABS(transakcje[[#This Row],[kwota]])</f>
        <v>782.39</v>
      </c>
    </row>
    <row r="4036" spans="1:9" x14ac:dyDescent="0.3">
      <c r="A4036">
        <v>4035</v>
      </c>
      <c r="B4036">
        <v>2022</v>
      </c>
      <c r="C4036">
        <v>10</v>
      </c>
      <c r="D4036">
        <v>31</v>
      </c>
      <c r="E4036" s="1">
        <v>-2E-3</v>
      </c>
      <c r="F4036" t="s">
        <v>14</v>
      </c>
      <c r="G4036" t="str">
        <f>_xlfn.XLOOKUP(transakcje[[#This Row],[podkategoria]],parametr[podkategoria],parametr[kategoria])</f>
        <v>opłaty stałe</v>
      </c>
      <c r="H4036" t="str">
        <f>_xlfn.XLOOKUP(transakcje[[#This Row],[kategoria]],parametr[kategoria],parametr[typ])</f>
        <v>wydatki</v>
      </c>
      <c r="I4036" s="1">
        <f>ABS(transakcje[[#This Row],[kwota]])</f>
        <v>2E-3</v>
      </c>
    </row>
    <row r="4037" spans="1:9" x14ac:dyDescent="0.3">
      <c r="A4037">
        <v>4036</v>
      </c>
      <c r="B4037">
        <v>2022</v>
      </c>
      <c r="C4037">
        <v>11</v>
      </c>
      <c r="D4037">
        <v>1</v>
      </c>
      <c r="E4037" s="1">
        <v>-8.2919999999999998</v>
      </c>
      <c r="F4037" t="s">
        <v>35</v>
      </c>
      <c r="G4037" t="str">
        <f>_xlfn.XLOOKUP(transakcje[[#This Row],[podkategoria]],parametr[podkategoria],parametr[kategoria])</f>
        <v>opłaty stałe</v>
      </c>
      <c r="H4037" t="str">
        <f>_xlfn.XLOOKUP(transakcje[[#This Row],[kategoria]],parametr[kategoria],parametr[typ])</f>
        <v>wydatki</v>
      </c>
      <c r="I4037" s="1">
        <f>ABS(transakcje[[#This Row],[kwota]])</f>
        <v>8.2919999999999998</v>
      </c>
    </row>
    <row r="4038" spans="1:9" x14ac:dyDescent="0.3">
      <c r="A4038">
        <v>4037</v>
      </c>
      <c r="B4038">
        <v>2022</v>
      </c>
      <c r="C4038">
        <v>11</v>
      </c>
      <c r="D4038">
        <v>1</v>
      </c>
      <c r="E4038" s="1">
        <v>-15.796000000000001</v>
      </c>
      <c r="F4038" t="s">
        <v>11</v>
      </c>
      <c r="G4038" t="str">
        <f>_xlfn.XLOOKUP(transakcje[[#This Row],[podkategoria]],parametr[podkategoria],parametr[kategoria])</f>
        <v>wydatki inne</v>
      </c>
      <c r="H4038" t="str">
        <f>_xlfn.XLOOKUP(transakcje[[#This Row],[kategoria]],parametr[kategoria],parametr[typ])</f>
        <v>wydatki</v>
      </c>
      <c r="I4038" s="1">
        <f>ABS(transakcje[[#This Row],[kwota]])</f>
        <v>15.796000000000001</v>
      </c>
    </row>
    <row r="4039" spans="1:9" x14ac:dyDescent="0.3">
      <c r="A4039">
        <v>4038</v>
      </c>
      <c r="B4039">
        <v>2022</v>
      </c>
      <c r="C4039">
        <v>11</v>
      </c>
      <c r="D4039">
        <v>1</v>
      </c>
      <c r="E4039" s="1">
        <v>-5.8</v>
      </c>
      <c r="F4039" t="s">
        <v>25</v>
      </c>
      <c r="G4039" t="str">
        <f>_xlfn.XLOOKUP(transakcje[[#This Row],[podkategoria]],parametr[podkategoria],parametr[kategoria])</f>
        <v>opłaty stałe</v>
      </c>
      <c r="H4039" t="str">
        <f>_xlfn.XLOOKUP(transakcje[[#This Row],[kategoria]],parametr[kategoria],parametr[typ])</f>
        <v>wydatki</v>
      </c>
      <c r="I4039" s="1">
        <f>ABS(transakcje[[#This Row],[kwota]])</f>
        <v>5.8</v>
      </c>
    </row>
    <row r="4040" spans="1:9" x14ac:dyDescent="0.3">
      <c r="A4040">
        <v>4039</v>
      </c>
      <c r="B4040">
        <v>2022</v>
      </c>
      <c r="C4040">
        <v>11</v>
      </c>
      <c r="D4040">
        <v>1</v>
      </c>
      <c r="E4040" s="1">
        <v>-9.9980000000000011</v>
      </c>
      <c r="F4040" t="s">
        <v>11</v>
      </c>
      <c r="G4040" t="str">
        <f>_xlfn.XLOOKUP(transakcje[[#This Row],[podkategoria]],parametr[podkategoria],parametr[kategoria])</f>
        <v>wydatki inne</v>
      </c>
      <c r="H4040" t="str">
        <f>_xlfn.XLOOKUP(transakcje[[#This Row],[kategoria]],parametr[kategoria],parametr[typ])</f>
        <v>wydatki</v>
      </c>
      <c r="I4040" s="1">
        <f>ABS(transakcje[[#This Row],[kwota]])</f>
        <v>9.9980000000000011</v>
      </c>
    </row>
    <row r="4041" spans="1:9" x14ac:dyDescent="0.3">
      <c r="A4041">
        <v>4040</v>
      </c>
      <c r="B4041">
        <v>2022</v>
      </c>
      <c r="C4041">
        <v>11</v>
      </c>
      <c r="D4041">
        <v>1</v>
      </c>
      <c r="E4041" s="1">
        <v>-84.224000000000004</v>
      </c>
      <c r="F4041" t="s">
        <v>31</v>
      </c>
      <c r="G4041" t="str">
        <f>_xlfn.XLOOKUP(transakcje[[#This Row],[podkategoria]],parametr[podkategoria],parametr[kategoria])</f>
        <v>opłaty stałe</v>
      </c>
      <c r="H4041" t="str">
        <f>_xlfn.XLOOKUP(transakcje[[#This Row],[kategoria]],parametr[kategoria],parametr[typ])</f>
        <v>wydatki</v>
      </c>
      <c r="I4041" s="1">
        <f>ABS(transakcje[[#This Row],[kwota]])</f>
        <v>84.224000000000004</v>
      </c>
    </row>
    <row r="4042" spans="1:9" x14ac:dyDescent="0.3">
      <c r="A4042">
        <v>4041</v>
      </c>
      <c r="B4042">
        <v>2022</v>
      </c>
      <c r="C4042">
        <v>11</v>
      </c>
      <c r="D4042">
        <v>1</v>
      </c>
      <c r="E4042" s="1">
        <v>-7.38</v>
      </c>
      <c r="F4042" t="s">
        <v>23</v>
      </c>
      <c r="G4042" t="str">
        <f>_xlfn.XLOOKUP(transakcje[[#This Row],[podkategoria]],parametr[podkategoria],parametr[kategoria])</f>
        <v>opłaty stałe</v>
      </c>
      <c r="H4042" t="str">
        <f>_xlfn.XLOOKUP(transakcje[[#This Row],[kategoria]],parametr[kategoria],parametr[typ])</f>
        <v>wydatki</v>
      </c>
      <c r="I4042" s="1">
        <f>ABS(transakcje[[#This Row],[kwota]])</f>
        <v>7.38</v>
      </c>
    </row>
    <row r="4043" spans="1:9" x14ac:dyDescent="0.3">
      <c r="A4043">
        <v>4042</v>
      </c>
      <c r="B4043">
        <v>2022</v>
      </c>
      <c r="C4043">
        <v>11</v>
      </c>
      <c r="D4043">
        <v>3</v>
      </c>
      <c r="E4043" s="1">
        <v>-0.97</v>
      </c>
      <c r="F4043" t="s">
        <v>26</v>
      </c>
      <c r="G4043" t="str">
        <f>_xlfn.XLOOKUP(transakcje[[#This Row],[podkategoria]],parametr[podkategoria],parametr[kategoria])</f>
        <v>życie</v>
      </c>
      <c r="H4043" t="str">
        <f>_xlfn.XLOOKUP(transakcje[[#This Row],[kategoria]],parametr[kategoria],parametr[typ])</f>
        <v>wydatki</v>
      </c>
      <c r="I4043" s="1">
        <f>ABS(transakcje[[#This Row],[kwota]])</f>
        <v>0.97</v>
      </c>
    </row>
    <row r="4044" spans="1:9" x14ac:dyDescent="0.3">
      <c r="A4044">
        <v>4043</v>
      </c>
      <c r="B4044">
        <v>2022</v>
      </c>
      <c r="C4044">
        <v>11</v>
      </c>
      <c r="D4044">
        <v>3</v>
      </c>
      <c r="E4044" s="1">
        <v>-11.093999999999999</v>
      </c>
      <c r="F4044" t="s">
        <v>26</v>
      </c>
      <c r="G4044" t="str">
        <f>_xlfn.XLOOKUP(transakcje[[#This Row],[podkategoria]],parametr[podkategoria],parametr[kategoria])</f>
        <v>życie</v>
      </c>
      <c r="H4044" t="str">
        <f>_xlfn.XLOOKUP(transakcje[[#This Row],[kategoria]],parametr[kategoria],parametr[typ])</f>
        <v>wydatki</v>
      </c>
      <c r="I4044" s="1">
        <f>ABS(transakcje[[#This Row],[kwota]])</f>
        <v>11.093999999999999</v>
      </c>
    </row>
    <row r="4045" spans="1:9" x14ac:dyDescent="0.3">
      <c r="A4045">
        <v>4044</v>
      </c>
      <c r="B4045">
        <v>2022</v>
      </c>
      <c r="C4045">
        <v>11</v>
      </c>
      <c r="D4045">
        <v>7</v>
      </c>
      <c r="E4045" s="1">
        <v>-1.94</v>
      </c>
      <c r="F4045" t="s">
        <v>26</v>
      </c>
      <c r="G4045" t="str">
        <f>_xlfn.XLOOKUP(transakcje[[#This Row],[podkategoria]],parametr[podkategoria],parametr[kategoria])</f>
        <v>życie</v>
      </c>
      <c r="H4045" t="str">
        <f>_xlfn.XLOOKUP(transakcje[[#This Row],[kategoria]],parametr[kategoria],parametr[typ])</f>
        <v>wydatki</v>
      </c>
      <c r="I4045" s="1">
        <f>ABS(transakcje[[#This Row],[kwota]])</f>
        <v>1.94</v>
      </c>
    </row>
    <row r="4046" spans="1:9" x14ac:dyDescent="0.3">
      <c r="A4046">
        <v>4045</v>
      </c>
      <c r="B4046">
        <v>2022</v>
      </c>
      <c r="C4046">
        <v>11</v>
      </c>
      <c r="D4046">
        <v>7</v>
      </c>
      <c r="E4046" s="1">
        <v>-25.992000000000001</v>
      </c>
      <c r="F4046" t="s">
        <v>26</v>
      </c>
      <c r="G4046" t="str">
        <f>_xlfn.XLOOKUP(transakcje[[#This Row],[podkategoria]],parametr[podkategoria],parametr[kategoria])</f>
        <v>życie</v>
      </c>
      <c r="H4046" t="str">
        <f>_xlfn.XLOOKUP(transakcje[[#This Row],[kategoria]],parametr[kategoria],parametr[typ])</f>
        <v>wydatki</v>
      </c>
      <c r="I4046" s="1">
        <f>ABS(transakcje[[#This Row],[kwota]])</f>
        <v>25.992000000000001</v>
      </c>
    </row>
    <row r="4047" spans="1:9" x14ac:dyDescent="0.3">
      <c r="A4047">
        <v>4046</v>
      </c>
      <c r="B4047">
        <v>2022</v>
      </c>
      <c r="C4047">
        <v>11</v>
      </c>
      <c r="D4047">
        <v>9</v>
      </c>
      <c r="E4047" s="1">
        <v>226.298</v>
      </c>
      <c r="F4047" t="s">
        <v>19</v>
      </c>
      <c r="G4047" t="str">
        <f>_xlfn.XLOOKUP(transakcje[[#This Row],[podkategoria]],parametr[podkategoria],parametr[kategoria])</f>
        <v>dochody z pracy</v>
      </c>
      <c r="H4047" t="str">
        <f>_xlfn.XLOOKUP(transakcje[[#This Row],[kategoria]],parametr[kategoria],parametr[typ])</f>
        <v>dochody</v>
      </c>
      <c r="I4047" s="1">
        <f>ABS(transakcje[[#This Row],[kwota]])</f>
        <v>226.298</v>
      </c>
    </row>
    <row r="4048" spans="1:9" x14ac:dyDescent="0.3">
      <c r="A4048">
        <v>4047</v>
      </c>
      <c r="B4048">
        <v>2022</v>
      </c>
      <c r="C4048">
        <v>11</v>
      </c>
      <c r="D4048">
        <v>10</v>
      </c>
      <c r="E4048" s="1">
        <v>-8.39</v>
      </c>
      <c r="F4048" t="s">
        <v>11</v>
      </c>
      <c r="G4048" t="str">
        <f>_xlfn.XLOOKUP(transakcje[[#This Row],[podkategoria]],parametr[podkategoria],parametr[kategoria])</f>
        <v>wydatki inne</v>
      </c>
      <c r="H4048" t="str">
        <f>_xlfn.XLOOKUP(transakcje[[#This Row],[kategoria]],parametr[kategoria],parametr[typ])</f>
        <v>wydatki</v>
      </c>
      <c r="I4048" s="1">
        <f>ABS(transakcje[[#This Row],[kwota]])</f>
        <v>8.39</v>
      </c>
    </row>
    <row r="4049" spans="1:9" x14ac:dyDescent="0.3">
      <c r="A4049">
        <v>4048</v>
      </c>
      <c r="B4049">
        <v>2022</v>
      </c>
      <c r="C4049">
        <v>11</v>
      </c>
      <c r="D4049">
        <v>15</v>
      </c>
      <c r="E4049" s="1">
        <v>-0.2</v>
      </c>
      <c r="F4049" t="s">
        <v>14</v>
      </c>
      <c r="G4049" t="str">
        <f>_xlfn.XLOOKUP(transakcje[[#This Row],[podkategoria]],parametr[podkategoria],parametr[kategoria])</f>
        <v>opłaty stałe</v>
      </c>
      <c r="H4049" t="str">
        <f>_xlfn.XLOOKUP(transakcje[[#This Row],[kategoria]],parametr[kategoria],parametr[typ])</f>
        <v>wydatki</v>
      </c>
      <c r="I4049" s="1">
        <f>ABS(transakcje[[#This Row],[kwota]])</f>
        <v>0.2</v>
      </c>
    </row>
    <row r="4050" spans="1:9" x14ac:dyDescent="0.3">
      <c r="A4050">
        <v>4049</v>
      </c>
      <c r="B4050">
        <v>2022</v>
      </c>
      <c r="C4050">
        <v>11</v>
      </c>
      <c r="D4050">
        <v>17</v>
      </c>
      <c r="E4050" s="1">
        <v>-1.65</v>
      </c>
      <c r="F4050" t="s">
        <v>26</v>
      </c>
      <c r="G4050" t="str">
        <f>_xlfn.XLOOKUP(transakcje[[#This Row],[podkategoria]],parametr[podkategoria],parametr[kategoria])</f>
        <v>życie</v>
      </c>
      <c r="H4050" t="str">
        <f>_xlfn.XLOOKUP(transakcje[[#This Row],[kategoria]],parametr[kategoria],parametr[typ])</f>
        <v>wydatki</v>
      </c>
      <c r="I4050" s="1">
        <f>ABS(transakcje[[#This Row],[kwota]])</f>
        <v>1.65</v>
      </c>
    </row>
    <row r="4051" spans="1:9" x14ac:dyDescent="0.3">
      <c r="A4051">
        <v>4050</v>
      </c>
      <c r="B4051">
        <v>2022</v>
      </c>
      <c r="C4051">
        <v>11</v>
      </c>
      <c r="D4051">
        <v>17</v>
      </c>
      <c r="E4051" s="1">
        <v>-16.652000000000001</v>
      </c>
      <c r="F4051" t="s">
        <v>26</v>
      </c>
      <c r="G4051" t="str">
        <f>_xlfn.XLOOKUP(transakcje[[#This Row],[podkategoria]],parametr[podkategoria],parametr[kategoria])</f>
        <v>życie</v>
      </c>
      <c r="H4051" t="str">
        <f>_xlfn.XLOOKUP(transakcje[[#This Row],[kategoria]],parametr[kategoria],parametr[typ])</f>
        <v>wydatki</v>
      </c>
      <c r="I4051" s="1">
        <f>ABS(transakcje[[#This Row],[kwota]])</f>
        <v>16.652000000000001</v>
      </c>
    </row>
    <row r="4052" spans="1:9" x14ac:dyDescent="0.3">
      <c r="A4052">
        <v>4051</v>
      </c>
      <c r="B4052">
        <v>2022</v>
      </c>
      <c r="C4052">
        <v>11</v>
      </c>
      <c r="D4052">
        <v>19</v>
      </c>
      <c r="E4052" s="1">
        <v>-47.981999999999999</v>
      </c>
      <c r="F4052" t="s">
        <v>11</v>
      </c>
      <c r="G4052" t="str">
        <f>_xlfn.XLOOKUP(transakcje[[#This Row],[podkategoria]],parametr[podkategoria],parametr[kategoria])</f>
        <v>wydatki inne</v>
      </c>
      <c r="H4052" t="str">
        <f>_xlfn.XLOOKUP(transakcje[[#This Row],[kategoria]],parametr[kategoria],parametr[typ])</f>
        <v>wydatki</v>
      </c>
      <c r="I4052" s="1">
        <f>ABS(transakcje[[#This Row],[kwota]])</f>
        <v>47.981999999999999</v>
      </c>
    </row>
    <row r="4053" spans="1:9" x14ac:dyDescent="0.3">
      <c r="A4053">
        <v>4052</v>
      </c>
      <c r="B4053">
        <v>2022</v>
      </c>
      <c r="C4053">
        <v>11</v>
      </c>
      <c r="D4053">
        <v>19</v>
      </c>
      <c r="E4053" s="1">
        <v>-57.363999999999997</v>
      </c>
      <c r="F4053" t="s">
        <v>11</v>
      </c>
      <c r="G4053" t="str">
        <f>_xlfn.XLOOKUP(transakcje[[#This Row],[podkategoria]],parametr[podkategoria],parametr[kategoria])</f>
        <v>wydatki inne</v>
      </c>
      <c r="H4053" t="str">
        <f>_xlfn.XLOOKUP(transakcje[[#This Row],[kategoria]],parametr[kategoria],parametr[typ])</f>
        <v>wydatki</v>
      </c>
      <c r="I4053" s="1">
        <f>ABS(transakcje[[#This Row],[kwota]])</f>
        <v>57.363999999999997</v>
      </c>
    </row>
    <row r="4054" spans="1:9" x14ac:dyDescent="0.3">
      <c r="A4054">
        <v>4053</v>
      </c>
      <c r="B4054">
        <v>2022</v>
      </c>
      <c r="C4054">
        <v>11</v>
      </c>
      <c r="D4054">
        <v>22</v>
      </c>
      <c r="E4054" s="1">
        <v>-4.952</v>
      </c>
      <c r="F4054" t="s">
        <v>26</v>
      </c>
      <c r="G4054" t="str">
        <f>_xlfn.XLOOKUP(transakcje[[#This Row],[podkategoria]],parametr[podkategoria],parametr[kategoria])</f>
        <v>życie</v>
      </c>
      <c r="H4054" t="str">
        <f>_xlfn.XLOOKUP(transakcje[[#This Row],[kategoria]],parametr[kategoria],parametr[typ])</f>
        <v>wydatki</v>
      </c>
      <c r="I4054" s="1">
        <f>ABS(transakcje[[#This Row],[kwota]])</f>
        <v>4.952</v>
      </c>
    </row>
    <row r="4055" spans="1:9" x14ac:dyDescent="0.3">
      <c r="A4055">
        <v>4054</v>
      </c>
      <c r="B4055">
        <v>2022</v>
      </c>
      <c r="C4055">
        <v>11</v>
      </c>
      <c r="D4055">
        <v>24</v>
      </c>
      <c r="E4055" s="1">
        <v>-0.52600000000000002</v>
      </c>
      <c r="F4055" t="s">
        <v>26</v>
      </c>
      <c r="G4055" t="str">
        <f>_xlfn.XLOOKUP(transakcje[[#This Row],[podkategoria]],parametr[podkategoria],parametr[kategoria])</f>
        <v>życie</v>
      </c>
      <c r="H4055" t="str">
        <f>_xlfn.XLOOKUP(transakcje[[#This Row],[kategoria]],parametr[kategoria],parametr[typ])</f>
        <v>wydatki</v>
      </c>
      <c r="I4055" s="1">
        <f>ABS(transakcje[[#This Row],[kwota]])</f>
        <v>0.52600000000000002</v>
      </c>
    </row>
    <row r="4056" spans="1:9" x14ac:dyDescent="0.3">
      <c r="A4056">
        <v>4055</v>
      </c>
      <c r="B4056">
        <v>2022</v>
      </c>
      <c r="C4056">
        <v>11</v>
      </c>
      <c r="D4056">
        <v>24</v>
      </c>
      <c r="E4056" s="1">
        <v>-13.813999999999998</v>
      </c>
      <c r="F4056" t="s">
        <v>26</v>
      </c>
      <c r="G4056" t="str">
        <f>_xlfn.XLOOKUP(transakcje[[#This Row],[podkategoria]],parametr[podkategoria],parametr[kategoria])</f>
        <v>życie</v>
      </c>
      <c r="H4056" t="str">
        <f>_xlfn.XLOOKUP(transakcje[[#This Row],[kategoria]],parametr[kategoria],parametr[typ])</f>
        <v>wydatki</v>
      </c>
      <c r="I4056" s="1">
        <f>ABS(transakcje[[#This Row],[kwota]])</f>
        <v>13.813999999999998</v>
      </c>
    </row>
    <row r="4057" spans="1:9" x14ac:dyDescent="0.3">
      <c r="A4057">
        <v>4056</v>
      </c>
      <c r="B4057">
        <v>2022</v>
      </c>
      <c r="C4057">
        <v>11</v>
      </c>
      <c r="D4057">
        <v>25</v>
      </c>
      <c r="E4057" s="1">
        <v>880.78199999999993</v>
      </c>
      <c r="F4057" t="s">
        <v>8</v>
      </c>
      <c r="G4057" t="str">
        <f>_xlfn.XLOOKUP(transakcje[[#This Row],[podkategoria]],parametr[podkategoria],parametr[kategoria])</f>
        <v>dochody z pracy</v>
      </c>
      <c r="H4057" t="str">
        <f>_xlfn.XLOOKUP(transakcje[[#This Row],[kategoria]],parametr[kategoria],parametr[typ])</f>
        <v>dochody</v>
      </c>
      <c r="I4057" s="1">
        <f>ABS(transakcje[[#This Row],[kwota]])</f>
        <v>880.78199999999993</v>
      </c>
    </row>
    <row r="4058" spans="1:9" x14ac:dyDescent="0.3">
      <c r="A4058">
        <v>4057</v>
      </c>
      <c r="B4058">
        <v>2022</v>
      </c>
      <c r="C4058">
        <v>11</v>
      </c>
      <c r="D4058">
        <v>26</v>
      </c>
      <c r="E4058" s="1">
        <v>-12.196</v>
      </c>
      <c r="F4058" t="s">
        <v>11</v>
      </c>
      <c r="G4058" t="str">
        <f>_xlfn.XLOOKUP(transakcje[[#This Row],[podkategoria]],parametr[podkategoria],parametr[kategoria])</f>
        <v>wydatki inne</v>
      </c>
      <c r="H4058" t="str">
        <f>_xlfn.XLOOKUP(transakcje[[#This Row],[kategoria]],parametr[kategoria],parametr[typ])</f>
        <v>wydatki</v>
      </c>
      <c r="I4058" s="1">
        <f>ABS(transakcje[[#This Row],[kwota]])</f>
        <v>12.196</v>
      </c>
    </row>
    <row r="4059" spans="1:9" x14ac:dyDescent="0.3">
      <c r="A4059">
        <v>4058</v>
      </c>
      <c r="B4059">
        <v>2022</v>
      </c>
      <c r="C4059">
        <v>11</v>
      </c>
      <c r="D4059">
        <v>26</v>
      </c>
      <c r="E4059" s="1">
        <v>-24.48</v>
      </c>
      <c r="F4059" t="s">
        <v>11</v>
      </c>
      <c r="G4059" t="str">
        <f>_xlfn.XLOOKUP(transakcje[[#This Row],[podkategoria]],parametr[podkategoria],parametr[kategoria])</f>
        <v>wydatki inne</v>
      </c>
      <c r="H4059" t="str">
        <f>_xlfn.XLOOKUP(transakcje[[#This Row],[kategoria]],parametr[kategoria],parametr[typ])</f>
        <v>wydatki</v>
      </c>
      <c r="I4059" s="1">
        <f>ABS(transakcje[[#This Row],[kwota]])</f>
        <v>24.48</v>
      </c>
    </row>
    <row r="4060" spans="1:9" x14ac:dyDescent="0.3">
      <c r="A4060">
        <v>4059</v>
      </c>
      <c r="B4060">
        <v>2022</v>
      </c>
      <c r="C4060">
        <v>11</v>
      </c>
      <c r="D4060">
        <v>30</v>
      </c>
      <c r="E4060" s="1">
        <v>4.0000000000000001E-3</v>
      </c>
      <c r="F4060" t="s">
        <v>17</v>
      </c>
      <c r="G4060" t="str">
        <f>_xlfn.XLOOKUP(transakcje[[#This Row],[podkategoria]],parametr[podkategoria],parametr[kategoria])</f>
        <v>dochody pozostałe</v>
      </c>
      <c r="H4060" t="str">
        <f>_xlfn.XLOOKUP(transakcje[[#This Row],[kategoria]],parametr[kategoria],parametr[typ])</f>
        <v>dochody</v>
      </c>
      <c r="I4060" s="1">
        <f>ABS(transakcje[[#This Row],[kwota]])</f>
        <v>4.0000000000000001E-3</v>
      </c>
    </row>
    <row r="4061" spans="1:9" x14ac:dyDescent="0.3">
      <c r="A4061">
        <v>4060</v>
      </c>
      <c r="B4061">
        <v>2022</v>
      </c>
      <c r="C4061">
        <v>11</v>
      </c>
      <c r="D4061">
        <v>30</v>
      </c>
      <c r="E4061" s="1">
        <v>-1.4</v>
      </c>
      <c r="F4061" t="s">
        <v>14</v>
      </c>
      <c r="G4061" t="str">
        <f>_xlfn.XLOOKUP(transakcje[[#This Row],[podkategoria]],parametr[podkategoria],parametr[kategoria])</f>
        <v>opłaty stałe</v>
      </c>
      <c r="H4061" t="str">
        <f>_xlfn.XLOOKUP(transakcje[[#This Row],[kategoria]],parametr[kategoria],parametr[typ])</f>
        <v>wydatki</v>
      </c>
      <c r="I4061" s="1">
        <f>ABS(transakcje[[#This Row],[kwota]])</f>
        <v>1.4</v>
      </c>
    </row>
    <row r="4062" spans="1:9" x14ac:dyDescent="0.3">
      <c r="A4062">
        <v>4061</v>
      </c>
      <c r="B4062">
        <v>2022</v>
      </c>
      <c r="C4062">
        <v>11</v>
      </c>
      <c r="D4062">
        <v>30</v>
      </c>
      <c r="E4062" s="1">
        <v>-2E-3</v>
      </c>
      <c r="F4062" t="s">
        <v>14</v>
      </c>
      <c r="G4062" t="str">
        <f>_xlfn.XLOOKUP(transakcje[[#This Row],[podkategoria]],parametr[podkategoria],parametr[kategoria])</f>
        <v>opłaty stałe</v>
      </c>
      <c r="H4062" t="str">
        <f>_xlfn.XLOOKUP(transakcje[[#This Row],[kategoria]],parametr[kategoria],parametr[typ])</f>
        <v>wydatki</v>
      </c>
      <c r="I4062" s="1">
        <f>ABS(transakcje[[#This Row],[kwota]])</f>
        <v>2E-3</v>
      </c>
    </row>
    <row r="4063" spans="1:9" x14ac:dyDescent="0.3">
      <c r="A4063">
        <v>4062</v>
      </c>
      <c r="B4063">
        <v>2022</v>
      </c>
      <c r="C4063">
        <v>11</v>
      </c>
      <c r="D4063">
        <v>30</v>
      </c>
      <c r="E4063" s="1">
        <v>-27.9</v>
      </c>
      <c r="F4063" t="s">
        <v>26</v>
      </c>
      <c r="G4063" t="str">
        <f>_xlfn.XLOOKUP(transakcje[[#This Row],[podkategoria]],parametr[podkategoria],parametr[kategoria])</f>
        <v>życie</v>
      </c>
      <c r="H4063" t="str">
        <f>_xlfn.XLOOKUP(transakcje[[#This Row],[kategoria]],parametr[kategoria],parametr[typ])</f>
        <v>wydatki</v>
      </c>
      <c r="I4063" s="1">
        <f>ABS(transakcje[[#This Row],[kwota]])</f>
        <v>27.9</v>
      </c>
    </row>
    <row r="4064" spans="1:9" x14ac:dyDescent="0.3">
      <c r="A4064">
        <v>4063</v>
      </c>
      <c r="B4064">
        <v>2022</v>
      </c>
      <c r="C4064">
        <v>11</v>
      </c>
      <c r="D4064">
        <v>30</v>
      </c>
      <c r="E4064" s="1">
        <v>-1.968</v>
      </c>
      <c r="F4064" t="s">
        <v>26</v>
      </c>
      <c r="G4064" t="str">
        <f>_xlfn.XLOOKUP(transakcje[[#This Row],[podkategoria]],parametr[podkategoria],parametr[kategoria])</f>
        <v>życie</v>
      </c>
      <c r="H4064" t="str">
        <f>_xlfn.XLOOKUP(transakcje[[#This Row],[kategoria]],parametr[kategoria],parametr[typ])</f>
        <v>wydatki</v>
      </c>
      <c r="I4064" s="1">
        <f>ABS(transakcje[[#This Row],[kwota]])</f>
        <v>1.968</v>
      </c>
    </row>
    <row r="4065" spans="1:9" x14ac:dyDescent="0.3">
      <c r="A4065">
        <v>4064</v>
      </c>
      <c r="B4065">
        <v>2022</v>
      </c>
      <c r="C4065">
        <v>12</v>
      </c>
      <c r="D4065">
        <v>1</v>
      </c>
      <c r="E4065" s="1">
        <v>-16.474</v>
      </c>
      <c r="F4065" t="s">
        <v>26</v>
      </c>
      <c r="G4065" t="str">
        <f>_xlfn.XLOOKUP(transakcje[[#This Row],[podkategoria]],parametr[podkategoria],parametr[kategoria])</f>
        <v>życie</v>
      </c>
      <c r="H4065" t="str">
        <f>_xlfn.XLOOKUP(transakcje[[#This Row],[kategoria]],parametr[kategoria],parametr[typ])</f>
        <v>wydatki</v>
      </c>
      <c r="I4065" s="1">
        <f>ABS(transakcje[[#This Row],[kwota]])</f>
        <v>16.474</v>
      </c>
    </row>
    <row r="4066" spans="1:9" x14ac:dyDescent="0.3">
      <c r="A4066">
        <v>4065</v>
      </c>
      <c r="B4066">
        <v>2022</v>
      </c>
      <c r="C4066">
        <v>12</v>
      </c>
      <c r="D4066">
        <v>3</v>
      </c>
      <c r="E4066" s="1">
        <v>-5.8</v>
      </c>
      <c r="F4066" t="s">
        <v>25</v>
      </c>
      <c r="G4066" t="str">
        <f>_xlfn.XLOOKUP(transakcje[[#This Row],[podkategoria]],parametr[podkategoria],parametr[kategoria])</f>
        <v>opłaty stałe</v>
      </c>
      <c r="H4066" t="str">
        <f>_xlfn.XLOOKUP(transakcje[[#This Row],[kategoria]],parametr[kategoria],parametr[typ])</f>
        <v>wydatki</v>
      </c>
      <c r="I4066" s="1">
        <f>ABS(transakcje[[#This Row],[kwota]])</f>
        <v>5.8</v>
      </c>
    </row>
    <row r="4067" spans="1:9" x14ac:dyDescent="0.3">
      <c r="A4067">
        <v>4066</v>
      </c>
      <c r="B4067">
        <v>2022</v>
      </c>
      <c r="C4067">
        <v>12</v>
      </c>
      <c r="D4067">
        <v>3</v>
      </c>
      <c r="E4067" s="1">
        <v>-225.054</v>
      </c>
      <c r="F4067" t="s">
        <v>11</v>
      </c>
      <c r="G4067" t="str">
        <f>_xlfn.XLOOKUP(transakcje[[#This Row],[podkategoria]],parametr[podkategoria],parametr[kategoria])</f>
        <v>wydatki inne</v>
      </c>
      <c r="H4067" t="str">
        <f>_xlfn.XLOOKUP(transakcje[[#This Row],[kategoria]],parametr[kategoria],parametr[typ])</f>
        <v>wydatki</v>
      </c>
      <c r="I4067" s="1">
        <f>ABS(transakcje[[#This Row],[kwota]])</f>
        <v>225.054</v>
      </c>
    </row>
    <row r="4068" spans="1:9" x14ac:dyDescent="0.3">
      <c r="A4068">
        <v>4067</v>
      </c>
      <c r="B4068">
        <v>2022</v>
      </c>
      <c r="C4068">
        <v>12</v>
      </c>
      <c r="D4068">
        <v>3</v>
      </c>
      <c r="E4068" s="1">
        <v>-7.38</v>
      </c>
      <c r="F4068" t="s">
        <v>23</v>
      </c>
      <c r="G4068" t="str">
        <f>_xlfn.XLOOKUP(transakcje[[#This Row],[podkategoria]],parametr[podkategoria],parametr[kategoria])</f>
        <v>opłaty stałe</v>
      </c>
      <c r="H4068" t="str">
        <f>_xlfn.XLOOKUP(transakcje[[#This Row],[kategoria]],parametr[kategoria],parametr[typ])</f>
        <v>wydatki</v>
      </c>
      <c r="I4068" s="1">
        <f>ABS(transakcje[[#This Row],[kwota]])</f>
        <v>7.38</v>
      </c>
    </row>
    <row r="4069" spans="1:9" x14ac:dyDescent="0.3">
      <c r="A4069">
        <v>4068</v>
      </c>
      <c r="B4069">
        <v>2022</v>
      </c>
      <c r="C4069">
        <v>12</v>
      </c>
      <c r="D4069">
        <v>3</v>
      </c>
      <c r="E4069" s="1">
        <v>-9.9980000000000011</v>
      </c>
      <c r="F4069" t="s">
        <v>11</v>
      </c>
      <c r="G4069" t="str">
        <f>_xlfn.XLOOKUP(transakcje[[#This Row],[podkategoria]],parametr[podkategoria],parametr[kategoria])</f>
        <v>wydatki inne</v>
      </c>
      <c r="H4069" t="str">
        <f>_xlfn.XLOOKUP(transakcje[[#This Row],[kategoria]],parametr[kategoria],parametr[typ])</f>
        <v>wydatki</v>
      </c>
      <c r="I4069" s="1">
        <f>ABS(transakcje[[#This Row],[kwota]])</f>
        <v>9.9980000000000011</v>
      </c>
    </row>
    <row r="4070" spans="1:9" x14ac:dyDescent="0.3">
      <c r="A4070">
        <v>4069</v>
      </c>
      <c r="B4070">
        <v>2022</v>
      </c>
      <c r="C4070">
        <v>12</v>
      </c>
      <c r="D4070">
        <v>3</v>
      </c>
      <c r="E4070" s="1">
        <v>-84.224000000000004</v>
      </c>
      <c r="F4070" t="s">
        <v>31</v>
      </c>
      <c r="G4070" t="str">
        <f>_xlfn.XLOOKUP(transakcje[[#This Row],[podkategoria]],parametr[podkategoria],parametr[kategoria])</f>
        <v>opłaty stałe</v>
      </c>
      <c r="H4070" t="str">
        <f>_xlfn.XLOOKUP(transakcje[[#This Row],[kategoria]],parametr[kategoria],parametr[typ])</f>
        <v>wydatki</v>
      </c>
      <c r="I4070" s="1">
        <f>ABS(transakcje[[#This Row],[kwota]])</f>
        <v>84.224000000000004</v>
      </c>
    </row>
    <row r="4071" spans="1:9" x14ac:dyDescent="0.3">
      <c r="A4071">
        <v>4070</v>
      </c>
      <c r="B4071">
        <v>2022</v>
      </c>
      <c r="C4071">
        <v>12</v>
      </c>
      <c r="D4071">
        <v>9</v>
      </c>
      <c r="E4071" s="1">
        <v>-18.98</v>
      </c>
      <c r="F4071" t="s">
        <v>26</v>
      </c>
      <c r="G4071" t="str">
        <f>_xlfn.XLOOKUP(transakcje[[#This Row],[podkategoria]],parametr[podkategoria],parametr[kategoria])</f>
        <v>życie</v>
      </c>
      <c r="H4071" t="str">
        <f>_xlfn.XLOOKUP(transakcje[[#This Row],[kategoria]],parametr[kategoria],parametr[typ])</f>
        <v>wydatki</v>
      </c>
      <c r="I4071" s="1">
        <f>ABS(transakcje[[#This Row],[kwota]])</f>
        <v>18.98</v>
      </c>
    </row>
    <row r="4072" spans="1:9" x14ac:dyDescent="0.3">
      <c r="A4072">
        <v>4071</v>
      </c>
      <c r="B4072">
        <v>2022</v>
      </c>
      <c r="C4072">
        <v>12</v>
      </c>
      <c r="D4072">
        <v>9</v>
      </c>
      <c r="E4072" s="1">
        <v>-1.31</v>
      </c>
      <c r="F4072" t="s">
        <v>26</v>
      </c>
      <c r="G4072" t="str">
        <f>_xlfn.XLOOKUP(transakcje[[#This Row],[podkategoria]],parametr[podkategoria],parametr[kategoria])</f>
        <v>życie</v>
      </c>
      <c r="H4072" t="str">
        <f>_xlfn.XLOOKUP(transakcje[[#This Row],[kategoria]],parametr[kategoria],parametr[typ])</f>
        <v>wydatki</v>
      </c>
      <c r="I4072" s="1">
        <f>ABS(transakcje[[#This Row],[kwota]])</f>
        <v>1.31</v>
      </c>
    </row>
    <row r="4073" spans="1:9" x14ac:dyDescent="0.3">
      <c r="A4073">
        <v>4072</v>
      </c>
      <c r="B4073">
        <v>2022</v>
      </c>
      <c r="C4073">
        <v>12</v>
      </c>
      <c r="D4073">
        <v>12</v>
      </c>
      <c r="E4073" s="1">
        <v>-1.08</v>
      </c>
      <c r="F4073" t="s">
        <v>26</v>
      </c>
      <c r="G4073" t="str">
        <f>_xlfn.XLOOKUP(transakcje[[#This Row],[podkategoria]],parametr[podkategoria],parametr[kategoria])</f>
        <v>życie</v>
      </c>
      <c r="H4073" t="str">
        <f>_xlfn.XLOOKUP(transakcje[[#This Row],[kategoria]],parametr[kategoria],parametr[typ])</f>
        <v>wydatki</v>
      </c>
      <c r="I4073" s="1">
        <f>ABS(transakcje[[#This Row],[kwota]])</f>
        <v>1.08</v>
      </c>
    </row>
    <row r="4074" spans="1:9" x14ac:dyDescent="0.3">
      <c r="A4074">
        <v>4073</v>
      </c>
      <c r="B4074">
        <v>2022</v>
      </c>
      <c r="C4074">
        <v>12</v>
      </c>
      <c r="D4074">
        <v>12</v>
      </c>
      <c r="E4074" s="1">
        <v>-28.6</v>
      </c>
      <c r="F4074" t="s">
        <v>26</v>
      </c>
      <c r="G4074" t="str">
        <f>_xlfn.XLOOKUP(transakcje[[#This Row],[podkategoria]],parametr[podkategoria],parametr[kategoria])</f>
        <v>życie</v>
      </c>
      <c r="H4074" t="str">
        <f>_xlfn.XLOOKUP(transakcje[[#This Row],[kategoria]],parametr[kategoria],parametr[typ])</f>
        <v>wydatki</v>
      </c>
      <c r="I4074" s="1">
        <f>ABS(transakcje[[#This Row],[kwota]])</f>
        <v>28.6</v>
      </c>
    </row>
    <row r="4075" spans="1:9" x14ac:dyDescent="0.3">
      <c r="A4075">
        <v>4074</v>
      </c>
      <c r="B4075">
        <v>2022</v>
      </c>
      <c r="C4075">
        <v>12</v>
      </c>
      <c r="D4075">
        <v>12</v>
      </c>
      <c r="E4075" s="1">
        <v>422.64799999999997</v>
      </c>
      <c r="F4075" t="s">
        <v>19</v>
      </c>
      <c r="G4075" t="str">
        <f>_xlfn.XLOOKUP(transakcje[[#This Row],[podkategoria]],parametr[podkategoria],parametr[kategoria])</f>
        <v>dochody z pracy</v>
      </c>
      <c r="H4075" t="str">
        <f>_xlfn.XLOOKUP(transakcje[[#This Row],[kategoria]],parametr[kategoria],parametr[typ])</f>
        <v>dochody</v>
      </c>
      <c r="I4075" s="1">
        <f>ABS(transakcje[[#This Row],[kwota]])</f>
        <v>422.64799999999997</v>
      </c>
    </row>
    <row r="4076" spans="1:9" x14ac:dyDescent="0.3">
      <c r="A4076">
        <v>4075</v>
      </c>
      <c r="B4076">
        <v>2022</v>
      </c>
      <c r="C4076">
        <v>12</v>
      </c>
      <c r="D4076">
        <v>13</v>
      </c>
      <c r="E4076" s="1">
        <v>-26.877999999999997</v>
      </c>
      <c r="F4076" t="s">
        <v>11</v>
      </c>
      <c r="G4076" t="str">
        <f>_xlfn.XLOOKUP(transakcje[[#This Row],[podkategoria]],parametr[podkategoria],parametr[kategoria])</f>
        <v>wydatki inne</v>
      </c>
      <c r="H4076" t="str">
        <f>_xlfn.XLOOKUP(transakcje[[#This Row],[kategoria]],parametr[kategoria],parametr[typ])</f>
        <v>wydatki</v>
      </c>
      <c r="I4076" s="1">
        <f>ABS(transakcje[[#This Row],[kwota]])</f>
        <v>26.877999999999997</v>
      </c>
    </row>
    <row r="4077" spans="1:9" x14ac:dyDescent="0.3">
      <c r="A4077">
        <v>4076</v>
      </c>
      <c r="B4077">
        <v>2022</v>
      </c>
      <c r="C4077">
        <v>12</v>
      </c>
      <c r="D4077">
        <v>14</v>
      </c>
      <c r="E4077" s="1">
        <v>-0.97</v>
      </c>
      <c r="F4077" t="s">
        <v>26</v>
      </c>
      <c r="G4077" t="str">
        <f>_xlfn.XLOOKUP(transakcje[[#This Row],[podkategoria]],parametr[podkategoria],parametr[kategoria])</f>
        <v>życie</v>
      </c>
      <c r="H4077" t="str">
        <f>_xlfn.XLOOKUP(transakcje[[#This Row],[kategoria]],parametr[kategoria],parametr[typ])</f>
        <v>wydatki</v>
      </c>
      <c r="I4077" s="1">
        <f>ABS(transakcje[[#This Row],[kwota]])</f>
        <v>0.97</v>
      </c>
    </row>
    <row r="4078" spans="1:9" x14ac:dyDescent="0.3">
      <c r="A4078">
        <v>4077</v>
      </c>
      <c r="B4078">
        <v>2022</v>
      </c>
      <c r="C4078">
        <v>12</v>
      </c>
      <c r="D4078">
        <v>14</v>
      </c>
      <c r="E4078" s="1">
        <v>-37.423999999999999</v>
      </c>
      <c r="F4078" t="s">
        <v>26</v>
      </c>
      <c r="G4078" t="str">
        <f>_xlfn.XLOOKUP(transakcje[[#This Row],[podkategoria]],parametr[podkategoria],parametr[kategoria])</f>
        <v>życie</v>
      </c>
      <c r="H4078" t="str">
        <f>_xlfn.XLOOKUP(transakcje[[#This Row],[kategoria]],parametr[kategoria],parametr[typ])</f>
        <v>wydatki</v>
      </c>
      <c r="I4078" s="1">
        <f>ABS(transakcje[[#This Row],[kwota]])</f>
        <v>37.423999999999999</v>
      </c>
    </row>
    <row r="4079" spans="1:9" x14ac:dyDescent="0.3">
      <c r="A4079">
        <v>4078</v>
      </c>
      <c r="B4079">
        <v>2022</v>
      </c>
      <c r="C4079">
        <v>12</v>
      </c>
      <c r="D4079">
        <v>14</v>
      </c>
      <c r="E4079" s="1">
        <v>-0.2</v>
      </c>
      <c r="F4079" t="s">
        <v>14</v>
      </c>
      <c r="G4079" t="str">
        <f>_xlfn.XLOOKUP(transakcje[[#This Row],[podkategoria]],parametr[podkategoria],parametr[kategoria])</f>
        <v>opłaty stałe</v>
      </c>
      <c r="H4079" t="str">
        <f>_xlfn.XLOOKUP(transakcje[[#This Row],[kategoria]],parametr[kategoria],parametr[typ])</f>
        <v>wydatki</v>
      </c>
      <c r="I4079" s="1">
        <f>ABS(transakcje[[#This Row],[kwota]])</f>
        <v>0.2</v>
      </c>
    </row>
    <row r="4080" spans="1:9" x14ac:dyDescent="0.3">
      <c r="A4080">
        <v>4079</v>
      </c>
      <c r="B4080">
        <v>2022</v>
      </c>
      <c r="C4080">
        <v>12</v>
      </c>
      <c r="D4080">
        <v>16</v>
      </c>
      <c r="E4080" s="1">
        <v>-1.1199999999999999</v>
      </c>
      <c r="F4080" t="s">
        <v>26</v>
      </c>
      <c r="G4080" t="str">
        <f>_xlfn.XLOOKUP(transakcje[[#This Row],[podkategoria]],parametr[podkategoria],parametr[kategoria])</f>
        <v>życie</v>
      </c>
      <c r="H4080" t="str">
        <f>_xlfn.XLOOKUP(transakcje[[#This Row],[kategoria]],parametr[kategoria],parametr[typ])</f>
        <v>wydatki</v>
      </c>
      <c r="I4080" s="1">
        <f>ABS(transakcje[[#This Row],[kwota]])</f>
        <v>1.1199999999999999</v>
      </c>
    </row>
    <row r="4081" spans="1:9" x14ac:dyDescent="0.3">
      <c r="A4081">
        <v>4080</v>
      </c>
      <c r="B4081">
        <v>2022</v>
      </c>
      <c r="C4081">
        <v>12</v>
      </c>
      <c r="D4081">
        <v>16</v>
      </c>
      <c r="E4081" s="1">
        <v>-3.2960000000000003</v>
      </c>
      <c r="F4081" t="s">
        <v>26</v>
      </c>
      <c r="G4081" t="str">
        <f>_xlfn.XLOOKUP(transakcje[[#This Row],[podkategoria]],parametr[podkategoria],parametr[kategoria])</f>
        <v>życie</v>
      </c>
      <c r="H4081" t="str">
        <f>_xlfn.XLOOKUP(transakcje[[#This Row],[kategoria]],parametr[kategoria],parametr[typ])</f>
        <v>wydatki</v>
      </c>
      <c r="I4081" s="1">
        <f>ABS(transakcje[[#This Row],[kwota]])</f>
        <v>3.2960000000000003</v>
      </c>
    </row>
    <row r="4082" spans="1:9" x14ac:dyDescent="0.3">
      <c r="A4082">
        <v>4081</v>
      </c>
      <c r="B4082">
        <v>2022</v>
      </c>
      <c r="C4082">
        <v>12</v>
      </c>
      <c r="D4082">
        <v>16</v>
      </c>
      <c r="E4082" s="1">
        <v>880.78</v>
      </c>
      <c r="F4082" t="s">
        <v>8</v>
      </c>
      <c r="G4082" t="str">
        <f>_xlfn.XLOOKUP(transakcje[[#This Row],[podkategoria]],parametr[podkategoria],parametr[kategoria])</f>
        <v>dochody z pracy</v>
      </c>
      <c r="H4082" t="str">
        <f>_xlfn.XLOOKUP(transakcje[[#This Row],[kategoria]],parametr[kategoria],parametr[typ])</f>
        <v>dochody</v>
      </c>
      <c r="I4082" s="1">
        <f>ABS(transakcje[[#This Row],[kwota]])</f>
        <v>880.78</v>
      </c>
    </row>
    <row r="4083" spans="1:9" x14ac:dyDescent="0.3">
      <c r="A4083">
        <v>4082</v>
      </c>
      <c r="B4083">
        <v>2022</v>
      </c>
      <c r="C4083">
        <v>12</v>
      </c>
      <c r="D4083">
        <v>19</v>
      </c>
      <c r="E4083" s="1">
        <v>-16.858000000000001</v>
      </c>
      <c r="F4083" t="s">
        <v>26</v>
      </c>
      <c r="G4083" t="str">
        <f>_xlfn.XLOOKUP(transakcje[[#This Row],[podkategoria]],parametr[podkategoria],parametr[kategoria])</f>
        <v>życie</v>
      </c>
      <c r="H4083" t="str">
        <f>_xlfn.XLOOKUP(transakcje[[#This Row],[kategoria]],parametr[kategoria],parametr[typ])</f>
        <v>wydatki</v>
      </c>
      <c r="I4083" s="1">
        <f>ABS(transakcje[[#This Row],[kwota]])</f>
        <v>16.858000000000001</v>
      </c>
    </row>
    <row r="4084" spans="1:9" x14ac:dyDescent="0.3">
      <c r="A4084">
        <v>4083</v>
      </c>
      <c r="B4084">
        <v>2022</v>
      </c>
      <c r="C4084">
        <v>12</v>
      </c>
      <c r="D4084">
        <v>21</v>
      </c>
      <c r="E4084" s="1">
        <v>118</v>
      </c>
      <c r="F4084" t="s">
        <v>16</v>
      </c>
      <c r="G4084" t="str">
        <f>_xlfn.XLOOKUP(transakcje[[#This Row],[podkategoria]],parametr[podkategoria],parametr[kategoria])</f>
        <v>dochody z pracy</v>
      </c>
      <c r="H4084" t="str">
        <f>_xlfn.XLOOKUP(transakcje[[#This Row],[kategoria]],parametr[kategoria],parametr[typ])</f>
        <v>dochody</v>
      </c>
      <c r="I4084" s="1">
        <f>ABS(transakcje[[#This Row],[kwota]])</f>
        <v>118</v>
      </c>
    </row>
    <row r="4085" spans="1:9" x14ac:dyDescent="0.3">
      <c r="A4085">
        <v>4084</v>
      </c>
      <c r="B4085">
        <v>2022</v>
      </c>
      <c r="C4085">
        <v>12</v>
      </c>
      <c r="D4085">
        <v>27</v>
      </c>
      <c r="E4085" s="1">
        <v>-24.48</v>
      </c>
      <c r="F4085" t="s">
        <v>32</v>
      </c>
      <c r="G4085" t="str">
        <f>_xlfn.XLOOKUP(transakcje[[#This Row],[podkategoria]],parametr[podkategoria],parametr[kategoria])</f>
        <v>opłaty stałe</v>
      </c>
      <c r="H4085" t="str">
        <f>_xlfn.XLOOKUP(transakcje[[#This Row],[kategoria]],parametr[kategoria],parametr[typ])</f>
        <v>wydatki</v>
      </c>
      <c r="I4085" s="1">
        <f>ABS(transakcje[[#This Row],[kwota]])</f>
        <v>24.48</v>
      </c>
    </row>
    <row r="4086" spans="1:9" x14ac:dyDescent="0.3">
      <c r="A4086">
        <v>4085</v>
      </c>
      <c r="B4086">
        <v>2023</v>
      </c>
      <c r="C4086">
        <v>1</v>
      </c>
      <c r="D4086">
        <v>1</v>
      </c>
      <c r="E4086" s="1">
        <v>-17.503999999999998</v>
      </c>
      <c r="F4086" t="s">
        <v>34</v>
      </c>
      <c r="G4086" t="str">
        <f>_xlfn.XLOOKUP(transakcje[[#This Row],[podkategoria]],parametr[podkategoria],parametr[kategoria])</f>
        <v>opłaty stałe</v>
      </c>
      <c r="H4086" t="str">
        <f>_xlfn.XLOOKUP(transakcje[[#This Row],[kategoria]],parametr[kategoria],parametr[typ])</f>
        <v>wydatki</v>
      </c>
      <c r="I4086" s="1">
        <f>ABS(transakcje[[#This Row],[kwota]])</f>
        <v>17.503999999999998</v>
      </c>
    </row>
    <row r="4087" spans="1:9" x14ac:dyDescent="0.3">
      <c r="A4087">
        <v>4086</v>
      </c>
      <c r="B4087">
        <v>2022</v>
      </c>
      <c r="C4087">
        <v>12</v>
      </c>
      <c r="D4087">
        <v>29</v>
      </c>
      <c r="E4087" s="1">
        <v>78.774000000000001</v>
      </c>
      <c r="F4087" t="s">
        <v>19</v>
      </c>
      <c r="G4087" t="str">
        <f>_xlfn.XLOOKUP(transakcje[[#This Row],[podkategoria]],parametr[podkategoria],parametr[kategoria])</f>
        <v>dochody z pracy</v>
      </c>
      <c r="H4087" t="str">
        <f>_xlfn.XLOOKUP(transakcje[[#This Row],[kategoria]],parametr[kategoria],parametr[typ])</f>
        <v>dochody</v>
      </c>
      <c r="I4087" s="1">
        <f>ABS(transakcje[[#This Row],[kwota]])</f>
        <v>78.774000000000001</v>
      </c>
    </row>
    <row r="4088" spans="1:9" x14ac:dyDescent="0.3">
      <c r="A4088">
        <v>4087</v>
      </c>
      <c r="B4088">
        <v>2022</v>
      </c>
      <c r="C4088">
        <v>12</v>
      </c>
      <c r="D4088">
        <v>30</v>
      </c>
      <c r="E4088" s="1">
        <v>-5.7619999999999996</v>
      </c>
      <c r="F4088" t="s">
        <v>26</v>
      </c>
      <c r="G4088" t="str">
        <f>_xlfn.XLOOKUP(transakcje[[#This Row],[podkategoria]],parametr[podkategoria],parametr[kategoria])</f>
        <v>życie</v>
      </c>
      <c r="H4088" t="str">
        <f>_xlfn.XLOOKUP(transakcje[[#This Row],[kategoria]],parametr[kategoria],parametr[typ])</f>
        <v>wydatki</v>
      </c>
      <c r="I4088" s="1">
        <f>ABS(transakcje[[#This Row],[kwota]])</f>
        <v>5.7619999999999996</v>
      </c>
    </row>
    <row r="4089" spans="1:9" x14ac:dyDescent="0.3">
      <c r="A4089">
        <v>4088</v>
      </c>
      <c r="B4089">
        <v>2022</v>
      </c>
      <c r="C4089">
        <v>12</v>
      </c>
      <c r="D4089">
        <v>31</v>
      </c>
      <c r="E4089" s="1">
        <v>-1.4</v>
      </c>
      <c r="F4089" t="s">
        <v>14</v>
      </c>
      <c r="G4089" t="str">
        <f>_xlfn.XLOOKUP(transakcje[[#This Row],[podkategoria]],parametr[podkategoria],parametr[kategoria])</f>
        <v>opłaty stałe</v>
      </c>
      <c r="H4089" t="str">
        <f>_xlfn.XLOOKUP(transakcje[[#This Row],[kategoria]],parametr[kategoria],parametr[typ])</f>
        <v>wydatki</v>
      </c>
      <c r="I4089" s="1">
        <f>ABS(transakcje[[#This Row],[kwota]])</f>
        <v>1.4</v>
      </c>
    </row>
    <row r="4090" spans="1:9" x14ac:dyDescent="0.3">
      <c r="A4090">
        <v>4089</v>
      </c>
      <c r="B4090">
        <v>2022</v>
      </c>
      <c r="C4090">
        <v>12</v>
      </c>
      <c r="D4090">
        <v>31</v>
      </c>
      <c r="E4090" s="1">
        <v>8.0000000000000002E-3</v>
      </c>
      <c r="F4090" t="s">
        <v>17</v>
      </c>
      <c r="G4090" t="str">
        <f>_xlfn.XLOOKUP(transakcje[[#This Row],[podkategoria]],parametr[podkategoria],parametr[kategoria])</f>
        <v>dochody pozostałe</v>
      </c>
      <c r="H4090" t="str">
        <f>_xlfn.XLOOKUP(transakcje[[#This Row],[kategoria]],parametr[kategoria],parametr[typ])</f>
        <v>dochody</v>
      </c>
      <c r="I4090" s="1">
        <f>ABS(transakcje[[#This Row],[kwota]])</f>
        <v>8.0000000000000002E-3</v>
      </c>
    </row>
    <row r="4091" spans="1:9" x14ac:dyDescent="0.3">
      <c r="A4091">
        <v>4090</v>
      </c>
      <c r="B4091">
        <v>2022</v>
      </c>
      <c r="C4091">
        <v>12</v>
      </c>
      <c r="D4091">
        <v>31</v>
      </c>
      <c r="E4091" s="1">
        <v>-2E-3</v>
      </c>
      <c r="F4091" t="s">
        <v>14</v>
      </c>
      <c r="G4091" t="str">
        <f>_xlfn.XLOOKUP(transakcje[[#This Row],[podkategoria]],parametr[podkategoria],parametr[kategoria])</f>
        <v>opłaty stałe</v>
      </c>
      <c r="H4091" t="str">
        <f>_xlfn.XLOOKUP(transakcje[[#This Row],[kategoria]],parametr[kategoria],parametr[typ])</f>
        <v>wydatki</v>
      </c>
      <c r="I4091" s="1">
        <f>ABS(transakcje[[#This Row],[kwota]])</f>
        <v>2E-3</v>
      </c>
    </row>
    <row r="4092" spans="1:9" x14ac:dyDescent="0.3">
      <c r="A4092">
        <v>4091</v>
      </c>
      <c r="B4092">
        <v>2023</v>
      </c>
      <c r="C4092">
        <v>1</v>
      </c>
      <c r="D4092">
        <v>2</v>
      </c>
      <c r="E4092" s="1">
        <v>-35.963999999999999</v>
      </c>
      <c r="F4092" t="s">
        <v>26</v>
      </c>
      <c r="G4092" t="str">
        <f>_xlfn.XLOOKUP(transakcje[[#This Row],[podkategoria]],parametr[podkategoria],parametr[kategoria])</f>
        <v>życie</v>
      </c>
      <c r="H4092" t="str">
        <f>_xlfn.XLOOKUP(transakcje[[#This Row],[kategoria]],parametr[kategoria],parametr[typ])</f>
        <v>wydatki</v>
      </c>
      <c r="I4092" s="1">
        <f>ABS(transakcje[[#This Row],[kwota]])</f>
        <v>35.963999999999999</v>
      </c>
    </row>
    <row r="4093" spans="1:9" x14ac:dyDescent="0.3">
      <c r="A4093">
        <v>4092</v>
      </c>
      <c r="B4093">
        <v>2023</v>
      </c>
      <c r="C4093">
        <v>1</v>
      </c>
      <c r="D4093">
        <v>3</v>
      </c>
      <c r="E4093" s="1">
        <v>-5.8</v>
      </c>
      <c r="F4093" t="s">
        <v>25</v>
      </c>
      <c r="G4093" t="str">
        <f>_xlfn.XLOOKUP(transakcje[[#This Row],[podkategoria]],parametr[podkategoria],parametr[kategoria])</f>
        <v>opłaty stałe</v>
      </c>
      <c r="H4093" t="str">
        <f>_xlfn.XLOOKUP(transakcje[[#This Row],[kategoria]],parametr[kategoria],parametr[typ])</f>
        <v>wydatki</v>
      </c>
      <c r="I4093" s="1">
        <f>ABS(transakcje[[#This Row],[kwota]])</f>
        <v>5.8</v>
      </c>
    </row>
    <row r="4094" spans="1:9" x14ac:dyDescent="0.3">
      <c r="A4094">
        <v>4093</v>
      </c>
      <c r="B4094">
        <v>2023</v>
      </c>
      <c r="C4094">
        <v>1</v>
      </c>
      <c r="D4094">
        <v>3</v>
      </c>
      <c r="E4094" s="1">
        <v>-7.38</v>
      </c>
      <c r="F4094" t="s">
        <v>23</v>
      </c>
      <c r="G4094" t="str">
        <f>_xlfn.XLOOKUP(transakcje[[#This Row],[podkategoria]],parametr[podkategoria],parametr[kategoria])</f>
        <v>opłaty stałe</v>
      </c>
      <c r="H4094" t="str">
        <f>_xlfn.XLOOKUP(transakcje[[#This Row],[kategoria]],parametr[kategoria],parametr[typ])</f>
        <v>wydatki</v>
      </c>
      <c r="I4094" s="1">
        <f>ABS(transakcje[[#This Row],[kwota]])</f>
        <v>7.38</v>
      </c>
    </row>
    <row r="4095" spans="1:9" x14ac:dyDescent="0.3">
      <c r="A4095">
        <v>4094</v>
      </c>
      <c r="B4095">
        <v>2023</v>
      </c>
      <c r="C4095">
        <v>1</v>
      </c>
      <c r="D4095">
        <v>3</v>
      </c>
      <c r="E4095" s="1">
        <v>-58.98</v>
      </c>
      <c r="F4095" t="s">
        <v>37</v>
      </c>
      <c r="G4095" t="str">
        <f>_xlfn.XLOOKUP(transakcje[[#This Row],[podkategoria]],parametr[podkategoria],parametr[kategoria])</f>
        <v>opłaty stałe</v>
      </c>
      <c r="H4095" t="str">
        <f>_xlfn.XLOOKUP(transakcje[[#This Row],[kategoria]],parametr[kategoria],parametr[typ])</f>
        <v>wydatki</v>
      </c>
      <c r="I4095" s="1">
        <f>ABS(transakcje[[#This Row],[kwota]])</f>
        <v>58.98</v>
      </c>
    </row>
    <row r="4096" spans="1:9" x14ac:dyDescent="0.3">
      <c r="A4096">
        <v>4095</v>
      </c>
      <c r="B4096">
        <v>2023</v>
      </c>
      <c r="C4096">
        <v>1</v>
      </c>
      <c r="D4096">
        <v>3</v>
      </c>
      <c r="E4096" s="1">
        <v>-9.9980000000000011</v>
      </c>
      <c r="F4096" t="s">
        <v>26</v>
      </c>
      <c r="G4096" t="str">
        <f>_xlfn.XLOOKUP(transakcje[[#This Row],[podkategoria]],parametr[podkategoria],parametr[kategoria])</f>
        <v>życie</v>
      </c>
      <c r="H4096" t="str">
        <f>_xlfn.XLOOKUP(transakcje[[#This Row],[kategoria]],parametr[kategoria],parametr[typ])</f>
        <v>wydatki</v>
      </c>
      <c r="I4096" s="1">
        <f>ABS(transakcje[[#This Row],[kwota]])</f>
        <v>9.9980000000000011</v>
      </c>
    </row>
    <row r="4097" spans="1:9" x14ac:dyDescent="0.3">
      <c r="A4097">
        <v>4096</v>
      </c>
      <c r="B4097">
        <v>2023</v>
      </c>
      <c r="C4097">
        <v>1</v>
      </c>
      <c r="D4097">
        <v>6</v>
      </c>
      <c r="E4097" s="1">
        <v>-104.06800000000001</v>
      </c>
      <c r="F4097" t="s">
        <v>31</v>
      </c>
      <c r="G4097" t="str">
        <f>_xlfn.XLOOKUP(transakcje[[#This Row],[podkategoria]],parametr[podkategoria],parametr[kategoria])</f>
        <v>opłaty stałe</v>
      </c>
      <c r="H4097" t="str">
        <f>_xlfn.XLOOKUP(transakcje[[#This Row],[kategoria]],parametr[kategoria],parametr[typ])</f>
        <v>wydatki</v>
      </c>
      <c r="I4097" s="1">
        <f>ABS(transakcje[[#This Row],[kwota]])</f>
        <v>104.06800000000001</v>
      </c>
    </row>
    <row r="4098" spans="1:9" x14ac:dyDescent="0.3">
      <c r="A4098">
        <v>4097</v>
      </c>
      <c r="B4098">
        <v>2023</v>
      </c>
      <c r="C4098">
        <v>1</v>
      </c>
      <c r="D4098">
        <v>12</v>
      </c>
      <c r="E4098" s="1">
        <v>-0.97</v>
      </c>
      <c r="F4098" t="s">
        <v>26</v>
      </c>
      <c r="G4098" t="str">
        <f>_xlfn.XLOOKUP(transakcje[[#This Row],[podkategoria]],parametr[podkategoria],parametr[kategoria])</f>
        <v>życie</v>
      </c>
      <c r="H4098" t="str">
        <f>_xlfn.XLOOKUP(transakcje[[#This Row],[kategoria]],parametr[kategoria],parametr[typ])</f>
        <v>wydatki</v>
      </c>
      <c r="I4098" s="1">
        <f>ABS(transakcje[[#This Row],[kwota]])</f>
        <v>0.97</v>
      </c>
    </row>
    <row r="4099" spans="1:9" x14ac:dyDescent="0.3">
      <c r="A4099">
        <v>4098</v>
      </c>
      <c r="B4099">
        <v>2023</v>
      </c>
      <c r="C4099">
        <v>1</v>
      </c>
      <c r="D4099">
        <v>13</v>
      </c>
      <c r="E4099" s="1">
        <v>-105.55999999999999</v>
      </c>
      <c r="F4099" t="s">
        <v>11</v>
      </c>
      <c r="G4099" t="str">
        <f>_xlfn.XLOOKUP(transakcje[[#This Row],[podkategoria]],parametr[podkategoria],parametr[kategoria])</f>
        <v>wydatki inne</v>
      </c>
      <c r="H4099" t="str">
        <f>_xlfn.XLOOKUP(transakcje[[#This Row],[kategoria]],parametr[kategoria],parametr[typ])</f>
        <v>wydatki</v>
      </c>
      <c r="I4099" s="1">
        <f>ABS(transakcje[[#This Row],[kwota]])</f>
        <v>105.55999999999999</v>
      </c>
    </row>
    <row r="4100" spans="1:9" x14ac:dyDescent="0.3">
      <c r="A4100">
        <v>4099</v>
      </c>
      <c r="B4100">
        <v>2023</v>
      </c>
      <c r="C4100">
        <v>1</v>
      </c>
      <c r="D4100">
        <v>17</v>
      </c>
      <c r="E4100" s="1">
        <v>-0.2</v>
      </c>
      <c r="F4100" t="s">
        <v>14</v>
      </c>
      <c r="G4100" t="str">
        <f>_xlfn.XLOOKUP(transakcje[[#This Row],[podkategoria]],parametr[podkategoria],parametr[kategoria])</f>
        <v>opłaty stałe</v>
      </c>
      <c r="H4100" t="str">
        <f>_xlfn.XLOOKUP(transakcje[[#This Row],[kategoria]],parametr[kategoria],parametr[typ])</f>
        <v>wydatki</v>
      </c>
      <c r="I4100" s="1">
        <f>ABS(transakcje[[#This Row],[kwota]])</f>
        <v>0.2</v>
      </c>
    </row>
    <row r="4101" spans="1:9" x14ac:dyDescent="0.3">
      <c r="A4101">
        <v>4100</v>
      </c>
      <c r="B4101">
        <v>2023</v>
      </c>
      <c r="C4101">
        <v>1</v>
      </c>
      <c r="D4101">
        <v>19</v>
      </c>
      <c r="E4101" s="1">
        <v>-2.3079999999999998</v>
      </c>
      <c r="F4101" t="s">
        <v>26</v>
      </c>
      <c r="G4101" t="str">
        <f>_xlfn.XLOOKUP(transakcje[[#This Row],[podkategoria]],parametr[podkategoria],parametr[kategoria])</f>
        <v>życie</v>
      </c>
      <c r="H4101" t="str">
        <f>_xlfn.XLOOKUP(transakcje[[#This Row],[kategoria]],parametr[kategoria],parametr[typ])</f>
        <v>wydatki</v>
      </c>
      <c r="I4101" s="1">
        <f>ABS(transakcje[[#This Row],[kwota]])</f>
        <v>2.3079999999999998</v>
      </c>
    </row>
    <row r="4102" spans="1:9" x14ac:dyDescent="0.3">
      <c r="A4102">
        <v>4101</v>
      </c>
      <c r="B4102">
        <v>2023</v>
      </c>
      <c r="C4102">
        <v>1</v>
      </c>
      <c r="D4102">
        <v>26</v>
      </c>
      <c r="E4102" s="1">
        <v>-2.5979999999999999</v>
      </c>
      <c r="F4102" t="s">
        <v>26</v>
      </c>
      <c r="G4102" t="str">
        <f>_xlfn.XLOOKUP(transakcje[[#This Row],[podkategoria]],parametr[podkategoria],parametr[kategoria])</f>
        <v>życie</v>
      </c>
      <c r="H4102" t="str">
        <f>_xlfn.XLOOKUP(transakcje[[#This Row],[kategoria]],parametr[kategoria],parametr[typ])</f>
        <v>wydatki</v>
      </c>
      <c r="I4102" s="1">
        <f>ABS(transakcje[[#This Row],[kwota]])</f>
        <v>2.5979999999999999</v>
      </c>
    </row>
    <row r="4103" spans="1:9" x14ac:dyDescent="0.3">
      <c r="A4103">
        <v>4102</v>
      </c>
      <c r="B4103">
        <v>2023</v>
      </c>
      <c r="C4103">
        <v>1</v>
      </c>
      <c r="D4103">
        <v>27</v>
      </c>
      <c r="E4103" s="1">
        <v>880.78</v>
      </c>
      <c r="F4103" t="s">
        <v>8</v>
      </c>
      <c r="G4103" t="str">
        <f>_xlfn.XLOOKUP(transakcje[[#This Row],[podkategoria]],parametr[podkategoria],parametr[kategoria])</f>
        <v>dochody z pracy</v>
      </c>
      <c r="H4103" t="str">
        <f>_xlfn.XLOOKUP(transakcje[[#This Row],[kategoria]],parametr[kategoria],parametr[typ])</f>
        <v>dochody</v>
      </c>
      <c r="I4103" s="1">
        <f>ABS(transakcje[[#This Row],[kwota]])</f>
        <v>880.78</v>
      </c>
    </row>
    <row r="4104" spans="1:9" x14ac:dyDescent="0.3">
      <c r="A4104">
        <v>4103</v>
      </c>
      <c r="B4104">
        <v>2023</v>
      </c>
      <c r="C4104">
        <v>1</v>
      </c>
      <c r="D4104">
        <v>28</v>
      </c>
      <c r="E4104" s="1">
        <v>-23.8</v>
      </c>
      <c r="F4104" t="s">
        <v>32</v>
      </c>
      <c r="G4104" t="str">
        <f>_xlfn.XLOOKUP(transakcje[[#This Row],[podkategoria]],parametr[podkategoria],parametr[kategoria])</f>
        <v>opłaty stałe</v>
      </c>
      <c r="H4104" t="str">
        <f>_xlfn.XLOOKUP(transakcje[[#This Row],[kategoria]],parametr[kategoria],parametr[typ])</f>
        <v>wydatki</v>
      </c>
      <c r="I4104" s="1">
        <f>ABS(transakcje[[#This Row],[kwota]])</f>
        <v>23.8</v>
      </c>
    </row>
    <row r="4105" spans="1:9" x14ac:dyDescent="0.3">
      <c r="A4105">
        <v>4104</v>
      </c>
      <c r="B4105">
        <v>2023</v>
      </c>
      <c r="C4105">
        <v>1</v>
      </c>
      <c r="D4105">
        <v>31</v>
      </c>
      <c r="E4105" s="1">
        <v>-2E-3</v>
      </c>
      <c r="F4105" t="s">
        <v>14</v>
      </c>
      <c r="G4105" t="str">
        <f>_xlfn.XLOOKUP(transakcje[[#This Row],[podkategoria]],parametr[podkategoria],parametr[kategoria])</f>
        <v>opłaty stałe</v>
      </c>
      <c r="H4105" t="str">
        <f>_xlfn.XLOOKUP(transakcje[[#This Row],[kategoria]],parametr[kategoria],parametr[typ])</f>
        <v>wydatki</v>
      </c>
      <c r="I4105" s="1">
        <f>ABS(transakcje[[#This Row],[kwota]])</f>
        <v>2E-3</v>
      </c>
    </row>
    <row r="4106" spans="1:9" x14ac:dyDescent="0.3">
      <c r="A4106">
        <v>4105</v>
      </c>
      <c r="B4106">
        <v>2023</v>
      </c>
      <c r="C4106">
        <v>1</v>
      </c>
      <c r="D4106">
        <v>31</v>
      </c>
      <c r="E4106" s="1">
        <v>-1.4</v>
      </c>
      <c r="F4106" t="s">
        <v>14</v>
      </c>
      <c r="G4106" t="str">
        <f>_xlfn.XLOOKUP(transakcje[[#This Row],[podkategoria]],parametr[podkategoria],parametr[kategoria])</f>
        <v>opłaty stałe</v>
      </c>
      <c r="H4106" t="str">
        <f>_xlfn.XLOOKUP(transakcje[[#This Row],[kategoria]],parametr[kategoria],parametr[typ])</f>
        <v>wydatki</v>
      </c>
      <c r="I4106" s="1">
        <f>ABS(transakcje[[#This Row],[kwota]])</f>
        <v>1.4</v>
      </c>
    </row>
    <row r="4107" spans="1:9" x14ac:dyDescent="0.3">
      <c r="A4107">
        <v>4106</v>
      </c>
      <c r="B4107">
        <v>2023</v>
      </c>
      <c r="C4107">
        <v>1</v>
      </c>
      <c r="D4107">
        <v>31</v>
      </c>
      <c r="E4107" s="1">
        <v>2E-3</v>
      </c>
      <c r="F4107" t="s">
        <v>17</v>
      </c>
      <c r="G4107" t="str">
        <f>_xlfn.XLOOKUP(transakcje[[#This Row],[podkategoria]],parametr[podkategoria],parametr[kategoria])</f>
        <v>dochody pozostałe</v>
      </c>
      <c r="H4107" t="str">
        <f>_xlfn.XLOOKUP(transakcje[[#This Row],[kategoria]],parametr[kategoria],parametr[typ])</f>
        <v>dochody</v>
      </c>
      <c r="I4107" s="1">
        <f>ABS(transakcje[[#This Row],[kwota]])</f>
        <v>2E-3</v>
      </c>
    </row>
    <row r="4108" spans="1:9" x14ac:dyDescent="0.3">
      <c r="A4108">
        <v>4107</v>
      </c>
      <c r="B4108">
        <v>2023</v>
      </c>
      <c r="C4108">
        <v>2</v>
      </c>
      <c r="D4108">
        <v>1</v>
      </c>
      <c r="E4108" s="1">
        <v>-1.6280000000000001</v>
      </c>
      <c r="F4108" t="s">
        <v>26</v>
      </c>
      <c r="G4108" t="str">
        <f>_xlfn.XLOOKUP(transakcje[[#This Row],[podkategoria]],parametr[podkategoria],parametr[kategoria])</f>
        <v>życie</v>
      </c>
      <c r="H4108" t="str">
        <f>_xlfn.XLOOKUP(transakcje[[#This Row],[kategoria]],parametr[kategoria],parametr[typ])</f>
        <v>wydatki</v>
      </c>
      <c r="I4108" s="1">
        <f>ABS(transakcje[[#This Row],[kwota]])</f>
        <v>1.6280000000000001</v>
      </c>
    </row>
    <row r="4109" spans="1:9" x14ac:dyDescent="0.3">
      <c r="A4109">
        <v>4108</v>
      </c>
      <c r="B4109">
        <v>2023</v>
      </c>
      <c r="C4109">
        <v>2</v>
      </c>
      <c r="D4109">
        <v>3</v>
      </c>
      <c r="E4109" s="1">
        <v>-10.8</v>
      </c>
      <c r="F4109" t="s">
        <v>36</v>
      </c>
      <c r="G4109" t="str">
        <f>_xlfn.XLOOKUP(transakcje[[#This Row],[podkategoria]],parametr[podkategoria],parametr[kategoria])</f>
        <v>opłaty stałe</v>
      </c>
      <c r="H4109" t="str">
        <f>_xlfn.XLOOKUP(transakcje[[#This Row],[kategoria]],parametr[kategoria],parametr[typ])</f>
        <v>wydatki</v>
      </c>
      <c r="I4109" s="1">
        <f>ABS(transakcje[[#This Row],[kwota]])</f>
        <v>10.8</v>
      </c>
    </row>
    <row r="4110" spans="1:9" x14ac:dyDescent="0.3">
      <c r="A4110">
        <v>4109</v>
      </c>
      <c r="B4110">
        <v>2023</v>
      </c>
      <c r="C4110">
        <v>2</v>
      </c>
      <c r="D4110">
        <v>3</v>
      </c>
      <c r="E4110" s="1">
        <v>-5.798</v>
      </c>
      <c r="F4110" t="s">
        <v>26</v>
      </c>
      <c r="G4110" t="str">
        <f>_xlfn.XLOOKUP(transakcje[[#This Row],[podkategoria]],parametr[podkategoria],parametr[kategoria])</f>
        <v>życie</v>
      </c>
      <c r="H4110" t="str">
        <f>_xlfn.XLOOKUP(transakcje[[#This Row],[kategoria]],parametr[kategoria],parametr[typ])</f>
        <v>wydatki</v>
      </c>
      <c r="I4110" s="1">
        <f>ABS(transakcje[[#This Row],[kwota]])</f>
        <v>5.798</v>
      </c>
    </row>
    <row r="4111" spans="1:9" x14ac:dyDescent="0.3">
      <c r="A4111">
        <v>4110</v>
      </c>
      <c r="B4111">
        <v>2023</v>
      </c>
      <c r="C4111">
        <v>2</v>
      </c>
      <c r="D4111">
        <v>3</v>
      </c>
      <c r="E4111" s="1">
        <v>-5.8</v>
      </c>
      <c r="F4111" t="s">
        <v>25</v>
      </c>
      <c r="G4111" t="str">
        <f>_xlfn.XLOOKUP(transakcje[[#This Row],[podkategoria]],parametr[podkategoria],parametr[kategoria])</f>
        <v>opłaty stałe</v>
      </c>
      <c r="H4111" t="str">
        <f>_xlfn.XLOOKUP(transakcje[[#This Row],[kategoria]],parametr[kategoria],parametr[typ])</f>
        <v>wydatki</v>
      </c>
      <c r="I4111" s="1">
        <f>ABS(transakcje[[#This Row],[kwota]])</f>
        <v>5.8</v>
      </c>
    </row>
    <row r="4112" spans="1:9" x14ac:dyDescent="0.3">
      <c r="A4112">
        <v>4111</v>
      </c>
      <c r="B4112">
        <v>2023</v>
      </c>
      <c r="C4112">
        <v>2</v>
      </c>
      <c r="D4112">
        <v>3</v>
      </c>
      <c r="E4112" s="1">
        <v>-49.998000000000005</v>
      </c>
      <c r="F4112" t="s">
        <v>26</v>
      </c>
      <c r="G4112" t="str">
        <f>_xlfn.XLOOKUP(transakcje[[#This Row],[podkategoria]],parametr[podkategoria],parametr[kategoria])</f>
        <v>życie</v>
      </c>
      <c r="H4112" t="str">
        <f>_xlfn.XLOOKUP(transakcje[[#This Row],[kategoria]],parametr[kategoria],parametr[typ])</f>
        <v>wydatki</v>
      </c>
      <c r="I4112" s="1">
        <f>ABS(transakcje[[#This Row],[kwota]])</f>
        <v>49.998000000000005</v>
      </c>
    </row>
    <row r="4113" spans="1:9" x14ac:dyDescent="0.3">
      <c r="A4113">
        <v>4112</v>
      </c>
      <c r="B4113">
        <v>2023</v>
      </c>
      <c r="C4113">
        <v>2</v>
      </c>
      <c r="D4113">
        <v>3</v>
      </c>
      <c r="E4113" s="1">
        <v>-104.06800000000001</v>
      </c>
      <c r="F4113" t="s">
        <v>31</v>
      </c>
      <c r="G4113" t="str">
        <f>_xlfn.XLOOKUP(transakcje[[#This Row],[podkategoria]],parametr[podkategoria],parametr[kategoria])</f>
        <v>opłaty stałe</v>
      </c>
      <c r="H4113" t="str">
        <f>_xlfn.XLOOKUP(transakcje[[#This Row],[kategoria]],parametr[kategoria],parametr[typ])</f>
        <v>wydatki</v>
      </c>
      <c r="I4113" s="1">
        <f>ABS(transakcje[[#This Row],[kwota]])</f>
        <v>104.06800000000001</v>
      </c>
    </row>
    <row r="4114" spans="1:9" x14ac:dyDescent="0.3">
      <c r="A4114">
        <v>4113</v>
      </c>
      <c r="B4114">
        <v>2023</v>
      </c>
      <c r="C4114">
        <v>2</v>
      </c>
      <c r="D4114">
        <v>3</v>
      </c>
      <c r="E4114" s="1">
        <v>-7.38</v>
      </c>
      <c r="F4114" t="s">
        <v>23</v>
      </c>
      <c r="G4114" t="str">
        <f>_xlfn.XLOOKUP(transakcje[[#This Row],[podkategoria]],parametr[podkategoria],parametr[kategoria])</f>
        <v>opłaty stałe</v>
      </c>
      <c r="H4114" t="str">
        <f>_xlfn.XLOOKUP(transakcje[[#This Row],[kategoria]],parametr[kategoria],parametr[typ])</f>
        <v>wydatki</v>
      </c>
      <c r="I4114" s="1">
        <f>ABS(transakcje[[#This Row],[kwota]])</f>
        <v>7.38</v>
      </c>
    </row>
    <row r="4115" spans="1:9" x14ac:dyDescent="0.3">
      <c r="A4115">
        <v>4114</v>
      </c>
      <c r="B4115">
        <v>2023</v>
      </c>
      <c r="C4115">
        <v>2</v>
      </c>
      <c r="D4115">
        <v>8</v>
      </c>
      <c r="E4115" s="1">
        <v>-1.456</v>
      </c>
      <c r="F4115" t="s">
        <v>26</v>
      </c>
      <c r="G4115" t="str">
        <f>_xlfn.XLOOKUP(transakcje[[#This Row],[podkategoria]],parametr[podkategoria],parametr[kategoria])</f>
        <v>życie</v>
      </c>
      <c r="H4115" t="str">
        <f>_xlfn.XLOOKUP(transakcje[[#This Row],[kategoria]],parametr[kategoria],parametr[typ])</f>
        <v>wydatki</v>
      </c>
      <c r="I4115" s="1">
        <f>ABS(transakcje[[#This Row],[kwota]])</f>
        <v>1.456</v>
      </c>
    </row>
    <row r="4116" spans="1:9" x14ac:dyDescent="0.3">
      <c r="A4116">
        <v>4115</v>
      </c>
      <c r="B4116">
        <v>2023</v>
      </c>
      <c r="C4116">
        <v>2</v>
      </c>
      <c r="D4116">
        <v>11</v>
      </c>
      <c r="E4116" s="1">
        <v>-81.984000000000009</v>
      </c>
      <c r="F4116" t="s">
        <v>11</v>
      </c>
      <c r="G4116" t="str">
        <f>_xlfn.XLOOKUP(transakcje[[#This Row],[podkategoria]],parametr[podkategoria],parametr[kategoria])</f>
        <v>wydatki inne</v>
      </c>
      <c r="H4116" t="str">
        <f>_xlfn.XLOOKUP(transakcje[[#This Row],[kategoria]],parametr[kategoria],parametr[typ])</f>
        <v>wydatki</v>
      </c>
      <c r="I4116" s="1">
        <f>ABS(transakcje[[#This Row],[kwota]])</f>
        <v>81.984000000000009</v>
      </c>
    </row>
    <row r="4117" spans="1:9" x14ac:dyDescent="0.3">
      <c r="A4117">
        <v>4116</v>
      </c>
      <c r="B4117">
        <v>2023</v>
      </c>
      <c r="C4117">
        <v>2</v>
      </c>
      <c r="D4117">
        <v>14</v>
      </c>
      <c r="E4117" s="1">
        <v>-0.8</v>
      </c>
      <c r="F4117" t="s">
        <v>14</v>
      </c>
      <c r="G4117" t="str">
        <f>_xlfn.XLOOKUP(transakcje[[#This Row],[podkategoria]],parametr[podkategoria],parametr[kategoria])</f>
        <v>opłaty stałe</v>
      </c>
      <c r="H4117" t="str">
        <f>_xlfn.XLOOKUP(transakcje[[#This Row],[kategoria]],parametr[kategoria],parametr[typ])</f>
        <v>wydatki</v>
      </c>
      <c r="I4117" s="1">
        <f>ABS(transakcje[[#This Row],[kwota]])</f>
        <v>0.8</v>
      </c>
    </row>
    <row r="4118" spans="1:9" x14ac:dyDescent="0.3">
      <c r="A4118">
        <v>4117</v>
      </c>
      <c r="B4118">
        <v>2023</v>
      </c>
      <c r="C4118">
        <v>2</v>
      </c>
      <c r="D4118">
        <v>15</v>
      </c>
      <c r="E4118" s="1">
        <v>-35.75</v>
      </c>
      <c r="F4118" t="s">
        <v>26</v>
      </c>
      <c r="G4118" t="str">
        <f>_xlfn.XLOOKUP(transakcje[[#This Row],[podkategoria]],parametr[podkategoria],parametr[kategoria])</f>
        <v>życie</v>
      </c>
      <c r="H4118" t="str">
        <f>_xlfn.XLOOKUP(transakcje[[#This Row],[kategoria]],parametr[kategoria],parametr[typ])</f>
        <v>wydatki</v>
      </c>
      <c r="I4118" s="1">
        <f>ABS(transakcje[[#This Row],[kwota]])</f>
        <v>35.75</v>
      </c>
    </row>
    <row r="4119" spans="1:9" x14ac:dyDescent="0.3">
      <c r="A4119">
        <v>4118</v>
      </c>
      <c r="B4119">
        <v>2023</v>
      </c>
      <c r="C4119">
        <v>2</v>
      </c>
      <c r="D4119">
        <v>16</v>
      </c>
      <c r="E4119" s="1">
        <v>794.08199999999999</v>
      </c>
      <c r="F4119" t="s">
        <v>22</v>
      </c>
      <c r="G4119" t="str">
        <f>_xlfn.XLOOKUP(transakcje[[#This Row],[podkategoria]],parametr[podkategoria],parametr[kategoria])</f>
        <v>dochody z pracy</v>
      </c>
      <c r="H4119" t="str">
        <f>_xlfn.XLOOKUP(transakcje[[#This Row],[kategoria]],parametr[kategoria],parametr[typ])</f>
        <v>dochody</v>
      </c>
      <c r="I4119" s="1">
        <f>ABS(transakcje[[#This Row],[kwota]])</f>
        <v>794.08199999999999</v>
      </c>
    </row>
    <row r="4120" spans="1:9" x14ac:dyDescent="0.3">
      <c r="A4120">
        <v>4119</v>
      </c>
      <c r="B4120">
        <v>2023</v>
      </c>
      <c r="C4120">
        <v>2</v>
      </c>
      <c r="D4120">
        <v>20</v>
      </c>
      <c r="E4120" s="1">
        <v>63.605999999999995</v>
      </c>
      <c r="F4120" t="s">
        <v>8</v>
      </c>
      <c r="G4120" t="str">
        <f>_xlfn.XLOOKUP(transakcje[[#This Row],[podkategoria]],parametr[podkategoria],parametr[kategoria])</f>
        <v>dochody z pracy</v>
      </c>
      <c r="H4120" t="str">
        <f>_xlfn.XLOOKUP(transakcje[[#This Row],[kategoria]],parametr[kategoria],parametr[typ])</f>
        <v>dochody</v>
      </c>
      <c r="I4120" s="1">
        <f>ABS(transakcje[[#This Row],[kwota]])</f>
        <v>63.605999999999995</v>
      </c>
    </row>
    <row r="4121" spans="1:9" x14ac:dyDescent="0.3">
      <c r="A4121">
        <v>4120</v>
      </c>
      <c r="B4121">
        <v>2023</v>
      </c>
      <c r="C4121">
        <v>2</v>
      </c>
      <c r="D4121">
        <v>22</v>
      </c>
      <c r="E4121" s="1">
        <v>-1.6280000000000001</v>
      </c>
      <c r="F4121" t="s">
        <v>26</v>
      </c>
      <c r="G4121" t="str">
        <f>_xlfn.XLOOKUP(transakcje[[#This Row],[podkategoria]],parametr[podkategoria],parametr[kategoria])</f>
        <v>życie</v>
      </c>
      <c r="H4121" t="str">
        <f>_xlfn.XLOOKUP(transakcje[[#This Row],[kategoria]],parametr[kategoria],parametr[typ])</f>
        <v>wydatki</v>
      </c>
      <c r="I4121" s="1">
        <f>ABS(transakcje[[#This Row],[kwota]])</f>
        <v>1.6280000000000001</v>
      </c>
    </row>
    <row r="4122" spans="1:9" x14ac:dyDescent="0.3">
      <c r="A4122">
        <v>4121</v>
      </c>
      <c r="B4122">
        <v>2023</v>
      </c>
      <c r="C4122">
        <v>2</v>
      </c>
      <c r="D4122">
        <v>22</v>
      </c>
      <c r="E4122" s="1">
        <v>-3.9140000000000001</v>
      </c>
      <c r="F4122" t="s">
        <v>26</v>
      </c>
      <c r="G4122" t="str">
        <f>_xlfn.XLOOKUP(transakcje[[#This Row],[podkategoria]],parametr[podkategoria],parametr[kategoria])</f>
        <v>życie</v>
      </c>
      <c r="H4122" t="str">
        <f>_xlfn.XLOOKUP(transakcje[[#This Row],[kategoria]],parametr[kategoria],parametr[typ])</f>
        <v>wydatki</v>
      </c>
      <c r="I4122" s="1">
        <f>ABS(transakcje[[#This Row],[kwota]])</f>
        <v>3.9140000000000001</v>
      </c>
    </row>
    <row r="4123" spans="1:9" x14ac:dyDescent="0.3">
      <c r="A4123">
        <v>4122</v>
      </c>
      <c r="B4123">
        <v>2023</v>
      </c>
      <c r="C4123">
        <v>2</v>
      </c>
      <c r="D4123">
        <v>24</v>
      </c>
      <c r="E4123" s="1">
        <v>-2.63</v>
      </c>
      <c r="F4123" t="s">
        <v>26</v>
      </c>
      <c r="G4123" t="str">
        <f>_xlfn.XLOOKUP(transakcje[[#This Row],[podkategoria]],parametr[podkategoria],parametr[kategoria])</f>
        <v>życie</v>
      </c>
      <c r="H4123" t="str">
        <f>_xlfn.XLOOKUP(transakcje[[#This Row],[kategoria]],parametr[kategoria],parametr[typ])</f>
        <v>wydatki</v>
      </c>
      <c r="I4123" s="1">
        <f>ABS(transakcje[[#This Row],[kwota]])</f>
        <v>2.63</v>
      </c>
    </row>
    <row r="4124" spans="1:9" x14ac:dyDescent="0.3">
      <c r="A4124">
        <v>4123</v>
      </c>
      <c r="B4124">
        <v>2023</v>
      </c>
      <c r="C4124">
        <v>2</v>
      </c>
      <c r="D4124">
        <v>24</v>
      </c>
      <c r="E4124" s="1">
        <v>944.39</v>
      </c>
      <c r="F4124" t="s">
        <v>8</v>
      </c>
      <c r="G4124" t="str">
        <f>_xlfn.XLOOKUP(transakcje[[#This Row],[podkategoria]],parametr[podkategoria],parametr[kategoria])</f>
        <v>dochody z pracy</v>
      </c>
      <c r="H4124" t="str">
        <f>_xlfn.XLOOKUP(transakcje[[#This Row],[kategoria]],parametr[kategoria],parametr[typ])</f>
        <v>dochody</v>
      </c>
      <c r="I4124" s="1">
        <f>ABS(transakcje[[#This Row],[kwota]])</f>
        <v>944.39</v>
      </c>
    </row>
    <row r="4125" spans="1:9" x14ac:dyDescent="0.3">
      <c r="A4125">
        <v>4124</v>
      </c>
      <c r="B4125">
        <v>2023</v>
      </c>
      <c r="C4125">
        <v>2</v>
      </c>
      <c r="D4125">
        <v>25</v>
      </c>
      <c r="E4125" s="1">
        <v>-23.8</v>
      </c>
      <c r="F4125" t="s">
        <v>32</v>
      </c>
      <c r="G4125" t="str">
        <f>_xlfn.XLOOKUP(transakcje[[#This Row],[podkategoria]],parametr[podkategoria],parametr[kategoria])</f>
        <v>opłaty stałe</v>
      </c>
      <c r="H4125" t="str">
        <f>_xlfn.XLOOKUP(transakcje[[#This Row],[kategoria]],parametr[kategoria],parametr[typ])</f>
        <v>wydatki</v>
      </c>
      <c r="I4125" s="1">
        <f>ABS(transakcje[[#This Row],[kwota]])</f>
        <v>23.8</v>
      </c>
    </row>
    <row r="4126" spans="1:9" x14ac:dyDescent="0.3">
      <c r="A4126">
        <v>4125</v>
      </c>
      <c r="B4126">
        <v>2023</v>
      </c>
      <c r="C4126">
        <v>2</v>
      </c>
      <c r="D4126">
        <v>27</v>
      </c>
      <c r="E4126" s="1">
        <v>80.2</v>
      </c>
      <c r="F4126" t="s">
        <v>16</v>
      </c>
      <c r="G4126" t="str">
        <f>_xlfn.XLOOKUP(transakcje[[#This Row],[podkategoria]],parametr[podkategoria],parametr[kategoria])</f>
        <v>dochody z pracy</v>
      </c>
      <c r="H4126" t="str">
        <f>_xlfn.XLOOKUP(transakcje[[#This Row],[kategoria]],parametr[kategoria],parametr[typ])</f>
        <v>dochody</v>
      </c>
      <c r="I4126" s="1">
        <f>ABS(transakcje[[#This Row],[kwota]])</f>
        <v>80.2</v>
      </c>
    </row>
    <row r="4127" spans="1:9" x14ac:dyDescent="0.3">
      <c r="A4127">
        <v>4126</v>
      </c>
      <c r="B4127">
        <v>2023</v>
      </c>
      <c r="C4127">
        <v>2</v>
      </c>
      <c r="D4127">
        <v>28</v>
      </c>
      <c r="E4127" s="1">
        <v>-1.4</v>
      </c>
      <c r="F4127" t="s">
        <v>14</v>
      </c>
      <c r="G4127" t="str">
        <f>_xlfn.XLOOKUP(transakcje[[#This Row],[podkategoria]],parametr[podkategoria],parametr[kategoria])</f>
        <v>opłaty stałe</v>
      </c>
      <c r="H4127" t="str">
        <f>_xlfn.XLOOKUP(transakcje[[#This Row],[kategoria]],parametr[kategoria],parametr[typ])</f>
        <v>wydatki</v>
      </c>
      <c r="I4127" s="1">
        <f>ABS(transakcje[[#This Row],[kwota]])</f>
        <v>1.4</v>
      </c>
    </row>
    <row r="4128" spans="1:9" x14ac:dyDescent="0.3">
      <c r="A4128">
        <v>4127</v>
      </c>
      <c r="B4128">
        <v>2023</v>
      </c>
      <c r="C4128">
        <v>2</v>
      </c>
      <c r="D4128">
        <v>28</v>
      </c>
      <c r="E4128" s="1">
        <v>6.0000000000000001E-3</v>
      </c>
      <c r="F4128" t="s">
        <v>17</v>
      </c>
      <c r="G4128" t="str">
        <f>_xlfn.XLOOKUP(transakcje[[#This Row],[podkategoria]],parametr[podkategoria],parametr[kategoria])</f>
        <v>dochody pozostałe</v>
      </c>
      <c r="H4128" t="str">
        <f>_xlfn.XLOOKUP(transakcje[[#This Row],[kategoria]],parametr[kategoria],parametr[typ])</f>
        <v>dochody</v>
      </c>
      <c r="I4128" s="1">
        <f>ABS(transakcje[[#This Row],[kwota]])</f>
        <v>6.0000000000000001E-3</v>
      </c>
    </row>
    <row r="4129" spans="1:9" x14ac:dyDescent="0.3">
      <c r="A4129">
        <v>4128</v>
      </c>
      <c r="B4129">
        <v>2023</v>
      </c>
      <c r="C4129">
        <v>2</v>
      </c>
      <c r="D4129">
        <v>28</v>
      </c>
      <c r="E4129" s="1">
        <v>-2E-3</v>
      </c>
      <c r="F4129" t="s">
        <v>14</v>
      </c>
      <c r="G4129" t="str">
        <f>_xlfn.XLOOKUP(transakcje[[#This Row],[podkategoria]],parametr[podkategoria],parametr[kategoria])</f>
        <v>opłaty stałe</v>
      </c>
      <c r="H4129" t="str">
        <f>_xlfn.XLOOKUP(transakcje[[#This Row],[kategoria]],parametr[kategoria],parametr[typ])</f>
        <v>wydatki</v>
      </c>
      <c r="I4129" s="1">
        <f>ABS(transakcje[[#This Row],[kwota]])</f>
        <v>2E-3</v>
      </c>
    </row>
    <row r="4130" spans="1:9" x14ac:dyDescent="0.3">
      <c r="A4130">
        <v>4129</v>
      </c>
      <c r="B4130">
        <v>2023</v>
      </c>
      <c r="C4130">
        <v>3</v>
      </c>
      <c r="D4130">
        <v>1</v>
      </c>
      <c r="E4130" s="1">
        <v>-0.97</v>
      </c>
      <c r="F4130" t="s">
        <v>26</v>
      </c>
      <c r="G4130" t="str">
        <f>_xlfn.XLOOKUP(transakcje[[#This Row],[podkategoria]],parametr[podkategoria],parametr[kategoria])</f>
        <v>życie</v>
      </c>
      <c r="H4130" t="str">
        <f>_xlfn.XLOOKUP(transakcje[[#This Row],[kategoria]],parametr[kategoria],parametr[typ])</f>
        <v>wydatki</v>
      </c>
      <c r="I4130" s="1">
        <f>ABS(transakcje[[#This Row],[kwota]])</f>
        <v>0.97</v>
      </c>
    </row>
    <row r="4131" spans="1:9" x14ac:dyDescent="0.3">
      <c r="A4131">
        <v>4130</v>
      </c>
      <c r="B4131">
        <v>2023</v>
      </c>
      <c r="C4131">
        <v>3</v>
      </c>
      <c r="D4131">
        <v>1</v>
      </c>
      <c r="E4131" s="1">
        <v>-4.1139999999999999</v>
      </c>
      <c r="F4131" t="s">
        <v>26</v>
      </c>
      <c r="G4131" t="str">
        <f>_xlfn.XLOOKUP(transakcje[[#This Row],[podkategoria]],parametr[podkategoria],parametr[kategoria])</f>
        <v>życie</v>
      </c>
      <c r="H4131" t="str">
        <f>_xlfn.XLOOKUP(transakcje[[#This Row],[kategoria]],parametr[kategoria],parametr[typ])</f>
        <v>wydatki</v>
      </c>
      <c r="I4131" s="1">
        <f>ABS(transakcje[[#This Row],[kwota]])</f>
        <v>4.1139999999999999</v>
      </c>
    </row>
    <row r="4132" spans="1:9" x14ac:dyDescent="0.3">
      <c r="A4132">
        <v>4131</v>
      </c>
      <c r="B4132">
        <v>2023</v>
      </c>
      <c r="C4132">
        <v>3</v>
      </c>
      <c r="D4132">
        <v>1</v>
      </c>
      <c r="E4132" s="1">
        <v>-30.986000000000001</v>
      </c>
      <c r="F4132" t="s">
        <v>11</v>
      </c>
      <c r="G4132" t="str">
        <f>_xlfn.XLOOKUP(transakcje[[#This Row],[podkategoria]],parametr[podkategoria],parametr[kategoria])</f>
        <v>wydatki inne</v>
      </c>
      <c r="H4132" t="str">
        <f>_xlfn.XLOOKUP(transakcje[[#This Row],[kategoria]],parametr[kategoria],parametr[typ])</f>
        <v>wydatki</v>
      </c>
      <c r="I4132" s="1">
        <f>ABS(transakcje[[#This Row],[kwota]])</f>
        <v>30.986000000000001</v>
      </c>
    </row>
    <row r="4133" spans="1:9" x14ac:dyDescent="0.3">
      <c r="A4133">
        <v>4132</v>
      </c>
      <c r="B4133">
        <v>2023</v>
      </c>
      <c r="C4133">
        <v>3</v>
      </c>
      <c r="D4133">
        <v>4</v>
      </c>
      <c r="E4133" s="1">
        <v>-7.38</v>
      </c>
      <c r="F4133" t="s">
        <v>23</v>
      </c>
      <c r="G4133" t="str">
        <f>_xlfn.XLOOKUP(transakcje[[#This Row],[podkategoria]],parametr[podkategoria],parametr[kategoria])</f>
        <v>opłaty stałe</v>
      </c>
      <c r="H4133" t="str">
        <f>_xlfn.XLOOKUP(transakcje[[#This Row],[kategoria]],parametr[kategoria],parametr[typ])</f>
        <v>wydatki</v>
      </c>
      <c r="I4133" s="1">
        <f>ABS(transakcje[[#This Row],[kwota]])</f>
        <v>7.38</v>
      </c>
    </row>
    <row r="4134" spans="1:9" x14ac:dyDescent="0.3">
      <c r="A4134">
        <v>4133</v>
      </c>
      <c r="B4134">
        <v>2023</v>
      </c>
      <c r="C4134">
        <v>3</v>
      </c>
      <c r="D4134">
        <v>4</v>
      </c>
      <c r="E4134" s="1">
        <v>-5.8</v>
      </c>
      <c r="F4134" t="s">
        <v>25</v>
      </c>
      <c r="G4134" t="str">
        <f>_xlfn.XLOOKUP(transakcje[[#This Row],[podkategoria]],parametr[podkategoria],parametr[kategoria])</f>
        <v>opłaty stałe</v>
      </c>
      <c r="H4134" t="str">
        <f>_xlfn.XLOOKUP(transakcje[[#This Row],[kategoria]],parametr[kategoria],parametr[typ])</f>
        <v>wydatki</v>
      </c>
      <c r="I4134" s="1">
        <f>ABS(transakcje[[#This Row],[kwota]])</f>
        <v>5.8</v>
      </c>
    </row>
    <row r="4135" spans="1:9" x14ac:dyDescent="0.3">
      <c r="A4135">
        <v>4134</v>
      </c>
      <c r="B4135">
        <v>2023</v>
      </c>
      <c r="C4135">
        <v>3</v>
      </c>
      <c r="D4135">
        <v>4</v>
      </c>
      <c r="E4135" s="1">
        <v>-104.06800000000001</v>
      </c>
      <c r="F4135" t="s">
        <v>31</v>
      </c>
      <c r="G4135" t="str">
        <f>_xlfn.XLOOKUP(transakcje[[#This Row],[podkategoria]],parametr[podkategoria],parametr[kategoria])</f>
        <v>opłaty stałe</v>
      </c>
      <c r="H4135" t="str">
        <f>_xlfn.XLOOKUP(transakcje[[#This Row],[kategoria]],parametr[kategoria],parametr[typ])</f>
        <v>wydatki</v>
      </c>
      <c r="I4135" s="1">
        <f>ABS(transakcje[[#This Row],[kwota]])</f>
        <v>104.06800000000001</v>
      </c>
    </row>
    <row r="4136" spans="1:9" x14ac:dyDescent="0.3">
      <c r="A4136">
        <v>4135</v>
      </c>
      <c r="B4136">
        <v>2023</v>
      </c>
      <c r="C4136">
        <v>3</v>
      </c>
      <c r="D4136">
        <v>4</v>
      </c>
      <c r="E4136" s="1">
        <v>-4.9979999999999993</v>
      </c>
      <c r="F4136" t="s">
        <v>26</v>
      </c>
      <c r="G4136" t="str">
        <f>_xlfn.XLOOKUP(transakcje[[#This Row],[podkategoria]],parametr[podkategoria],parametr[kategoria])</f>
        <v>życie</v>
      </c>
      <c r="H4136" t="str">
        <f>_xlfn.XLOOKUP(transakcje[[#This Row],[kategoria]],parametr[kategoria],parametr[typ])</f>
        <v>wydatki</v>
      </c>
      <c r="I4136" s="1">
        <f>ABS(transakcje[[#This Row],[kwota]])</f>
        <v>4.9979999999999993</v>
      </c>
    </row>
    <row r="4137" spans="1:9" x14ac:dyDescent="0.3">
      <c r="A4137">
        <v>4136</v>
      </c>
      <c r="B4137">
        <v>2023</v>
      </c>
      <c r="C4137">
        <v>3</v>
      </c>
      <c r="D4137">
        <v>4</v>
      </c>
      <c r="E4137" s="1">
        <v>-8.39</v>
      </c>
      <c r="F4137" t="s">
        <v>35</v>
      </c>
      <c r="G4137" t="str">
        <f>_xlfn.XLOOKUP(transakcje[[#This Row],[podkategoria]],parametr[podkategoria],parametr[kategoria])</f>
        <v>opłaty stałe</v>
      </c>
      <c r="H4137" t="str">
        <f>_xlfn.XLOOKUP(transakcje[[#This Row],[kategoria]],parametr[kategoria],parametr[typ])</f>
        <v>wydatki</v>
      </c>
      <c r="I4137" s="1">
        <f>ABS(transakcje[[#This Row],[kwota]])</f>
        <v>8.39</v>
      </c>
    </row>
    <row r="4138" spans="1:9" x14ac:dyDescent="0.3">
      <c r="A4138">
        <v>4137</v>
      </c>
      <c r="B4138">
        <v>2023</v>
      </c>
      <c r="C4138">
        <v>3</v>
      </c>
      <c r="D4138">
        <v>4</v>
      </c>
      <c r="E4138" s="1">
        <v>-9.9980000000000011</v>
      </c>
      <c r="F4138" t="s">
        <v>26</v>
      </c>
      <c r="G4138" t="str">
        <f>_xlfn.XLOOKUP(transakcje[[#This Row],[podkategoria]],parametr[podkategoria],parametr[kategoria])</f>
        <v>życie</v>
      </c>
      <c r="H4138" t="str">
        <f>_xlfn.XLOOKUP(transakcje[[#This Row],[kategoria]],parametr[kategoria],parametr[typ])</f>
        <v>wydatki</v>
      </c>
      <c r="I4138" s="1">
        <f>ABS(transakcje[[#This Row],[kwota]])</f>
        <v>9.9980000000000011</v>
      </c>
    </row>
    <row r="4139" spans="1:9" x14ac:dyDescent="0.3">
      <c r="A4139">
        <v>4138</v>
      </c>
      <c r="B4139">
        <v>2023</v>
      </c>
      <c r="C4139">
        <v>3</v>
      </c>
      <c r="D4139">
        <v>4</v>
      </c>
      <c r="E4139" s="1">
        <v>-24.866</v>
      </c>
      <c r="F4139" t="s">
        <v>34</v>
      </c>
      <c r="G4139" t="str">
        <f>_xlfn.XLOOKUP(transakcje[[#This Row],[podkategoria]],parametr[podkategoria],parametr[kategoria])</f>
        <v>opłaty stałe</v>
      </c>
      <c r="H4139" t="str">
        <f>_xlfn.XLOOKUP(transakcje[[#This Row],[kategoria]],parametr[kategoria],parametr[typ])</f>
        <v>wydatki</v>
      </c>
      <c r="I4139" s="1">
        <f>ABS(transakcje[[#This Row],[kwota]])</f>
        <v>24.866</v>
      </c>
    </row>
    <row r="4140" spans="1:9" x14ac:dyDescent="0.3">
      <c r="A4140">
        <v>4139</v>
      </c>
      <c r="B4140">
        <v>2023</v>
      </c>
      <c r="C4140">
        <v>3</v>
      </c>
      <c r="D4140">
        <v>7</v>
      </c>
      <c r="E4140" s="1">
        <v>-3.5840000000000005</v>
      </c>
      <c r="F4140" t="s">
        <v>26</v>
      </c>
      <c r="G4140" t="str">
        <f>_xlfn.XLOOKUP(transakcje[[#This Row],[podkategoria]],parametr[podkategoria],parametr[kategoria])</f>
        <v>życie</v>
      </c>
      <c r="H4140" t="str">
        <f>_xlfn.XLOOKUP(transakcje[[#This Row],[kategoria]],parametr[kategoria],parametr[typ])</f>
        <v>wydatki</v>
      </c>
      <c r="I4140" s="1">
        <f>ABS(transakcje[[#This Row],[kwota]])</f>
        <v>3.5840000000000005</v>
      </c>
    </row>
    <row r="4141" spans="1:9" x14ac:dyDescent="0.3">
      <c r="A4141">
        <v>4140</v>
      </c>
      <c r="B4141">
        <v>2023</v>
      </c>
      <c r="C4141">
        <v>3</v>
      </c>
      <c r="D4141">
        <v>14</v>
      </c>
      <c r="E4141" s="1">
        <v>-0.2</v>
      </c>
      <c r="F4141" t="s">
        <v>14</v>
      </c>
      <c r="G4141" t="str">
        <f>_xlfn.XLOOKUP(transakcje[[#This Row],[podkategoria]],parametr[podkategoria],parametr[kategoria])</f>
        <v>opłaty stałe</v>
      </c>
      <c r="H4141" t="str">
        <f>_xlfn.XLOOKUP(transakcje[[#This Row],[kategoria]],parametr[kategoria],parametr[typ])</f>
        <v>wydatki</v>
      </c>
      <c r="I4141" s="1">
        <f>ABS(transakcje[[#This Row],[kwota]])</f>
        <v>0.2</v>
      </c>
    </row>
    <row r="4142" spans="1:9" x14ac:dyDescent="0.3">
      <c r="A4142">
        <v>4141</v>
      </c>
      <c r="B4142">
        <v>2023</v>
      </c>
      <c r="C4142">
        <v>3</v>
      </c>
      <c r="D4142">
        <v>15</v>
      </c>
      <c r="E4142" s="1">
        <v>-4.5920000000000005</v>
      </c>
      <c r="F4142" t="s">
        <v>26</v>
      </c>
      <c r="G4142" t="str">
        <f>_xlfn.XLOOKUP(transakcje[[#This Row],[podkategoria]],parametr[podkategoria],parametr[kategoria])</f>
        <v>życie</v>
      </c>
      <c r="H4142" t="str">
        <f>_xlfn.XLOOKUP(transakcje[[#This Row],[kategoria]],parametr[kategoria],parametr[typ])</f>
        <v>wydatki</v>
      </c>
      <c r="I4142" s="1">
        <f>ABS(transakcje[[#This Row],[kwota]])</f>
        <v>4.5920000000000005</v>
      </c>
    </row>
    <row r="4143" spans="1:9" x14ac:dyDescent="0.3">
      <c r="A4143">
        <v>4142</v>
      </c>
      <c r="B4143">
        <v>2023</v>
      </c>
      <c r="C4143">
        <v>3</v>
      </c>
      <c r="D4143">
        <v>15</v>
      </c>
      <c r="E4143" s="1">
        <v>-3.5640000000000001</v>
      </c>
      <c r="F4143" t="s">
        <v>26</v>
      </c>
      <c r="G4143" t="str">
        <f>_xlfn.XLOOKUP(transakcje[[#This Row],[podkategoria]],parametr[podkategoria],parametr[kategoria])</f>
        <v>życie</v>
      </c>
      <c r="H4143" t="str">
        <f>_xlfn.XLOOKUP(transakcje[[#This Row],[kategoria]],parametr[kategoria],parametr[typ])</f>
        <v>wydatki</v>
      </c>
      <c r="I4143" s="1">
        <f>ABS(transakcje[[#This Row],[kwota]])</f>
        <v>3.5640000000000001</v>
      </c>
    </row>
    <row r="4144" spans="1:9" x14ac:dyDescent="0.3">
      <c r="A4144">
        <v>4143</v>
      </c>
      <c r="B4144">
        <v>2023</v>
      </c>
      <c r="C4144">
        <v>3</v>
      </c>
      <c r="D4144">
        <v>17</v>
      </c>
      <c r="E4144" s="1">
        <v>-50.504000000000005</v>
      </c>
      <c r="F4144" t="s">
        <v>11</v>
      </c>
      <c r="G4144" t="str">
        <f>_xlfn.XLOOKUP(transakcje[[#This Row],[podkategoria]],parametr[podkategoria],parametr[kategoria])</f>
        <v>wydatki inne</v>
      </c>
      <c r="H4144" t="str">
        <f>_xlfn.XLOOKUP(transakcje[[#This Row],[kategoria]],parametr[kategoria],parametr[typ])</f>
        <v>wydatki</v>
      </c>
      <c r="I4144" s="1">
        <f>ABS(transakcje[[#This Row],[kwota]])</f>
        <v>50.504000000000005</v>
      </c>
    </row>
    <row r="4145" spans="1:9" x14ac:dyDescent="0.3">
      <c r="A4145">
        <v>4144</v>
      </c>
      <c r="B4145">
        <v>2023</v>
      </c>
      <c r="C4145">
        <v>3</v>
      </c>
      <c r="D4145">
        <v>22</v>
      </c>
      <c r="E4145" s="1">
        <v>-2.9</v>
      </c>
      <c r="F4145" t="s">
        <v>26</v>
      </c>
      <c r="G4145" t="str">
        <f>_xlfn.XLOOKUP(transakcje[[#This Row],[podkategoria]],parametr[podkategoria],parametr[kategoria])</f>
        <v>życie</v>
      </c>
      <c r="H4145" t="str">
        <f>_xlfn.XLOOKUP(transakcje[[#This Row],[kategoria]],parametr[kategoria],parametr[typ])</f>
        <v>wydatki</v>
      </c>
      <c r="I4145" s="1">
        <f>ABS(transakcje[[#This Row],[kwota]])</f>
        <v>2.9</v>
      </c>
    </row>
    <row r="4146" spans="1:9" x14ac:dyDescent="0.3">
      <c r="A4146">
        <v>4145</v>
      </c>
      <c r="B4146">
        <v>2023</v>
      </c>
      <c r="C4146">
        <v>3</v>
      </c>
      <c r="D4146">
        <v>22</v>
      </c>
      <c r="E4146" s="1">
        <v>-1.94</v>
      </c>
      <c r="F4146" t="s">
        <v>26</v>
      </c>
      <c r="G4146" t="str">
        <f>_xlfn.XLOOKUP(transakcje[[#This Row],[podkategoria]],parametr[podkategoria],parametr[kategoria])</f>
        <v>życie</v>
      </c>
      <c r="H4146" t="str">
        <f>_xlfn.XLOOKUP(transakcje[[#This Row],[kategoria]],parametr[kategoria],parametr[typ])</f>
        <v>wydatki</v>
      </c>
      <c r="I4146" s="1">
        <f>ABS(transakcje[[#This Row],[kwota]])</f>
        <v>1.94</v>
      </c>
    </row>
    <row r="4147" spans="1:9" x14ac:dyDescent="0.3">
      <c r="A4147">
        <v>4146</v>
      </c>
      <c r="B4147">
        <v>2023</v>
      </c>
      <c r="C4147">
        <v>3</v>
      </c>
      <c r="D4147">
        <v>22</v>
      </c>
      <c r="E4147" s="1">
        <v>-4.2700000000000005</v>
      </c>
      <c r="F4147" t="s">
        <v>26</v>
      </c>
      <c r="G4147" t="str">
        <f>_xlfn.XLOOKUP(transakcje[[#This Row],[podkategoria]],parametr[podkategoria],parametr[kategoria])</f>
        <v>życie</v>
      </c>
      <c r="H4147" t="str">
        <f>_xlfn.XLOOKUP(transakcje[[#This Row],[kategoria]],parametr[kategoria],parametr[typ])</f>
        <v>wydatki</v>
      </c>
      <c r="I4147" s="1">
        <f>ABS(transakcje[[#This Row],[kwota]])</f>
        <v>4.2700000000000005</v>
      </c>
    </row>
    <row r="4148" spans="1:9" x14ac:dyDescent="0.3">
      <c r="A4148">
        <v>4147</v>
      </c>
      <c r="B4148">
        <v>2023</v>
      </c>
      <c r="C4148">
        <v>3</v>
      </c>
      <c r="D4148">
        <v>22</v>
      </c>
      <c r="E4148" s="1">
        <v>-14.648</v>
      </c>
      <c r="F4148" t="s">
        <v>26</v>
      </c>
      <c r="G4148" t="str">
        <f>_xlfn.XLOOKUP(transakcje[[#This Row],[podkategoria]],parametr[podkategoria],parametr[kategoria])</f>
        <v>życie</v>
      </c>
      <c r="H4148" t="str">
        <f>_xlfn.XLOOKUP(transakcje[[#This Row],[kategoria]],parametr[kategoria],parametr[typ])</f>
        <v>wydatki</v>
      </c>
      <c r="I4148" s="1">
        <f>ABS(transakcje[[#This Row],[kwota]])</f>
        <v>14.648</v>
      </c>
    </row>
    <row r="4149" spans="1:9" x14ac:dyDescent="0.3">
      <c r="A4149">
        <v>4148</v>
      </c>
      <c r="B4149">
        <v>2023</v>
      </c>
      <c r="C4149">
        <v>3</v>
      </c>
      <c r="D4149">
        <v>25</v>
      </c>
      <c r="E4149" s="1">
        <v>-47.998000000000005</v>
      </c>
      <c r="F4149" t="s">
        <v>11</v>
      </c>
      <c r="G4149" t="str">
        <f>_xlfn.XLOOKUP(transakcje[[#This Row],[podkategoria]],parametr[podkategoria],parametr[kategoria])</f>
        <v>wydatki inne</v>
      </c>
      <c r="H4149" t="str">
        <f>_xlfn.XLOOKUP(transakcje[[#This Row],[kategoria]],parametr[kategoria],parametr[typ])</f>
        <v>wydatki</v>
      </c>
      <c r="I4149" s="1">
        <f>ABS(transakcje[[#This Row],[kwota]])</f>
        <v>47.998000000000005</v>
      </c>
    </row>
    <row r="4150" spans="1:9" x14ac:dyDescent="0.3">
      <c r="A4150">
        <v>4149</v>
      </c>
      <c r="B4150">
        <v>2023</v>
      </c>
      <c r="C4150">
        <v>3</v>
      </c>
      <c r="D4150">
        <v>28</v>
      </c>
      <c r="E4150" s="1">
        <v>-23.8</v>
      </c>
      <c r="F4150" t="s">
        <v>32</v>
      </c>
      <c r="G4150" t="str">
        <f>_xlfn.XLOOKUP(transakcje[[#This Row],[podkategoria]],parametr[podkategoria],parametr[kategoria])</f>
        <v>opłaty stałe</v>
      </c>
      <c r="H4150" t="str">
        <f>_xlfn.XLOOKUP(transakcje[[#This Row],[kategoria]],parametr[kategoria],parametr[typ])</f>
        <v>wydatki</v>
      </c>
      <c r="I4150" s="1">
        <f>ABS(transakcje[[#This Row],[kwota]])</f>
        <v>23.8</v>
      </c>
    </row>
    <row r="4151" spans="1:9" x14ac:dyDescent="0.3">
      <c r="A4151">
        <v>4150</v>
      </c>
      <c r="B4151">
        <v>2023</v>
      </c>
      <c r="C4151">
        <v>3</v>
      </c>
      <c r="D4151">
        <v>28</v>
      </c>
      <c r="E4151" s="1">
        <v>944.38799999999992</v>
      </c>
      <c r="F4151" t="s">
        <v>8</v>
      </c>
      <c r="G4151" t="str">
        <f>_xlfn.XLOOKUP(transakcje[[#This Row],[podkategoria]],parametr[podkategoria],parametr[kategoria])</f>
        <v>dochody z pracy</v>
      </c>
      <c r="H4151" t="str">
        <f>_xlfn.XLOOKUP(transakcje[[#This Row],[kategoria]],parametr[kategoria],parametr[typ])</f>
        <v>dochody</v>
      </c>
      <c r="I4151" s="1">
        <f>ABS(transakcje[[#This Row],[kwota]])</f>
        <v>944.38799999999992</v>
      </c>
    </row>
    <row r="4152" spans="1:9" x14ac:dyDescent="0.3">
      <c r="A4152">
        <v>4151</v>
      </c>
      <c r="B4152">
        <v>2023</v>
      </c>
      <c r="C4152">
        <v>3</v>
      </c>
      <c r="D4152">
        <v>29</v>
      </c>
      <c r="E4152" s="1">
        <v>-19.771999999999998</v>
      </c>
      <c r="F4152" t="s">
        <v>26</v>
      </c>
      <c r="G4152" t="str">
        <f>_xlfn.XLOOKUP(transakcje[[#This Row],[podkategoria]],parametr[podkategoria],parametr[kategoria])</f>
        <v>życie</v>
      </c>
      <c r="H4152" t="str">
        <f>_xlfn.XLOOKUP(transakcje[[#This Row],[kategoria]],parametr[kategoria],parametr[typ])</f>
        <v>wydatki</v>
      </c>
      <c r="I4152" s="1">
        <f>ABS(transakcje[[#This Row],[kwota]])</f>
        <v>19.771999999999998</v>
      </c>
    </row>
    <row r="4153" spans="1:9" x14ac:dyDescent="0.3">
      <c r="A4153">
        <v>4152</v>
      </c>
      <c r="B4153">
        <v>2023</v>
      </c>
      <c r="C4153">
        <v>3</v>
      </c>
      <c r="D4153">
        <v>29</v>
      </c>
      <c r="E4153" s="1">
        <v>-1.94</v>
      </c>
      <c r="F4153" t="s">
        <v>26</v>
      </c>
      <c r="G4153" t="str">
        <f>_xlfn.XLOOKUP(transakcje[[#This Row],[podkategoria]],parametr[podkategoria],parametr[kategoria])</f>
        <v>życie</v>
      </c>
      <c r="H4153" t="str">
        <f>_xlfn.XLOOKUP(transakcje[[#This Row],[kategoria]],parametr[kategoria],parametr[typ])</f>
        <v>wydatki</v>
      </c>
      <c r="I4153" s="1">
        <f>ABS(transakcje[[#This Row],[kwota]])</f>
        <v>1.94</v>
      </c>
    </row>
    <row r="4154" spans="1:9" x14ac:dyDescent="0.3">
      <c r="A4154">
        <v>4153</v>
      </c>
      <c r="B4154">
        <v>2023</v>
      </c>
      <c r="C4154">
        <v>3</v>
      </c>
      <c r="D4154">
        <v>31</v>
      </c>
      <c r="E4154" s="1">
        <v>-1.4</v>
      </c>
      <c r="F4154" t="s">
        <v>14</v>
      </c>
      <c r="G4154" t="str">
        <f>_xlfn.XLOOKUP(transakcje[[#This Row],[podkategoria]],parametr[podkategoria],parametr[kategoria])</f>
        <v>opłaty stałe</v>
      </c>
      <c r="H4154" t="str">
        <f>_xlfn.XLOOKUP(transakcje[[#This Row],[kategoria]],parametr[kategoria],parametr[typ])</f>
        <v>wydatki</v>
      </c>
      <c r="I4154" s="1">
        <f>ABS(transakcje[[#This Row],[kwota]])</f>
        <v>1.4</v>
      </c>
    </row>
    <row r="4155" spans="1:9" x14ac:dyDescent="0.3">
      <c r="A4155">
        <v>4154</v>
      </c>
      <c r="B4155">
        <v>2023</v>
      </c>
      <c r="C4155">
        <v>3</v>
      </c>
      <c r="D4155">
        <v>31</v>
      </c>
      <c r="E4155" s="1">
        <v>4.0000000000000001E-3</v>
      </c>
      <c r="F4155" t="s">
        <v>17</v>
      </c>
      <c r="G4155" t="str">
        <f>_xlfn.XLOOKUP(transakcje[[#This Row],[podkategoria]],parametr[podkategoria],parametr[kategoria])</f>
        <v>dochody pozostałe</v>
      </c>
      <c r="H4155" t="str">
        <f>_xlfn.XLOOKUP(transakcje[[#This Row],[kategoria]],parametr[kategoria],parametr[typ])</f>
        <v>dochody</v>
      </c>
      <c r="I4155" s="1">
        <f>ABS(transakcje[[#This Row],[kwota]])</f>
        <v>4.0000000000000001E-3</v>
      </c>
    </row>
    <row r="4156" spans="1:9" x14ac:dyDescent="0.3">
      <c r="A4156">
        <v>4155</v>
      </c>
      <c r="B4156">
        <v>2023</v>
      </c>
      <c r="C4156">
        <v>3</v>
      </c>
      <c r="D4156">
        <v>31</v>
      </c>
      <c r="E4156" s="1">
        <v>-2E-3</v>
      </c>
      <c r="F4156" t="s">
        <v>14</v>
      </c>
      <c r="G4156" t="str">
        <f>_xlfn.XLOOKUP(transakcje[[#This Row],[podkategoria]],parametr[podkategoria],parametr[kategoria])</f>
        <v>opłaty stałe</v>
      </c>
      <c r="H4156" t="str">
        <f>_xlfn.XLOOKUP(transakcje[[#This Row],[kategoria]],parametr[kategoria],parametr[typ])</f>
        <v>wydatki</v>
      </c>
      <c r="I4156" s="1">
        <f>ABS(transakcje[[#This Row],[kwota]])</f>
        <v>2E-3</v>
      </c>
    </row>
    <row r="4157" spans="1:9" x14ac:dyDescent="0.3">
      <c r="A4157">
        <v>4156</v>
      </c>
      <c r="B4157">
        <v>2023</v>
      </c>
      <c r="C4157">
        <v>3</v>
      </c>
      <c r="D4157">
        <v>31</v>
      </c>
      <c r="E4157" s="1">
        <v>-24.369999999999997</v>
      </c>
      <c r="F4157" t="s">
        <v>26</v>
      </c>
      <c r="G4157" t="str">
        <f>_xlfn.XLOOKUP(transakcje[[#This Row],[podkategoria]],parametr[podkategoria],parametr[kategoria])</f>
        <v>życie</v>
      </c>
      <c r="H4157" t="str">
        <f>_xlfn.XLOOKUP(transakcje[[#This Row],[kategoria]],parametr[kategoria],parametr[typ])</f>
        <v>wydatki</v>
      </c>
      <c r="I4157" s="1">
        <f>ABS(transakcje[[#This Row],[kwota]])</f>
        <v>24.369999999999997</v>
      </c>
    </row>
    <row r="4158" spans="1:9" x14ac:dyDescent="0.3">
      <c r="A4158">
        <v>4157</v>
      </c>
      <c r="B4158">
        <v>2023</v>
      </c>
      <c r="C4158">
        <v>4</v>
      </c>
      <c r="D4158">
        <v>1</v>
      </c>
      <c r="E4158" s="1">
        <v>-5.8</v>
      </c>
      <c r="F4158" t="s">
        <v>25</v>
      </c>
      <c r="G4158" t="str">
        <f>_xlfn.XLOOKUP(transakcje[[#This Row],[podkategoria]],parametr[podkategoria],parametr[kategoria])</f>
        <v>opłaty stałe</v>
      </c>
      <c r="H4158" t="str">
        <f>_xlfn.XLOOKUP(transakcje[[#This Row],[kategoria]],parametr[kategoria],parametr[typ])</f>
        <v>wydatki</v>
      </c>
      <c r="I4158" s="1">
        <f>ABS(transakcje[[#This Row],[kwota]])</f>
        <v>5.8</v>
      </c>
    </row>
    <row r="4159" spans="1:9" x14ac:dyDescent="0.3">
      <c r="A4159">
        <v>4158</v>
      </c>
      <c r="B4159">
        <v>2023</v>
      </c>
      <c r="C4159">
        <v>4</v>
      </c>
      <c r="D4159">
        <v>1</v>
      </c>
      <c r="E4159" s="1">
        <v>-7.38</v>
      </c>
      <c r="F4159" t="s">
        <v>23</v>
      </c>
      <c r="G4159" t="str">
        <f>_xlfn.XLOOKUP(transakcje[[#This Row],[podkategoria]],parametr[podkategoria],parametr[kategoria])</f>
        <v>opłaty stałe</v>
      </c>
      <c r="H4159" t="str">
        <f>_xlfn.XLOOKUP(transakcje[[#This Row],[kategoria]],parametr[kategoria],parametr[typ])</f>
        <v>wydatki</v>
      </c>
      <c r="I4159" s="1">
        <f>ABS(transakcje[[#This Row],[kwota]])</f>
        <v>7.38</v>
      </c>
    </row>
    <row r="4160" spans="1:9" x14ac:dyDescent="0.3">
      <c r="A4160">
        <v>4159</v>
      </c>
      <c r="B4160">
        <v>2023</v>
      </c>
      <c r="C4160">
        <v>4</v>
      </c>
      <c r="D4160">
        <v>1</v>
      </c>
      <c r="E4160" s="1">
        <v>-104.06800000000001</v>
      </c>
      <c r="F4160" t="s">
        <v>31</v>
      </c>
      <c r="G4160" t="str">
        <f>_xlfn.XLOOKUP(transakcje[[#This Row],[podkategoria]],parametr[podkategoria],parametr[kategoria])</f>
        <v>opłaty stałe</v>
      </c>
      <c r="H4160" t="str">
        <f>_xlfn.XLOOKUP(transakcje[[#This Row],[kategoria]],parametr[kategoria],parametr[typ])</f>
        <v>wydatki</v>
      </c>
      <c r="I4160" s="1">
        <f>ABS(transakcje[[#This Row],[kwota]])</f>
        <v>104.06800000000001</v>
      </c>
    </row>
    <row r="4161" spans="1:9" x14ac:dyDescent="0.3">
      <c r="A4161">
        <v>4160</v>
      </c>
      <c r="B4161">
        <v>2023</v>
      </c>
      <c r="C4161">
        <v>4</v>
      </c>
      <c r="D4161">
        <v>1</v>
      </c>
      <c r="E4161" s="1">
        <v>-9.9980000000000011</v>
      </c>
      <c r="F4161" t="s">
        <v>26</v>
      </c>
      <c r="G4161" t="str">
        <f>_xlfn.XLOOKUP(transakcje[[#This Row],[podkategoria]],parametr[podkategoria],parametr[kategoria])</f>
        <v>życie</v>
      </c>
      <c r="H4161" t="str">
        <f>_xlfn.XLOOKUP(transakcje[[#This Row],[kategoria]],parametr[kategoria],parametr[typ])</f>
        <v>wydatki</v>
      </c>
      <c r="I4161" s="1">
        <f>ABS(transakcje[[#This Row],[kwota]])</f>
        <v>9.9980000000000011</v>
      </c>
    </row>
    <row r="4162" spans="1:9" x14ac:dyDescent="0.3">
      <c r="A4162">
        <v>4161</v>
      </c>
      <c r="B4162">
        <v>2023</v>
      </c>
      <c r="C4162">
        <v>4</v>
      </c>
      <c r="D4162">
        <v>1</v>
      </c>
      <c r="E4162" s="1">
        <v>-5.798</v>
      </c>
      <c r="F4162" t="s">
        <v>26</v>
      </c>
      <c r="G4162" t="str">
        <f>_xlfn.XLOOKUP(transakcje[[#This Row],[podkategoria]],parametr[podkategoria],parametr[kategoria])</f>
        <v>życie</v>
      </c>
      <c r="H4162" t="str">
        <f>_xlfn.XLOOKUP(transakcje[[#This Row],[kategoria]],parametr[kategoria],parametr[typ])</f>
        <v>wydatki</v>
      </c>
      <c r="I4162" s="1">
        <f>ABS(transakcje[[#This Row],[kwota]])</f>
        <v>5.798</v>
      </c>
    </row>
    <row r="4163" spans="1:9" x14ac:dyDescent="0.3">
      <c r="A4163">
        <v>4162</v>
      </c>
      <c r="B4163">
        <v>2023</v>
      </c>
      <c r="C4163">
        <v>4</v>
      </c>
      <c r="D4163">
        <v>4</v>
      </c>
      <c r="E4163" s="1">
        <v>113.248</v>
      </c>
      <c r="F4163" t="s">
        <v>8</v>
      </c>
      <c r="G4163" t="str">
        <f>_xlfn.XLOOKUP(transakcje[[#This Row],[podkategoria]],parametr[podkategoria],parametr[kategoria])</f>
        <v>dochody z pracy</v>
      </c>
      <c r="H4163" t="str">
        <f>_xlfn.XLOOKUP(transakcje[[#This Row],[kategoria]],parametr[kategoria],parametr[typ])</f>
        <v>dochody</v>
      </c>
      <c r="I4163" s="1">
        <f>ABS(transakcje[[#This Row],[kwota]])</f>
        <v>113.248</v>
      </c>
    </row>
    <row r="4164" spans="1:9" x14ac:dyDescent="0.3">
      <c r="A4164">
        <v>4163</v>
      </c>
      <c r="B4164">
        <v>2023</v>
      </c>
      <c r="C4164">
        <v>4</v>
      </c>
      <c r="D4164">
        <v>4</v>
      </c>
      <c r="E4164" s="1">
        <v>113.248</v>
      </c>
      <c r="F4164" t="s">
        <v>8</v>
      </c>
      <c r="G4164" t="str">
        <f>_xlfn.XLOOKUP(transakcje[[#This Row],[podkategoria]],parametr[podkategoria],parametr[kategoria])</f>
        <v>dochody z pracy</v>
      </c>
      <c r="H4164" t="str">
        <f>_xlfn.XLOOKUP(transakcje[[#This Row],[kategoria]],parametr[kategoria],parametr[typ])</f>
        <v>dochody</v>
      </c>
      <c r="I4164" s="1">
        <f>ABS(transakcje[[#This Row],[kwota]])</f>
        <v>113.248</v>
      </c>
    </row>
    <row r="4165" spans="1:9" x14ac:dyDescent="0.3">
      <c r="A4165">
        <v>4164</v>
      </c>
      <c r="B4165">
        <v>2023</v>
      </c>
      <c r="C4165">
        <v>4</v>
      </c>
      <c r="D4165">
        <v>4</v>
      </c>
      <c r="E4165" s="1">
        <v>113.25</v>
      </c>
      <c r="F4165" t="s">
        <v>8</v>
      </c>
      <c r="G4165" t="str">
        <f>_xlfn.XLOOKUP(transakcje[[#This Row],[podkategoria]],parametr[podkategoria],parametr[kategoria])</f>
        <v>dochody z pracy</v>
      </c>
      <c r="H4165" t="str">
        <f>_xlfn.XLOOKUP(transakcje[[#This Row],[kategoria]],parametr[kategoria],parametr[typ])</f>
        <v>dochody</v>
      </c>
      <c r="I4165" s="1">
        <f>ABS(transakcje[[#This Row],[kwota]])</f>
        <v>113.25</v>
      </c>
    </row>
    <row r="4166" spans="1:9" x14ac:dyDescent="0.3">
      <c r="A4166">
        <v>4165</v>
      </c>
      <c r="B4166">
        <v>2023</v>
      </c>
      <c r="C4166">
        <v>4</v>
      </c>
      <c r="D4166">
        <v>4</v>
      </c>
      <c r="E4166" s="1">
        <v>-11.586</v>
      </c>
      <c r="F4166" t="s">
        <v>26</v>
      </c>
      <c r="G4166" t="str">
        <f>_xlfn.XLOOKUP(transakcje[[#This Row],[podkategoria]],parametr[podkategoria],parametr[kategoria])</f>
        <v>życie</v>
      </c>
      <c r="H4166" t="str">
        <f>_xlfn.XLOOKUP(transakcje[[#This Row],[kategoria]],parametr[kategoria],parametr[typ])</f>
        <v>wydatki</v>
      </c>
      <c r="I4166" s="1">
        <f>ABS(transakcje[[#This Row],[kwota]])</f>
        <v>11.586</v>
      </c>
    </row>
    <row r="4167" spans="1:9" x14ac:dyDescent="0.3">
      <c r="A4167">
        <v>4166</v>
      </c>
      <c r="B4167">
        <v>2023</v>
      </c>
      <c r="C4167">
        <v>4</v>
      </c>
      <c r="D4167">
        <v>15</v>
      </c>
      <c r="E4167" s="1">
        <v>-37.833999999999996</v>
      </c>
      <c r="F4167" t="s">
        <v>26</v>
      </c>
      <c r="G4167" t="str">
        <f>_xlfn.XLOOKUP(transakcje[[#This Row],[podkategoria]],parametr[podkategoria],parametr[kategoria])</f>
        <v>życie</v>
      </c>
      <c r="H4167" t="str">
        <f>_xlfn.XLOOKUP(transakcje[[#This Row],[kategoria]],parametr[kategoria],parametr[typ])</f>
        <v>wydatki</v>
      </c>
      <c r="I4167" s="1">
        <f>ABS(transakcje[[#This Row],[kwota]])</f>
        <v>37.833999999999996</v>
      </c>
    </row>
    <row r="4168" spans="1:9" x14ac:dyDescent="0.3">
      <c r="A4168">
        <v>4167</v>
      </c>
      <c r="B4168">
        <v>2023</v>
      </c>
      <c r="C4168">
        <v>4</v>
      </c>
      <c r="D4168">
        <v>15</v>
      </c>
      <c r="E4168" s="1">
        <v>-41.8</v>
      </c>
      <c r="F4168" t="s">
        <v>11</v>
      </c>
      <c r="G4168" t="str">
        <f>_xlfn.XLOOKUP(transakcje[[#This Row],[podkategoria]],parametr[podkategoria],parametr[kategoria])</f>
        <v>wydatki inne</v>
      </c>
      <c r="H4168" t="str">
        <f>_xlfn.XLOOKUP(transakcje[[#This Row],[kategoria]],parametr[kategoria],parametr[typ])</f>
        <v>wydatki</v>
      </c>
      <c r="I4168" s="1">
        <f>ABS(transakcje[[#This Row],[kwota]])</f>
        <v>41.8</v>
      </c>
    </row>
    <row r="4169" spans="1:9" x14ac:dyDescent="0.3">
      <c r="A4169">
        <v>4168</v>
      </c>
      <c r="B4169">
        <v>2023</v>
      </c>
      <c r="C4169">
        <v>4</v>
      </c>
      <c r="D4169">
        <v>18</v>
      </c>
      <c r="E4169" s="1">
        <v>-0.2</v>
      </c>
      <c r="F4169" t="s">
        <v>14</v>
      </c>
      <c r="G4169" t="str">
        <f>_xlfn.XLOOKUP(transakcje[[#This Row],[podkategoria]],parametr[podkategoria],parametr[kategoria])</f>
        <v>opłaty stałe</v>
      </c>
      <c r="H4169" t="str">
        <f>_xlfn.XLOOKUP(transakcje[[#This Row],[kategoria]],parametr[kategoria],parametr[typ])</f>
        <v>wydatki</v>
      </c>
      <c r="I4169" s="1">
        <f>ABS(transakcje[[#This Row],[kwota]])</f>
        <v>0.2</v>
      </c>
    </row>
    <row r="4170" spans="1:9" x14ac:dyDescent="0.3">
      <c r="A4170">
        <v>4169</v>
      </c>
      <c r="B4170">
        <v>2023</v>
      </c>
      <c r="C4170">
        <v>4</v>
      </c>
      <c r="D4170">
        <v>21</v>
      </c>
      <c r="E4170" s="1">
        <v>84.253999999999991</v>
      </c>
      <c r="F4170" t="s">
        <v>19</v>
      </c>
      <c r="G4170" t="str">
        <f>_xlfn.XLOOKUP(transakcje[[#This Row],[podkategoria]],parametr[podkategoria],parametr[kategoria])</f>
        <v>dochody z pracy</v>
      </c>
      <c r="H4170" t="str">
        <f>_xlfn.XLOOKUP(transakcje[[#This Row],[kategoria]],parametr[kategoria],parametr[typ])</f>
        <v>dochody</v>
      </c>
      <c r="I4170" s="1">
        <f>ABS(transakcje[[#This Row],[kwota]])</f>
        <v>84.253999999999991</v>
      </c>
    </row>
    <row r="4171" spans="1:9" x14ac:dyDescent="0.3">
      <c r="A4171">
        <v>4170</v>
      </c>
      <c r="B4171">
        <v>2023</v>
      </c>
      <c r="C4171">
        <v>4</v>
      </c>
      <c r="D4171">
        <v>21</v>
      </c>
      <c r="E4171" s="1">
        <v>-35.396000000000001</v>
      </c>
      <c r="F4171" t="s">
        <v>26</v>
      </c>
      <c r="G4171" t="str">
        <f>_xlfn.XLOOKUP(transakcje[[#This Row],[podkategoria]],parametr[podkategoria],parametr[kategoria])</f>
        <v>życie</v>
      </c>
      <c r="H4171" t="str">
        <f>_xlfn.XLOOKUP(transakcje[[#This Row],[kategoria]],parametr[kategoria],parametr[typ])</f>
        <v>wydatki</v>
      </c>
      <c r="I4171" s="1">
        <f>ABS(transakcje[[#This Row],[kwota]])</f>
        <v>35.396000000000001</v>
      </c>
    </row>
    <row r="4172" spans="1:9" x14ac:dyDescent="0.3">
      <c r="A4172">
        <v>4171</v>
      </c>
      <c r="B4172">
        <v>2023</v>
      </c>
      <c r="C4172">
        <v>4</v>
      </c>
      <c r="D4172">
        <v>21</v>
      </c>
      <c r="E4172" s="1">
        <v>-27.616000000000003</v>
      </c>
      <c r="F4172" t="s">
        <v>11</v>
      </c>
      <c r="G4172" t="str">
        <f>_xlfn.XLOOKUP(transakcje[[#This Row],[podkategoria]],parametr[podkategoria],parametr[kategoria])</f>
        <v>wydatki inne</v>
      </c>
      <c r="H4172" t="str">
        <f>_xlfn.XLOOKUP(transakcje[[#This Row],[kategoria]],parametr[kategoria],parametr[typ])</f>
        <v>wydatki</v>
      </c>
      <c r="I4172" s="1">
        <f>ABS(transakcje[[#This Row],[kwota]])</f>
        <v>27.616000000000003</v>
      </c>
    </row>
    <row r="4173" spans="1:9" x14ac:dyDescent="0.3">
      <c r="A4173">
        <v>4172</v>
      </c>
      <c r="B4173">
        <v>2023</v>
      </c>
      <c r="C4173">
        <v>4</v>
      </c>
      <c r="D4173">
        <v>22</v>
      </c>
      <c r="E4173" s="1">
        <v>-1.64</v>
      </c>
      <c r="F4173" t="s">
        <v>26</v>
      </c>
      <c r="G4173" t="str">
        <f>_xlfn.XLOOKUP(transakcje[[#This Row],[podkategoria]],parametr[podkategoria],parametr[kategoria])</f>
        <v>życie</v>
      </c>
      <c r="H4173" t="str">
        <f>_xlfn.XLOOKUP(transakcje[[#This Row],[kategoria]],parametr[kategoria],parametr[typ])</f>
        <v>wydatki</v>
      </c>
      <c r="I4173" s="1">
        <f>ABS(transakcje[[#This Row],[kwota]])</f>
        <v>1.64</v>
      </c>
    </row>
    <row r="4174" spans="1:9" x14ac:dyDescent="0.3">
      <c r="A4174">
        <v>4173</v>
      </c>
      <c r="B4174">
        <v>2023</v>
      </c>
      <c r="C4174">
        <v>4</v>
      </c>
      <c r="D4174">
        <v>22</v>
      </c>
      <c r="E4174" s="1">
        <v>-4.6079999999999997</v>
      </c>
      <c r="F4174" t="s">
        <v>26</v>
      </c>
      <c r="G4174" t="str">
        <f>_xlfn.XLOOKUP(transakcje[[#This Row],[podkategoria]],parametr[podkategoria],parametr[kategoria])</f>
        <v>życie</v>
      </c>
      <c r="H4174" t="str">
        <f>_xlfn.XLOOKUP(transakcje[[#This Row],[kategoria]],parametr[kategoria],parametr[typ])</f>
        <v>wydatki</v>
      </c>
      <c r="I4174" s="1">
        <f>ABS(transakcje[[#This Row],[kwota]])</f>
        <v>4.6079999999999997</v>
      </c>
    </row>
    <row r="4175" spans="1:9" x14ac:dyDescent="0.3">
      <c r="A4175">
        <v>4174</v>
      </c>
      <c r="B4175">
        <v>2023</v>
      </c>
      <c r="C4175">
        <v>4</v>
      </c>
      <c r="D4175">
        <v>24</v>
      </c>
      <c r="E4175" s="1">
        <v>-4.92</v>
      </c>
      <c r="F4175" t="s">
        <v>26</v>
      </c>
      <c r="G4175" t="str">
        <f>_xlfn.XLOOKUP(transakcje[[#This Row],[podkategoria]],parametr[podkategoria],parametr[kategoria])</f>
        <v>życie</v>
      </c>
      <c r="H4175" t="str">
        <f>_xlfn.XLOOKUP(transakcje[[#This Row],[kategoria]],parametr[kategoria],parametr[typ])</f>
        <v>wydatki</v>
      </c>
      <c r="I4175" s="1">
        <f>ABS(transakcje[[#This Row],[kwota]])</f>
        <v>4.92</v>
      </c>
    </row>
    <row r="4176" spans="1:9" x14ac:dyDescent="0.3">
      <c r="A4176">
        <v>4175</v>
      </c>
      <c r="B4176">
        <v>2023</v>
      </c>
      <c r="C4176">
        <v>4</v>
      </c>
      <c r="D4176">
        <v>24</v>
      </c>
      <c r="E4176" s="1">
        <v>-2</v>
      </c>
      <c r="F4176" t="s">
        <v>26</v>
      </c>
      <c r="G4176" t="str">
        <f>_xlfn.XLOOKUP(transakcje[[#This Row],[podkategoria]],parametr[podkategoria],parametr[kategoria])</f>
        <v>życie</v>
      </c>
      <c r="H4176" t="str">
        <f>_xlfn.XLOOKUP(transakcje[[#This Row],[kategoria]],parametr[kategoria],parametr[typ])</f>
        <v>wydatki</v>
      </c>
      <c r="I4176" s="1">
        <f>ABS(transakcje[[#This Row],[kwota]])</f>
        <v>2</v>
      </c>
    </row>
    <row r="4177" spans="1:9" x14ac:dyDescent="0.3">
      <c r="A4177">
        <v>4176</v>
      </c>
      <c r="B4177">
        <v>2023</v>
      </c>
      <c r="C4177">
        <v>4</v>
      </c>
      <c r="D4177">
        <v>24</v>
      </c>
      <c r="E4177" s="1">
        <v>-105.992</v>
      </c>
      <c r="F4177" t="s">
        <v>11</v>
      </c>
      <c r="G4177" t="str">
        <f>_xlfn.XLOOKUP(transakcje[[#This Row],[podkategoria]],parametr[podkategoria],parametr[kategoria])</f>
        <v>wydatki inne</v>
      </c>
      <c r="H4177" t="str">
        <f>_xlfn.XLOOKUP(transakcje[[#This Row],[kategoria]],parametr[kategoria],parametr[typ])</f>
        <v>wydatki</v>
      </c>
      <c r="I4177" s="1">
        <f>ABS(transakcje[[#This Row],[kwota]])</f>
        <v>105.992</v>
      </c>
    </row>
    <row r="4178" spans="1:9" x14ac:dyDescent="0.3">
      <c r="A4178">
        <v>4177</v>
      </c>
      <c r="B4178">
        <v>2023</v>
      </c>
      <c r="C4178">
        <v>4</v>
      </c>
      <c r="D4178">
        <v>24</v>
      </c>
      <c r="E4178" s="1">
        <v>-29.302</v>
      </c>
      <c r="F4178" t="s">
        <v>26</v>
      </c>
      <c r="G4178" t="str">
        <f>_xlfn.XLOOKUP(transakcje[[#This Row],[podkategoria]],parametr[podkategoria],parametr[kategoria])</f>
        <v>życie</v>
      </c>
      <c r="H4178" t="str">
        <f>_xlfn.XLOOKUP(transakcje[[#This Row],[kategoria]],parametr[kategoria],parametr[typ])</f>
        <v>wydatki</v>
      </c>
      <c r="I4178" s="1">
        <f>ABS(transakcje[[#This Row],[kwota]])</f>
        <v>29.302</v>
      </c>
    </row>
    <row r="4179" spans="1:9" x14ac:dyDescent="0.3">
      <c r="A4179">
        <v>4178</v>
      </c>
      <c r="B4179">
        <v>2023</v>
      </c>
      <c r="C4179">
        <v>4</v>
      </c>
      <c r="D4179">
        <v>26</v>
      </c>
      <c r="E4179" s="1">
        <v>1057.636</v>
      </c>
      <c r="F4179" t="s">
        <v>8</v>
      </c>
      <c r="G4179" t="str">
        <f>_xlfn.XLOOKUP(transakcje[[#This Row],[podkategoria]],parametr[podkategoria],parametr[kategoria])</f>
        <v>dochody z pracy</v>
      </c>
      <c r="H4179" t="str">
        <f>_xlfn.XLOOKUP(transakcje[[#This Row],[kategoria]],parametr[kategoria],parametr[typ])</f>
        <v>dochody</v>
      </c>
      <c r="I4179" s="1">
        <f>ABS(transakcje[[#This Row],[kwota]])</f>
        <v>1057.636</v>
      </c>
    </row>
    <row r="4180" spans="1:9" x14ac:dyDescent="0.3">
      <c r="A4180">
        <v>4179</v>
      </c>
      <c r="B4180">
        <v>2023</v>
      </c>
      <c r="C4180">
        <v>4</v>
      </c>
      <c r="D4180">
        <v>26</v>
      </c>
      <c r="E4180" s="1">
        <v>-23.8</v>
      </c>
      <c r="F4180" t="s">
        <v>32</v>
      </c>
      <c r="G4180" t="str">
        <f>_xlfn.XLOOKUP(transakcje[[#This Row],[podkategoria]],parametr[podkategoria],parametr[kategoria])</f>
        <v>opłaty stałe</v>
      </c>
      <c r="H4180" t="str">
        <f>_xlfn.XLOOKUP(transakcje[[#This Row],[kategoria]],parametr[kategoria],parametr[typ])</f>
        <v>wydatki</v>
      </c>
      <c r="I4180" s="1">
        <f>ABS(transakcje[[#This Row],[kwota]])</f>
        <v>23.8</v>
      </c>
    </row>
    <row r="4181" spans="1:9" x14ac:dyDescent="0.3">
      <c r="A4181">
        <v>4180</v>
      </c>
      <c r="B4181">
        <v>2023</v>
      </c>
      <c r="C4181">
        <v>4</v>
      </c>
      <c r="D4181">
        <v>26</v>
      </c>
      <c r="E4181" s="1">
        <v>-0.97</v>
      </c>
      <c r="F4181" t="s">
        <v>26</v>
      </c>
      <c r="G4181" t="str">
        <f>_xlfn.XLOOKUP(transakcje[[#This Row],[podkategoria]],parametr[podkategoria],parametr[kategoria])</f>
        <v>życie</v>
      </c>
      <c r="H4181" t="str">
        <f>_xlfn.XLOOKUP(transakcje[[#This Row],[kategoria]],parametr[kategoria],parametr[typ])</f>
        <v>wydatki</v>
      </c>
      <c r="I4181" s="1">
        <f>ABS(transakcje[[#This Row],[kwota]])</f>
        <v>0.97</v>
      </c>
    </row>
    <row r="4182" spans="1:9" x14ac:dyDescent="0.3">
      <c r="A4182">
        <v>4181</v>
      </c>
      <c r="B4182">
        <v>2023</v>
      </c>
      <c r="C4182">
        <v>4</v>
      </c>
      <c r="D4182">
        <v>29</v>
      </c>
      <c r="E4182" s="1">
        <v>-1.4</v>
      </c>
      <c r="F4182" t="s">
        <v>14</v>
      </c>
      <c r="G4182" t="str">
        <f>_xlfn.XLOOKUP(transakcje[[#This Row],[podkategoria]],parametr[podkategoria],parametr[kategoria])</f>
        <v>opłaty stałe</v>
      </c>
      <c r="H4182" t="str">
        <f>_xlfn.XLOOKUP(transakcje[[#This Row],[kategoria]],parametr[kategoria],parametr[typ])</f>
        <v>wydatki</v>
      </c>
      <c r="I4182" s="1">
        <f>ABS(transakcje[[#This Row],[kwota]])</f>
        <v>1.4</v>
      </c>
    </row>
    <row r="4183" spans="1:9" x14ac:dyDescent="0.3">
      <c r="A4183">
        <v>4182</v>
      </c>
      <c r="B4183">
        <v>2023</v>
      </c>
      <c r="C4183">
        <v>4</v>
      </c>
      <c r="D4183">
        <v>29</v>
      </c>
      <c r="E4183" s="1">
        <v>6.0000000000000001E-3</v>
      </c>
      <c r="F4183" t="s">
        <v>17</v>
      </c>
      <c r="G4183" t="str">
        <f>_xlfn.XLOOKUP(transakcje[[#This Row],[podkategoria]],parametr[podkategoria],parametr[kategoria])</f>
        <v>dochody pozostałe</v>
      </c>
      <c r="H4183" t="str">
        <f>_xlfn.XLOOKUP(transakcje[[#This Row],[kategoria]],parametr[kategoria],parametr[typ])</f>
        <v>dochody</v>
      </c>
      <c r="I4183" s="1">
        <f>ABS(transakcje[[#This Row],[kwota]])</f>
        <v>6.0000000000000001E-3</v>
      </c>
    </row>
    <row r="4184" spans="1:9" x14ac:dyDescent="0.3">
      <c r="A4184">
        <v>4183</v>
      </c>
      <c r="B4184">
        <v>2023</v>
      </c>
      <c r="C4184">
        <v>4</v>
      </c>
      <c r="D4184">
        <v>29</v>
      </c>
      <c r="E4184" s="1">
        <v>-2E-3</v>
      </c>
      <c r="F4184" t="s">
        <v>14</v>
      </c>
      <c r="G4184" t="str">
        <f>_xlfn.XLOOKUP(transakcje[[#This Row],[podkategoria]],parametr[podkategoria],parametr[kategoria])</f>
        <v>opłaty stałe</v>
      </c>
      <c r="H4184" t="str">
        <f>_xlfn.XLOOKUP(transakcje[[#This Row],[kategoria]],parametr[kategoria],parametr[typ])</f>
        <v>wydatki</v>
      </c>
      <c r="I4184" s="1">
        <f>ABS(transakcje[[#This Row],[kwota]])</f>
        <v>2E-3</v>
      </c>
    </row>
    <row r="4185" spans="1:9" x14ac:dyDescent="0.3">
      <c r="A4185">
        <v>4184</v>
      </c>
      <c r="B4185">
        <v>2023</v>
      </c>
      <c r="C4185">
        <v>5</v>
      </c>
      <c r="D4185">
        <v>1</v>
      </c>
      <c r="E4185" s="1">
        <v>-104.06800000000001</v>
      </c>
      <c r="F4185" t="s">
        <v>31</v>
      </c>
      <c r="G4185" t="str">
        <f>_xlfn.XLOOKUP(transakcje[[#This Row],[podkategoria]],parametr[podkategoria],parametr[kategoria])</f>
        <v>opłaty stałe</v>
      </c>
      <c r="H4185" t="str">
        <f>_xlfn.XLOOKUP(transakcje[[#This Row],[kategoria]],parametr[kategoria],parametr[typ])</f>
        <v>wydatki</v>
      </c>
      <c r="I4185" s="1">
        <f>ABS(transakcje[[#This Row],[kwota]])</f>
        <v>104.06800000000001</v>
      </c>
    </row>
    <row r="4186" spans="1:9" x14ac:dyDescent="0.3">
      <c r="A4186">
        <v>4185</v>
      </c>
      <c r="B4186">
        <v>2023</v>
      </c>
      <c r="C4186">
        <v>5</v>
      </c>
      <c r="D4186">
        <v>1</v>
      </c>
      <c r="E4186" s="1">
        <v>-7.38</v>
      </c>
      <c r="F4186" t="s">
        <v>23</v>
      </c>
      <c r="G4186" t="str">
        <f>_xlfn.XLOOKUP(transakcje[[#This Row],[podkategoria]],parametr[podkategoria],parametr[kategoria])</f>
        <v>opłaty stałe</v>
      </c>
      <c r="H4186" t="str">
        <f>_xlfn.XLOOKUP(transakcje[[#This Row],[kategoria]],parametr[kategoria],parametr[typ])</f>
        <v>wydatki</v>
      </c>
      <c r="I4186" s="1">
        <f>ABS(transakcje[[#This Row],[kwota]])</f>
        <v>7.38</v>
      </c>
    </row>
    <row r="4187" spans="1:9" x14ac:dyDescent="0.3">
      <c r="A4187">
        <v>4186</v>
      </c>
      <c r="B4187">
        <v>2023</v>
      </c>
      <c r="C4187">
        <v>5</v>
      </c>
      <c r="D4187">
        <v>1</v>
      </c>
      <c r="E4187" s="1">
        <v>-5.8</v>
      </c>
      <c r="F4187" t="s">
        <v>25</v>
      </c>
      <c r="G4187" t="str">
        <f>_xlfn.XLOOKUP(transakcje[[#This Row],[podkategoria]],parametr[podkategoria],parametr[kategoria])</f>
        <v>opłaty stałe</v>
      </c>
      <c r="H4187" t="str">
        <f>_xlfn.XLOOKUP(transakcje[[#This Row],[kategoria]],parametr[kategoria],parametr[typ])</f>
        <v>wydatki</v>
      </c>
      <c r="I4187" s="1">
        <f>ABS(transakcje[[#This Row],[kwota]])</f>
        <v>5.8</v>
      </c>
    </row>
    <row r="4188" spans="1:9" x14ac:dyDescent="0.3">
      <c r="A4188">
        <v>4187</v>
      </c>
      <c r="B4188">
        <v>2023</v>
      </c>
      <c r="C4188">
        <v>5</v>
      </c>
      <c r="D4188">
        <v>1</v>
      </c>
      <c r="E4188" s="1">
        <v>-20.791999999999998</v>
      </c>
      <c r="F4188" t="s">
        <v>34</v>
      </c>
      <c r="G4188" t="str">
        <f>_xlfn.XLOOKUP(transakcje[[#This Row],[podkategoria]],parametr[podkategoria],parametr[kategoria])</f>
        <v>opłaty stałe</v>
      </c>
      <c r="H4188" t="str">
        <f>_xlfn.XLOOKUP(transakcje[[#This Row],[kategoria]],parametr[kategoria],parametr[typ])</f>
        <v>wydatki</v>
      </c>
      <c r="I4188" s="1">
        <f>ABS(transakcje[[#This Row],[kwota]])</f>
        <v>20.791999999999998</v>
      </c>
    </row>
    <row r="4189" spans="1:9" x14ac:dyDescent="0.3">
      <c r="A4189">
        <v>4188</v>
      </c>
      <c r="B4189">
        <v>2023</v>
      </c>
      <c r="C4189">
        <v>5</v>
      </c>
      <c r="D4189">
        <v>1</v>
      </c>
      <c r="E4189" s="1">
        <v>-9.9980000000000011</v>
      </c>
      <c r="F4189" t="s">
        <v>26</v>
      </c>
      <c r="G4189" t="str">
        <f>_xlfn.XLOOKUP(transakcje[[#This Row],[podkategoria]],parametr[podkategoria],parametr[kategoria])</f>
        <v>życie</v>
      </c>
      <c r="H4189" t="str">
        <f>_xlfn.XLOOKUP(transakcje[[#This Row],[kategoria]],parametr[kategoria],parametr[typ])</f>
        <v>wydatki</v>
      </c>
      <c r="I4189" s="1">
        <f>ABS(transakcje[[#This Row],[kwota]])</f>
        <v>9.9980000000000011</v>
      </c>
    </row>
    <row r="4190" spans="1:9" x14ac:dyDescent="0.3">
      <c r="A4190">
        <v>4189</v>
      </c>
      <c r="B4190">
        <v>2023</v>
      </c>
      <c r="C4190">
        <v>5</v>
      </c>
      <c r="D4190">
        <v>1</v>
      </c>
      <c r="E4190" s="1">
        <v>-46.4</v>
      </c>
      <c r="F4190" t="s">
        <v>30</v>
      </c>
      <c r="G4190" t="str">
        <f>_xlfn.XLOOKUP(transakcje[[#This Row],[podkategoria]],parametr[podkategoria],parametr[kategoria])</f>
        <v>opłaty stałe</v>
      </c>
      <c r="H4190" t="str">
        <f>_xlfn.XLOOKUP(transakcje[[#This Row],[kategoria]],parametr[kategoria],parametr[typ])</f>
        <v>wydatki</v>
      </c>
      <c r="I4190" s="1">
        <f>ABS(transakcje[[#This Row],[kwota]])</f>
        <v>46.4</v>
      </c>
    </row>
    <row r="4191" spans="1:9" x14ac:dyDescent="0.3">
      <c r="A4191">
        <v>4190</v>
      </c>
      <c r="B4191">
        <v>2023</v>
      </c>
      <c r="C4191">
        <v>5</v>
      </c>
      <c r="D4191">
        <v>1</v>
      </c>
      <c r="E4191" s="1">
        <v>-43.4</v>
      </c>
      <c r="F4191" t="s">
        <v>29</v>
      </c>
      <c r="G4191" t="str">
        <f>_xlfn.XLOOKUP(transakcje[[#This Row],[podkategoria]],parametr[podkategoria],parametr[kategoria])</f>
        <v>opłaty stałe</v>
      </c>
      <c r="H4191" t="str">
        <f>_xlfn.XLOOKUP(transakcje[[#This Row],[kategoria]],parametr[kategoria],parametr[typ])</f>
        <v>wydatki</v>
      </c>
      <c r="I4191" s="1">
        <f>ABS(transakcje[[#This Row],[kwota]])</f>
        <v>43.4</v>
      </c>
    </row>
    <row r="4192" spans="1:9" x14ac:dyDescent="0.3">
      <c r="A4192">
        <v>4191</v>
      </c>
      <c r="B4192">
        <v>2023</v>
      </c>
      <c r="C4192">
        <v>5</v>
      </c>
      <c r="D4192">
        <v>1</v>
      </c>
      <c r="E4192" s="1">
        <v>-8.39</v>
      </c>
      <c r="F4192" t="s">
        <v>35</v>
      </c>
      <c r="G4192" t="str">
        <f>_xlfn.XLOOKUP(transakcje[[#This Row],[podkategoria]],parametr[podkategoria],parametr[kategoria])</f>
        <v>opłaty stałe</v>
      </c>
      <c r="H4192" t="str">
        <f>_xlfn.XLOOKUP(transakcje[[#This Row],[kategoria]],parametr[kategoria],parametr[typ])</f>
        <v>wydatki</v>
      </c>
      <c r="I4192" s="1">
        <f>ABS(transakcje[[#This Row],[kwota]])</f>
        <v>8.39</v>
      </c>
    </row>
    <row r="4193" spans="1:9" x14ac:dyDescent="0.3">
      <c r="A4193">
        <v>4192</v>
      </c>
      <c r="B4193">
        <v>2023</v>
      </c>
      <c r="C4193">
        <v>5</v>
      </c>
      <c r="D4193">
        <v>4</v>
      </c>
      <c r="E4193" s="1">
        <v>-79.599999999999994</v>
      </c>
      <c r="F4193" t="s">
        <v>11</v>
      </c>
      <c r="G4193" t="str">
        <f>_xlfn.XLOOKUP(transakcje[[#This Row],[podkategoria]],parametr[podkategoria],parametr[kategoria])</f>
        <v>wydatki inne</v>
      </c>
      <c r="H4193" t="str">
        <f>_xlfn.XLOOKUP(transakcje[[#This Row],[kategoria]],parametr[kategoria],parametr[typ])</f>
        <v>wydatki</v>
      </c>
      <c r="I4193" s="1">
        <f>ABS(transakcje[[#This Row],[kwota]])</f>
        <v>79.599999999999994</v>
      </c>
    </row>
    <row r="4194" spans="1:9" x14ac:dyDescent="0.3">
      <c r="A4194">
        <v>4193</v>
      </c>
      <c r="B4194">
        <v>2023</v>
      </c>
      <c r="C4194">
        <v>5</v>
      </c>
      <c r="D4194">
        <v>4</v>
      </c>
      <c r="E4194" s="1">
        <v>-46.37</v>
      </c>
      <c r="F4194" t="s">
        <v>26</v>
      </c>
      <c r="G4194" t="str">
        <f>_xlfn.XLOOKUP(transakcje[[#This Row],[podkategoria]],parametr[podkategoria],parametr[kategoria])</f>
        <v>życie</v>
      </c>
      <c r="H4194" t="str">
        <f>_xlfn.XLOOKUP(transakcje[[#This Row],[kategoria]],parametr[kategoria],parametr[typ])</f>
        <v>wydatki</v>
      </c>
      <c r="I4194" s="1">
        <f>ABS(transakcje[[#This Row],[kwota]])</f>
        <v>46.37</v>
      </c>
    </row>
    <row r="4195" spans="1:9" x14ac:dyDescent="0.3">
      <c r="A4195">
        <v>4194</v>
      </c>
      <c r="B4195">
        <v>2023</v>
      </c>
      <c r="C4195">
        <v>5</v>
      </c>
      <c r="D4195">
        <v>5</v>
      </c>
      <c r="E4195" s="1">
        <v>-5.2200000000000006</v>
      </c>
      <c r="F4195" t="s">
        <v>26</v>
      </c>
      <c r="G4195" t="str">
        <f>_xlfn.XLOOKUP(transakcje[[#This Row],[podkategoria]],parametr[podkategoria],parametr[kategoria])</f>
        <v>życie</v>
      </c>
      <c r="H4195" t="str">
        <f>_xlfn.XLOOKUP(transakcje[[#This Row],[kategoria]],parametr[kategoria],parametr[typ])</f>
        <v>wydatki</v>
      </c>
      <c r="I4195" s="1">
        <f>ABS(transakcje[[#This Row],[kwota]])</f>
        <v>5.2200000000000006</v>
      </c>
    </row>
    <row r="4196" spans="1:9" x14ac:dyDescent="0.3">
      <c r="A4196">
        <v>4195</v>
      </c>
      <c r="B4196">
        <v>2023</v>
      </c>
      <c r="C4196">
        <v>5</v>
      </c>
      <c r="D4196">
        <v>10</v>
      </c>
      <c r="E4196" s="1">
        <v>-2.8980000000000001</v>
      </c>
      <c r="F4196" t="s">
        <v>26</v>
      </c>
      <c r="G4196" t="str">
        <f>_xlfn.XLOOKUP(transakcje[[#This Row],[podkategoria]],parametr[podkategoria],parametr[kategoria])</f>
        <v>życie</v>
      </c>
      <c r="H4196" t="str">
        <f>_xlfn.XLOOKUP(transakcje[[#This Row],[kategoria]],parametr[kategoria],parametr[typ])</f>
        <v>wydatki</v>
      </c>
      <c r="I4196" s="1">
        <f>ABS(transakcje[[#This Row],[kwota]])</f>
        <v>2.8980000000000001</v>
      </c>
    </row>
    <row r="4197" spans="1:9" x14ac:dyDescent="0.3">
      <c r="A4197">
        <v>4196</v>
      </c>
      <c r="B4197">
        <v>2023</v>
      </c>
      <c r="C4197">
        <v>5</v>
      </c>
      <c r="D4197">
        <v>16</v>
      </c>
      <c r="E4197" s="1">
        <v>-22.154</v>
      </c>
      <c r="F4197" t="s">
        <v>26</v>
      </c>
      <c r="G4197" t="str">
        <f>_xlfn.XLOOKUP(transakcje[[#This Row],[podkategoria]],parametr[podkategoria],parametr[kategoria])</f>
        <v>życie</v>
      </c>
      <c r="H4197" t="str">
        <f>_xlfn.XLOOKUP(transakcje[[#This Row],[kategoria]],parametr[kategoria],parametr[typ])</f>
        <v>wydatki</v>
      </c>
      <c r="I4197" s="1">
        <f>ABS(transakcje[[#This Row],[kwota]])</f>
        <v>22.154</v>
      </c>
    </row>
    <row r="4198" spans="1:9" x14ac:dyDescent="0.3">
      <c r="A4198">
        <v>4197</v>
      </c>
      <c r="B4198">
        <v>2023</v>
      </c>
      <c r="C4198">
        <v>5</v>
      </c>
      <c r="D4198">
        <v>16</v>
      </c>
      <c r="E4198" s="1">
        <v>-0.2</v>
      </c>
      <c r="F4198" t="s">
        <v>14</v>
      </c>
      <c r="G4198" t="str">
        <f>_xlfn.XLOOKUP(transakcje[[#This Row],[podkategoria]],parametr[podkategoria],parametr[kategoria])</f>
        <v>opłaty stałe</v>
      </c>
      <c r="H4198" t="str">
        <f>_xlfn.XLOOKUP(transakcje[[#This Row],[kategoria]],parametr[kategoria],parametr[typ])</f>
        <v>wydatki</v>
      </c>
      <c r="I4198" s="1">
        <f>ABS(transakcje[[#This Row],[kwota]])</f>
        <v>0.2</v>
      </c>
    </row>
    <row r="4199" spans="1:9" x14ac:dyDescent="0.3">
      <c r="A4199">
        <v>4198</v>
      </c>
      <c r="B4199">
        <v>2023</v>
      </c>
      <c r="C4199">
        <v>5</v>
      </c>
      <c r="D4199">
        <v>18</v>
      </c>
      <c r="E4199" s="1">
        <v>-13.644</v>
      </c>
      <c r="F4199" t="s">
        <v>26</v>
      </c>
      <c r="G4199" t="str">
        <f>_xlfn.XLOOKUP(transakcje[[#This Row],[podkategoria]],parametr[podkategoria],parametr[kategoria])</f>
        <v>życie</v>
      </c>
      <c r="H4199" t="str">
        <f>_xlfn.XLOOKUP(transakcje[[#This Row],[kategoria]],parametr[kategoria],parametr[typ])</f>
        <v>wydatki</v>
      </c>
      <c r="I4199" s="1">
        <f>ABS(transakcje[[#This Row],[kwota]])</f>
        <v>13.644</v>
      </c>
    </row>
    <row r="4200" spans="1:9" x14ac:dyDescent="0.3">
      <c r="A4200">
        <v>4199</v>
      </c>
      <c r="B4200">
        <v>2023</v>
      </c>
      <c r="C4200">
        <v>5</v>
      </c>
      <c r="D4200">
        <v>25</v>
      </c>
      <c r="E4200" s="1">
        <v>1057.6379999999999</v>
      </c>
      <c r="F4200" t="s">
        <v>8</v>
      </c>
      <c r="G4200" t="str">
        <f>_xlfn.XLOOKUP(transakcje[[#This Row],[podkategoria]],parametr[podkategoria],parametr[kategoria])</f>
        <v>dochody z pracy</v>
      </c>
      <c r="H4200" t="str">
        <f>_xlfn.XLOOKUP(transakcje[[#This Row],[kategoria]],parametr[kategoria],parametr[typ])</f>
        <v>dochody</v>
      </c>
      <c r="I4200" s="1">
        <f>ABS(transakcje[[#This Row],[kwota]])</f>
        <v>1057.6379999999999</v>
      </c>
    </row>
    <row r="4201" spans="1:9" x14ac:dyDescent="0.3">
      <c r="A4201">
        <v>4200</v>
      </c>
      <c r="B4201">
        <v>2023</v>
      </c>
      <c r="C4201">
        <v>5</v>
      </c>
      <c r="D4201">
        <v>25</v>
      </c>
      <c r="E4201" s="1">
        <v>-4.016</v>
      </c>
      <c r="F4201" t="s">
        <v>26</v>
      </c>
      <c r="G4201" t="str">
        <f>_xlfn.XLOOKUP(transakcje[[#This Row],[podkategoria]],parametr[podkategoria],parametr[kategoria])</f>
        <v>życie</v>
      </c>
      <c r="H4201" t="str">
        <f>_xlfn.XLOOKUP(transakcje[[#This Row],[kategoria]],parametr[kategoria],parametr[typ])</f>
        <v>wydatki</v>
      </c>
      <c r="I4201" s="1">
        <f>ABS(transakcje[[#This Row],[kwota]])</f>
        <v>4.016</v>
      </c>
    </row>
    <row r="4202" spans="1:9" x14ac:dyDescent="0.3">
      <c r="A4202">
        <v>4201</v>
      </c>
      <c r="B4202">
        <v>2023</v>
      </c>
      <c r="C4202">
        <v>5</v>
      </c>
      <c r="D4202">
        <v>27</v>
      </c>
      <c r="E4202" s="1">
        <v>-23.8</v>
      </c>
      <c r="F4202" t="s">
        <v>32</v>
      </c>
      <c r="G4202" t="str">
        <f>_xlfn.XLOOKUP(transakcje[[#This Row],[podkategoria]],parametr[podkategoria],parametr[kategoria])</f>
        <v>opłaty stałe</v>
      </c>
      <c r="H4202" t="str">
        <f>_xlfn.XLOOKUP(transakcje[[#This Row],[kategoria]],parametr[kategoria],parametr[typ])</f>
        <v>wydatki</v>
      </c>
      <c r="I4202" s="1">
        <f>ABS(transakcje[[#This Row],[kwota]])</f>
        <v>23.8</v>
      </c>
    </row>
    <row r="4203" spans="1:9" x14ac:dyDescent="0.3">
      <c r="A4203">
        <v>4202</v>
      </c>
      <c r="B4203">
        <v>2023</v>
      </c>
      <c r="C4203">
        <v>5</v>
      </c>
      <c r="D4203">
        <v>31</v>
      </c>
      <c r="E4203" s="1">
        <v>-1.4</v>
      </c>
      <c r="F4203" t="s">
        <v>14</v>
      </c>
      <c r="G4203" t="str">
        <f>_xlfn.XLOOKUP(transakcje[[#This Row],[podkategoria]],parametr[podkategoria],parametr[kategoria])</f>
        <v>opłaty stałe</v>
      </c>
      <c r="H4203" t="str">
        <f>_xlfn.XLOOKUP(transakcje[[#This Row],[kategoria]],parametr[kategoria],parametr[typ])</f>
        <v>wydatki</v>
      </c>
      <c r="I4203" s="1">
        <f>ABS(transakcje[[#This Row],[kwota]])</f>
        <v>1.4</v>
      </c>
    </row>
    <row r="4204" spans="1:9" x14ac:dyDescent="0.3">
      <c r="A4204">
        <v>4203</v>
      </c>
      <c r="B4204">
        <v>2023</v>
      </c>
      <c r="C4204">
        <v>5</v>
      </c>
      <c r="D4204">
        <v>31</v>
      </c>
      <c r="E4204" s="1">
        <v>-2E-3</v>
      </c>
      <c r="F4204" t="s">
        <v>14</v>
      </c>
      <c r="G4204" t="str">
        <f>_xlfn.XLOOKUP(transakcje[[#This Row],[podkategoria]],parametr[podkategoria],parametr[kategoria])</f>
        <v>opłaty stałe</v>
      </c>
      <c r="H4204" t="str">
        <f>_xlfn.XLOOKUP(transakcje[[#This Row],[kategoria]],parametr[kategoria],parametr[typ])</f>
        <v>wydatki</v>
      </c>
      <c r="I4204" s="1">
        <f>ABS(transakcje[[#This Row],[kwota]])</f>
        <v>2E-3</v>
      </c>
    </row>
    <row r="4205" spans="1:9" x14ac:dyDescent="0.3">
      <c r="A4205">
        <v>4204</v>
      </c>
      <c r="B4205">
        <v>2023</v>
      </c>
      <c r="C4205">
        <v>5</v>
      </c>
      <c r="D4205">
        <v>31</v>
      </c>
      <c r="E4205" s="1">
        <v>2E-3</v>
      </c>
      <c r="F4205" t="s">
        <v>17</v>
      </c>
      <c r="G4205" t="str">
        <f>_xlfn.XLOOKUP(transakcje[[#This Row],[podkategoria]],parametr[podkategoria],parametr[kategoria])</f>
        <v>dochody pozostałe</v>
      </c>
      <c r="H4205" t="str">
        <f>_xlfn.XLOOKUP(transakcje[[#This Row],[kategoria]],parametr[kategoria],parametr[typ])</f>
        <v>dochody</v>
      </c>
      <c r="I4205" s="1">
        <f>ABS(transakcje[[#This Row],[kwota]])</f>
        <v>2E-3</v>
      </c>
    </row>
    <row r="4206" spans="1:9" x14ac:dyDescent="0.3">
      <c r="A4206">
        <v>4205</v>
      </c>
      <c r="B4206">
        <v>2023</v>
      </c>
      <c r="C4206">
        <v>5</v>
      </c>
      <c r="D4206">
        <v>31</v>
      </c>
      <c r="E4206" s="1">
        <v>-30</v>
      </c>
      <c r="F4206" t="s">
        <v>26</v>
      </c>
      <c r="G4206" t="str">
        <f>_xlfn.XLOOKUP(transakcje[[#This Row],[podkategoria]],parametr[podkategoria],parametr[kategoria])</f>
        <v>życie</v>
      </c>
      <c r="H4206" t="str">
        <f>_xlfn.XLOOKUP(transakcje[[#This Row],[kategoria]],parametr[kategoria],parametr[typ])</f>
        <v>wydatki</v>
      </c>
      <c r="I4206" s="1">
        <f>ABS(transakcje[[#This Row],[kwota]])</f>
        <v>30</v>
      </c>
    </row>
    <row r="4207" spans="1:9" x14ac:dyDescent="0.3">
      <c r="A4207">
        <v>4206</v>
      </c>
      <c r="B4207">
        <v>2023</v>
      </c>
      <c r="C4207">
        <v>6</v>
      </c>
      <c r="D4207">
        <v>1</v>
      </c>
      <c r="E4207" s="1">
        <v>-3.1059999999999999</v>
      </c>
      <c r="F4207" t="s">
        <v>26</v>
      </c>
      <c r="G4207" t="str">
        <f>_xlfn.XLOOKUP(transakcje[[#This Row],[podkategoria]],parametr[podkategoria],parametr[kategoria])</f>
        <v>życie</v>
      </c>
      <c r="H4207" t="str">
        <f>_xlfn.XLOOKUP(transakcje[[#This Row],[kategoria]],parametr[kategoria],parametr[typ])</f>
        <v>wydatki</v>
      </c>
      <c r="I4207" s="1">
        <f>ABS(transakcje[[#This Row],[kwota]])</f>
        <v>3.1059999999999999</v>
      </c>
    </row>
    <row r="4208" spans="1:9" x14ac:dyDescent="0.3">
      <c r="A4208">
        <v>4207</v>
      </c>
      <c r="B4208">
        <v>2023</v>
      </c>
      <c r="C4208">
        <v>6</v>
      </c>
      <c r="D4208">
        <v>1</v>
      </c>
      <c r="E4208" s="1">
        <v>-0.97</v>
      </c>
      <c r="F4208" t="s">
        <v>26</v>
      </c>
      <c r="G4208" t="str">
        <f>_xlfn.XLOOKUP(transakcje[[#This Row],[podkategoria]],parametr[podkategoria],parametr[kategoria])</f>
        <v>życie</v>
      </c>
      <c r="H4208" t="str">
        <f>_xlfn.XLOOKUP(transakcje[[#This Row],[kategoria]],parametr[kategoria],parametr[typ])</f>
        <v>wydatki</v>
      </c>
      <c r="I4208" s="1">
        <f>ABS(transakcje[[#This Row],[kwota]])</f>
        <v>0.97</v>
      </c>
    </row>
    <row r="4209" spans="1:9" x14ac:dyDescent="0.3">
      <c r="A4209">
        <v>4208</v>
      </c>
      <c r="B4209">
        <v>2023</v>
      </c>
      <c r="C4209">
        <v>6</v>
      </c>
      <c r="D4209">
        <v>2</v>
      </c>
      <c r="E4209" s="1">
        <v>-3.9060000000000001</v>
      </c>
      <c r="F4209" t="s">
        <v>26</v>
      </c>
      <c r="G4209" t="str">
        <f>_xlfn.XLOOKUP(transakcje[[#This Row],[podkategoria]],parametr[podkategoria],parametr[kategoria])</f>
        <v>życie</v>
      </c>
      <c r="H4209" t="str">
        <f>_xlfn.XLOOKUP(transakcje[[#This Row],[kategoria]],parametr[kategoria],parametr[typ])</f>
        <v>wydatki</v>
      </c>
      <c r="I4209" s="1">
        <f>ABS(transakcje[[#This Row],[kwota]])</f>
        <v>3.9060000000000001</v>
      </c>
    </row>
    <row r="4210" spans="1:9" x14ac:dyDescent="0.3">
      <c r="A4210">
        <v>4209</v>
      </c>
      <c r="B4210">
        <v>2023</v>
      </c>
      <c r="C4210">
        <v>6</v>
      </c>
      <c r="D4210">
        <v>2</v>
      </c>
      <c r="E4210" s="1">
        <v>-12.884</v>
      </c>
      <c r="F4210" t="s">
        <v>26</v>
      </c>
      <c r="G4210" t="str">
        <f>_xlfn.XLOOKUP(transakcje[[#This Row],[podkategoria]],parametr[podkategoria],parametr[kategoria])</f>
        <v>życie</v>
      </c>
      <c r="H4210" t="str">
        <f>_xlfn.XLOOKUP(transakcje[[#This Row],[kategoria]],parametr[kategoria],parametr[typ])</f>
        <v>wydatki</v>
      </c>
      <c r="I4210" s="1">
        <f>ABS(transakcje[[#This Row],[kwota]])</f>
        <v>12.884</v>
      </c>
    </row>
    <row r="4211" spans="1:9" x14ac:dyDescent="0.3">
      <c r="A4211">
        <v>4210</v>
      </c>
      <c r="B4211">
        <v>2023</v>
      </c>
      <c r="C4211">
        <v>6</v>
      </c>
      <c r="D4211">
        <v>2</v>
      </c>
      <c r="E4211" s="1">
        <v>-13.9</v>
      </c>
      <c r="F4211" t="s">
        <v>26</v>
      </c>
      <c r="G4211" t="str">
        <f>_xlfn.XLOOKUP(transakcje[[#This Row],[podkategoria]],parametr[podkategoria],parametr[kategoria])</f>
        <v>życie</v>
      </c>
      <c r="H4211" t="str">
        <f>_xlfn.XLOOKUP(transakcje[[#This Row],[kategoria]],parametr[kategoria],parametr[typ])</f>
        <v>wydatki</v>
      </c>
      <c r="I4211" s="1">
        <f>ABS(transakcje[[#This Row],[kwota]])</f>
        <v>13.9</v>
      </c>
    </row>
    <row r="4212" spans="1:9" x14ac:dyDescent="0.3">
      <c r="A4212">
        <v>4211</v>
      </c>
      <c r="B4212">
        <v>2023</v>
      </c>
      <c r="C4212">
        <v>6</v>
      </c>
      <c r="D4212">
        <v>3</v>
      </c>
      <c r="E4212" s="1">
        <v>-4</v>
      </c>
      <c r="F4212" t="s">
        <v>26</v>
      </c>
      <c r="G4212" t="str">
        <f>_xlfn.XLOOKUP(transakcje[[#This Row],[podkategoria]],parametr[podkategoria],parametr[kategoria])</f>
        <v>życie</v>
      </c>
      <c r="H4212" t="str">
        <f>_xlfn.XLOOKUP(transakcje[[#This Row],[kategoria]],parametr[kategoria],parametr[typ])</f>
        <v>wydatki</v>
      </c>
      <c r="I4212" s="1">
        <f>ABS(transakcje[[#This Row],[kwota]])</f>
        <v>4</v>
      </c>
    </row>
    <row r="4213" spans="1:9" x14ac:dyDescent="0.3">
      <c r="A4213">
        <v>4212</v>
      </c>
      <c r="B4213">
        <v>2023</v>
      </c>
      <c r="C4213">
        <v>6</v>
      </c>
      <c r="D4213">
        <v>3</v>
      </c>
      <c r="E4213" s="1">
        <v>-5.8</v>
      </c>
      <c r="F4213" t="s">
        <v>25</v>
      </c>
      <c r="G4213" t="str">
        <f>_xlfn.XLOOKUP(transakcje[[#This Row],[podkategoria]],parametr[podkategoria],parametr[kategoria])</f>
        <v>opłaty stałe</v>
      </c>
      <c r="H4213" t="str">
        <f>_xlfn.XLOOKUP(transakcje[[#This Row],[kategoria]],parametr[kategoria],parametr[typ])</f>
        <v>wydatki</v>
      </c>
      <c r="I4213" s="1">
        <f>ABS(transakcje[[#This Row],[kwota]])</f>
        <v>5.8</v>
      </c>
    </row>
    <row r="4214" spans="1:9" x14ac:dyDescent="0.3">
      <c r="A4214">
        <v>4213</v>
      </c>
      <c r="B4214">
        <v>2023</v>
      </c>
      <c r="C4214">
        <v>6</v>
      </c>
      <c r="D4214">
        <v>3</v>
      </c>
      <c r="E4214" s="1">
        <v>-7.38</v>
      </c>
      <c r="F4214" t="s">
        <v>23</v>
      </c>
      <c r="G4214" t="str">
        <f>_xlfn.XLOOKUP(transakcje[[#This Row],[podkategoria]],parametr[podkategoria],parametr[kategoria])</f>
        <v>opłaty stałe</v>
      </c>
      <c r="H4214" t="str">
        <f>_xlfn.XLOOKUP(transakcje[[#This Row],[kategoria]],parametr[kategoria],parametr[typ])</f>
        <v>wydatki</v>
      </c>
      <c r="I4214" s="1">
        <f>ABS(transakcje[[#This Row],[kwota]])</f>
        <v>7.38</v>
      </c>
    </row>
    <row r="4215" spans="1:9" x14ac:dyDescent="0.3">
      <c r="A4215">
        <v>4214</v>
      </c>
      <c r="B4215">
        <v>2023</v>
      </c>
      <c r="C4215">
        <v>6</v>
      </c>
      <c r="D4215">
        <v>3</v>
      </c>
      <c r="E4215" s="1">
        <v>-104.06800000000001</v>
      </c>
      <c r="F4215" t="s">
        <v>31</v>
      </c>
      <c r="G4215" t="str">
        <f>_xlfn.XLOOKUP(transakcje[[#This Row],[podkategoria]],parametr[podkategoria],parametr[kategoria])</f>
        <v>opłaty stałe</v>
      </c>
      <c r="H4215" t="str">
        <f>_xlfn.XLOOKUP(transakcje[[#This Row],[kategoria]],parametr[kategoria],parametr[typ])</f>
        <v>wydatki</v>
      </c>
      <c r="I4215" s="1">
        <f>ABS(transakcje[[#This Row],[kwota]])</f>
        <v>104.06800000000001</v>
      </c>
    </row>
    <row r="4216" spans="1:9" x14ac:dyDescent="0.3">
      <c r="A4216">
        <v>4215</v>
      </c>
      <c r="B4216">
        <v>2023</v>
      </c>
      <c r="C4216">
        <v>6</v>
      </c>
      <c r="D4216">
        <v>3</v>
      </c>
      <c r="E4216" s="1">
        <v>-9.9980000000000011</v>
      </c>
      <c r="F4216" t="s">
        <v>26</v>
      </c>
      <c r="G4216" t="str">
        <f>_xlfn.XLOOKUP(transakcje[[#This Row],[podkategoria]],parametr[podkategoria],parametr[kategoria])</f>
        <v>życie</v>
      </c>
      <c r="H4216" t="str">
        <f>_xlfn.XLOOKUP(transakcje[[#This Row],[kategoria]],parametr[kategoria],parametr[typ])</f>
        <v>wydatki</v>
      </c>
      <c r="I4216" s="1">
        <f>ABS(transakcje[[#This Row],[kwota]])</f>
        <v>9.9980000000000011</v>
      </c>
    </row>
    <row r="4217" spans="1:9" x14ac:dyDescent="0.3">
      <c r="A4217">
        <v>4216</v>
      </c>
      <c r="B4217">
        <v>2023</v>
      </c>
      <c r="C4217">
        <v>6</v>
      </c>
      <c r="D4217">
        <v>5</v>
      </c>
      <c r="E4217" s="1">
        <v>-1.94</v>
      </c>
      <c r="F4217" t="s">
        <v>26</v>
      </c>
      <c r="G4217" t="str">
        <f>_xlfn.XLOOKUP(transakcje[[#This Row],[podkategoria]],parametr[podkategoria],parametr[kategoria])</f>
        <v>życie</v>
      </c>
      <c r="H4217" t="str">
        <f>_xlfn.XLOOKUP(transakcje[[#This Row],[kategoria]],parametr[kategoria],parametr[typ])</f>
        <v>wydatki</v>
      </c>
      <c r="I4217" s="1">
        <f>ABS(transakcje[[#This Row],[kwota]])</f>
        <v>1.94</v>
      </c>
    </row>
    <row r="4218" spans="1:9" x14ac:dyDescent="0.3">
      <c r="A4218">
        <v>4217</v>
      </c>
      <c r="B4218">
        <v>2023</v>
      </c>
      <c r="C4218">
        <v>6</v>
      </c>
      <c r="D4218">
        <v>5</v>
      </c>
      <c r="E4218" s="1">
        <v>-11.290000000000001</v>
      </c>
      <c r="F4218" t="s">
        <v>26</v>
      </c>
      <c r="G4218" t="str">
        <f>_xlfn.XLOOKUP(transakcje[[#This Row],[podkategoria]],parametr[podkategoria],parametr[kategoria])</f>
        <v>życie</v>
      </c>
      <c r="H4218" t="str">
        <f>_xlfn.XLOOKUP(transakcje[[#This Row],[kategoria]],parametr[kategoria],parametr[typ])</f>
        <v>wydatki</v>
      </c>
      <c r="I4218" s="1">
        <f>ABS(transakcje[[#This Row],[kwota]])</f>
        <v>11.290000000000001</v>
      </c>
    </row>
    <row r="4219" spans="1:9" x14ac:dyDescent="0.3">
      <c r="A4219">
        <v>4218</v>
      </c>
      <c r="B4219">
        <v>2023</v>
      </c>
      <c r="C4219">
        <v>6</v>
      </c>
      <c r="D4219">
        <v>7</v>
      </c>
      <c r="E4219" s="1">
        <v>-14.996</v>
      </c>
      <c r="F4219" t="s">
        <v>11</v>
      </c>
      <c r="G4219" t="str">
        <f>_xlfn.XLOOKUP(transakcje[[#This Row],[podkategoria]],parametr[podkategoria],parametr[kategoria])</f>
        <v>wydatki inne</v>
      </c>
      <c r="H4219" t="str">
        <f>_xlfn.XLOOKUP(transakcje[[#This Row],[kategoria]],parametr[kategoria],parametr[typ])</f>
        <v>wydatki</v>
      </c>
      <c r="I4219" s="1">
        <f>ABS(transakcje[[#This Row],[kwota]])</f>
        <v>14.996</v>
      </c>
    </row>
    <row r="4220" spans="1:9" x14ac:dyDescent="0.3">
      <c r="A4220">
        <v>4219</v>
      </c>
      <c r="B4220">
        <v>2023</v>
      </c>
      <c r="C4220">
        <v>6</v>
      </c>
      <c r="D4220">
        <v>12</v>
      </c>
      <c r="E4220" s="1">
        <v>-2.8</v>
      </c>
      <c r="F4220" t="s">
        <v>26</v>
      </c>
      <c r="G4220" t="str">
        <f>_xlfn.XLOOKUP(transakcje[[#This Row],[podkategoria]],parametr[podkategoria],parametr[kategoria])</f>
        <v>życie</v>
      </c>
      <c r="H4220" t="str">
        <f>_xlfn.XLOOKUP(transakcje[[#This Row],[kategoria]],parametr[kategoria],parametr[typ])</f>
        <v>wydatki</v>
      </c>
      <c r="I4220" s="1">
        <f>ABS(transakcje[[#This Row],[kwota]])</f>
        <v>2.8</v>
      </c>
    </row>
    <row r="4221" spans="1:9" x14ac:dyDescent="0.3">
      <c r="A4221">
        <v>4220</v>
      </c>
      <c r="B4221">
        <v>2023</v>
      </c>
      <c r="C4221">
        <v>6</v>
      </c>
      <c r="D4221">
        <v>13</v>
      </c>
      <c r="E4221" s="1">
        <v>-18.481999999999999</v>
      </c>
      <c r="F4221" t="s">
        <v>11</v>
      </c>
      <c r="G4221" t="str">
        <f>_xlfn.XLOOKUP(transakcje[[#This Row],[podkategoria]],parametr[podkategoria],parametr[kategoria])</f>
        <v>wydatki inne</v>
      </c>
      <c r="H4221" t="str">
        <f>_xlfn.XLOOKUP(transakcje[[#This Row],[kategoria]],parametr[kategoria],parametr[typ])</f>
        <v>wydatki</v>
      </c>
      <c r="I4221" s="1">
        <f>ABS(transakcje[[#This Row],[kwota]])</f>
        <v>18.481999999999999</v>
      </c>
    </row>
    <row r="4222" spans="1:9" x14ac:dyDescent="0.3">
      <c r="A4222">
        <v>4221</v>
      </c>
      <c r="B4222">
        <v>2023</v>
      </c>
      <c r="C4222">
        <v>6</v>
      </c>
      <c r="D4222">
        <v>15</v>
      </c>
      <c r="E4222" s="1">
        <v>-0.97</v>
      </c>
      <c r="F4222" t="s">
        <v>26</v>
      </c>
      <c r="G4222" t="str">
        <f>_xlfn.XLOOKUP(transakcje[[#This Row],[podkategoria]],parametr[podkategoria],parametr[kategoria])</f>
        <v>życie</v>
      </c>
      <c r="H4222" t="str">
        <f>_xlfn.XLOOKUP(transakcje[[#This Row],[kategoria]],parametr[kategoria],parametr[typ])</f>
        <v>wydatki</v>
      </c>
      <c r="I4222" s="1">
        <f>ABS(transakcje[[#This Row],[kwota]])</f>
        <v>0.97</v>
      </c>
    </row>
    <row r="4223" spans="1:9" x14ac:dyDescent="0.3">
      <c r="A4223">
        <v>4222</v>
      </c>
      <c r="B4223">
        <v>2023</v>
      </c>
      <c r="C4223">
        <v>6</v>
      </c>
      <c r="D4223">
        <v>15</v>
      </c>
      <c r="E4223" s="1">
        <v>-11.98</v>
      </c>
      <c r="F4223" t="s">
        <v>26</v>
      </c>
      <c r="G4223" t="str">
        <f>_xlfn.XLOOKUP(transakcje[[#This Row],[podkategoria]],parametr[podkategoria],parametr[kategoria])</f>
        <v>życie</v>
      </c>
      <c r="H4223" t="str">
        <f>_xlfn.XLOOKUP(transakcje[[#This Row],[kategoria]],parametr[kategoria],parametr[typ])</f>
        <v>wydatki</v>
      </c>
      <c r="I4223" s="1">
        <f>ABS(transakcje[[#This Row],[kwota]])</f>
        <v>11.98</v>
      </c>
    </row>
    <row r="4224" spans="1:9" x14ac:dyDescent="0.3">
      <c r="A4224">
        <v>4223</v>
      </c>
      <c r="B4224">
        <v>2023</v>
      </c>
      <c r="C4224">
        <v>6</v>
      </c>
      <c r="D4224">
        <v>16</v>
      </c>
      <c r="E4224" s="1">
        <v>-4.4000000000000004</v>
      </c>
      <c r="F4224" t="s">
        <v>26</v>
      </c>
      <c r="G4224" t="str">
        <f>_xlfn.XLOOKUP(transakcje[[#This Row],[podkategoria]],parametr[podkategoria],parametr[kategoria])</f>
        <v>życie</v>
      </c>
      <c r="H4224" t="str">
        <f>_xlfn.XLOOKUP(transakcje[[#This Row],[kategoria]],parametr[kategoria],parametr[typ])</f>
        <v>wydatki</v>
      </c>
      <c r="I4224" s="1">
        <f>ABS(transakcje[[#This Row],[kwota]])</f>
        <v>4.4000000000000004</v>
      </c>
    </row>
    <row r="4225" spans="1:9" x14ac:dyDescent="0.3">
      <c r="A4225">
        <v>4224</v>
      </c>
      <c r="B4225">
        <v>2023</v>
      </c>
      <c r="C4225">
        <v>6</v>
      </c>
      <c r="D4225">
        <v>19</v>
      </c>
      <c r="E4225" s="1">
        <v>-5.306</v>
      </c>
      <c r="F4225" t="s">
        <v>26</v>
      </c>
      <c r="G4225" t="str">
        <f>_xlfn.XLOOKUP(transakcje[[#This Row],[podkategoria]],parametr[podkategoria],parametr[kategoria])</f>
        <v>życie</v>
      </c>
      <c r="H4225" t="str">
        <f>_xlfn.XLOOKUP(transakcje[[#This Row],[kategoria]],parametr[kategoria],parametr[typ])</f>
        <v>wydatki</v>
      </c>
      <c r="I4225" s="1">
        <f>ABS(transakcje[[#This Row],[kwota]])</f>
        <v>5.306</v>
      </c>
    </row>
    <row r="4226" spans="1:9" x14ac:dyDescent="0.3">
      <c r="A4226">
        <v>4225</v>
      </c>
      <c r="B4226">
        <v>2023</v>
      </c>
      <c r="C4226">
        <v>6</v>
      </c>
      <c r="D4226">
        <v>19</v>
      </c>
      <c r="E4226" s="1">
        <v>-0.97</v>
      </c>
      <c r="F4226" t="s">
        <v>26</v>
      </c>
      <c r="G4226" t="str">
        <f>_xlfn.XLOOKUP(transakcje[[#This Row],[podkategoria]],parametr[podkategoria],parametr[kategoria])</f>
        <v>życie</v>
      </c>
      <c r="H4226" t="str">
        <f>_xlfn.XLOOKUP(transakcje[[#This Row],[kategoria]],parametr[kategoria],parametr[typ])</f>
        <v>wydatki</v>
      </c>
      <c r="I4226" s="1">
        <f>ABS(transakcje[[#This Row],[kwota]])</f>
        <v>0.97</v>
      </c>
    </row>
    <row r="4227" spans="1:9" x14ac:dyDescent="0.3">
      <c r="A4227">
        <v>4226</v>
      </c>
      <c r="B4227">
        <v>2023</v>
      </c>
      <c r="C4227">
        <v>6</v>
      </c>
      <c r="D4227">
        <v>20</v>
      </c>
      <c r="E4227" s="1">
        <v>-3.8</v>
      </c>
      <c r="F4227" t="s">
        <v>26</v>
      </c>
      <c r="G4227" t="str">
        <f>_xlfn.XLOOKUP(transakcje[[#This Row],[podkategoria]],parametr[podkategoria],parametr[kategoria])</f>
        <v>życie</v>
      </c>
      <c r="H4227" t="str">
        <f>_xlfn.XLOOKUP(transakcje[[#This Row],[kategoria]],parametr[kategoria],parametr[typ])</f>
        <v>wydatki</v>
      </c>
      <c r="I4227" s="1">
        <f>ABS(transakcje[[#This Row],[kwota]])</f>
        <v>3.8</v>
      </c>
    </row>
    <row r="4228" spans="1:9" x14ac:dyDescent="0.3">
      <c r="A4228">
        <v>4227</v>
      </c>
      <c r="B4228">
        <v>2023</v>
      </c>
      <c r="C4228">
        <v>6</v>
      </c>
      <c r="D4228">
        <v>20</v>
      </c>
      <c r="E4228" s="1">
        <v>-2.2999999999999998</v>
      </c>
      <c r="F4228" t="s">
        <v>26</v>
      </c>
      <c r="G4228" t="str">
        <f>_xlfn.XLOOKUP(transakcje[[#This Row],[podkategoria]],parametr[podkategoria],parametr[kategoria])</f>
        <v>życie</v>
      </c>
      <c r="H4228" t="str">
        <f>_xlfn.XLOOKUP(transakcje[[#This Row],[kategoria]],parametr[kategoria],parametr[typ])</f>
        <v>wydatki</v>
      </c>
      <c r="I4228" s="1">
        <f>ABS(transakcje[[#This Row],[kwota]])</f>
        <v>2.2999999999999998</v>
      </c>
    </row>
    <row r="4229" spans="1:9" x14ac:dyDescent="0.3">
      <c r="A4229">
        <v>4228</v>
      </c>
      <c r="B4229">
        <v>2023</v>
      </c>
      <c r="C4229">
        <v>6</v>
      </c>
      <c r="D4229">
        <v>20</v>
      </c>
      <c r="E4229" s="1">
        <v>-0.2</v>
      </c>
      <c r="F4229" t="s">
        <v>14</v>
      </c>
      <c r="G4229" t="str">
        <f>_xlfn.XLOOKUP(transakcje[[#This Row],[podkategoria]],parametr[podkategoria],parametr[kategoria])</f>
        <v>opłaty stałe</v>
      </c>
      <c r="H4229" t="str">
        <f>_xlfn.XLOOKUP(transakcje[[#This Row],[kategoria]],parametr[kategoria],parametr[typ])</f>
        <v>wydatki</v>
      </c>
      <c r="I4229" s="1">
        <f>ABS(transakcje[[#This Row],[kwota]])</f>
        <v>0.2</v>
      </c>
    </row>
    <row r="4230" spans="1:9" x14ac:dyDescent="0.3">
      <c r="A4230">
        <v>4229</v>
      </c>
      <c r="B4230">
        <v>2023</v>
      </c>
      <c r="C4230">
        <v>6</v>
      </c>
      <c r="D4230">
        <v>21</v>
      </c>
      <c r="E4230" s="1">
        <v>-0.97</v>
      </c>
      <c r="F4230" t="s">
        <v>26</v>
      </c>
      <c r="G4230" t="str">
        <f>_xlfn.XLOOKUP(transakcje[[#This Row],[podkategoria]],parametr[podkategoria],parametr[kategoria])</f>
        <v>życie</v>
      </c>
      <c r="H4230" t="str">
        <f>_xlfn.XLOOKUP(transakcje[[#This Row],[kategoria]],parametr[kategoria],parametr[typ])</f>
        <v>wydatki</v>
      </c>
      <c r="I4230" s="1">
        <f>ABS(transakcje[[#This Row],[kwota]])</f>
        <v>0.97</v>
      </c>
    </row>
    <row r="4231" spans="1:9" x14ac:dyDescent="0.3">
      <c r="A4231">
        <v>4230</v>
      </c>
      <c r="B4231">
        <v>2023</v>
      </c>
      <c r="C4231">
        <v>6</v>
      </c>
      <c r="D4231">
        <v>21</v>
      </c>
      <c r="E4231" s="1">
        <v>-16.25</v>
      </c>
      <c r="F4231" t="s">
        <v>26</v>
      </c>
      <c r="G4231" t="str">
        <f>_xlfn.XLOOKUP(transakcje[[#This Row],[podkategoria]],parametr[podkategoria],parametr[kategoria])</f>
        <v>życie</v>
      </c>
      <c r="H4231" t="str">
        <f>_xlfn.XLOOKUP(transakcje[[#This Row],[kategoria]],parametr[kategoria],parametr[typ])</f>
        <v>wydatki</v>
      </c>
      <c r="I4231" s="1">
        <f>ABS(transakcje[[#This Row],[kwota]])</f>
        <v>16.25</v>
      </c>
    </row>
    <row r="4232" spans="1:9" x14ac:dyDescent="0.3">
      <c r="A4232">
        <v>4231</v>
      </c>
      <c r="B4232">
        <v>2023</v>
      </c>
      <c r="C4232">
        <v>6</v>
      </c>
      <c r="D4232">
        <v>23</v>
      </c>
      <c r="E4232" s="1">
        <v>-0.52600000000000002</v>
      </c>
      <c r="F4232" t="s">
        <v>26</v>
      </c>
      <c r="G4232" t="str">
        <f>_xlfn.XLOOKUP(transakcje[[#This Row],[podkategoria]],parametr[podkategoria],parametr[kategoria])</f>
        <v>życie</v>
      </c>
      <c r="H4232" t="str">
        <f>_xlfn.XLOOKUP(transakcje[[#This Row],[kategoria]],parametr[kategoria],parametr[typ])</f>
        <v>wydatki</v>
      </c>
      <c r="I4232" s="1">
        <f>ABS(transakcje[[#This Row],[kwota]])</f>
        <v>0.52600000000000002</v>
      </c>
    </row>
    <row r="4233" spans="1:9" x14ac:dyDescent="0.3">
      <c r="A4233">
        <v>4232</v>
      </c>
      <c r="B4233">
        <v>2023</v>
      </c>
      <c r="C4233">
        <v>6</v>
      </c>
      <c r="D4233">
        <v>26</v>
      </c>
      <c r="E4233" s="1">
        <v>-24.48</v>
      </c>
      <c r="F4233" t="s">
        <v>32</v>
      </c>
      <c r="G4233" t="str">
        <f>_xlfn.XLOOKUP(transakcje[[#This Row],[podkategoria]],parametr[podkategoria],parametr[kategoria])</f>
        <v>opłaty stałe</v>
      </c>
      <c r="H4233" t="str">
        <f>_xlfn.XLOOKUP(transakcje[[#This Row],[kategoria]],parametr[kategoria],parametr[typ])</f>
        <v>wydatki</v>
      </c>
      <c r="I4233" s="1">
        <f>ABS(transakcje[[#This Row],[kwota]])</f>
        <v>24.48</v>
      </c>
    </row>
    <row r="4234" spans="1:9" x14ac:dyDescent="0.3">
      <c r="A4234">
        <v>4233</v>
      </c>
      <c r="B4234">
        <v>2023</v>
      </c>
      <c r="C4234">
        <v>6</v>
      </c>
      <c r="D4234">
        <v>27</v>
      </c>
      <c r="E4234" s="1">
        <v>-10.91</v>
      </c>
      <c r="F4234" t="s">
        <v>26</v>
      </c>
      <c r="G4234" t="str">
        <f>_xlfn.XLOOKUP(transakcje[[#This Row],[podkategoria]],parametr[podkategoria],parametr[kategoria])</f>
        <v>życie</v>
      </c>
      <c r="H4234" t="str">
        <f>_xlfn.XLOOKUP(transakcje[[#This Row],[kategoria]],parametr[kategoria],parametr[typ])</f>
        <v>wydatki</v>
      </c>
      <c r="I4234" s="1">
        <f>ABS(transakcje[[#This Row],[kwota]])</f>
        <v>10.91</v>
      </c>
    </row>
    <row r="4235" spans="1:9" x14ac:dyDescent="0.3">
      <c r="A4235">
        <v>4234</v>
      </c>
      <c r="B4235">
        <v>2023</v>
      </c>
      <c r="C4235">
        <v>6</v>
      </c>
      <c r="D4235">
        <v>27</v>
      </c>
      <c r="E4235" s="1">
        <v>1057.6379999999999</v>
      </c>
      <c r="F4235" t="s">
        <v>8</v>
      </c>
      <c r="G4235" t="str">
        <f>_xlfn.XLOOKUP(transakcje[[#This Row],[podkategoria]],parametr[podkategoria],parametr[kategoria])</f>
        <v>dochody z pracy</v>
      </c>
      <c r="H4235" t="str">
        <f>_xlfn.XLOOKUP(transakcje[[#This Row],[kategoria]],parametr[kategoria],parametr[typ])</f>
        <v>dochody</v>
      </c>
      <c r="I4235" s="1">
        <f>ABS(transakcje[[#This Row],[kwota]])</f>
        <v>1057.6379999999999</v>
      </c>
    </row>
    <row r="4236" spans="1:9" x14ac:dyDescent="0.3">
      <c r="A4236">
        <v>4235</v>
      </c>
      <c r="B4236">
        <v>2023</v>
      </c>
      <c r="C4236">
        <v>6</v>
      </c>
      <c r="D4236">
        <v>29</v>
      </c>
      <c r="E4236" s="1">
        <v>-1.05</v>
      </c>
      <c r="F4236" t="s">
        <v>26</v>
      </c>
      <c r="G4236" t="str">
        <f>_xlfn.XLOOKUP(transakcje[[#This Row],[podkategoria]],parametr[podkategoria],parametr[kategoria])</f>
        <v>życie</v>
      </c>
      <c r="H4236" t="str">
        <f>_xlfn.XLOOKUP(transakcje[[#This Row],[kategoria]],parametr[kategoria],parametr[typ])</f>
        <v>wydatki</v>
      </c>
      <c r="I4236" s="1">
        <f>ABS(transakcje[[#This Row],[kwota]])</f>
        <v>1.05</v>
      </c>
    </row>
    <row r="4237" spans="1:9" x14ac:dyDescent="0.3">
      <c r="A4237">
        <v>4236</v>
      </c>
      <c r="B4237">
        <v>2023</v>
      </c>
      <c r="C4237">
        <v>6</v>
      </c>
      <c r="D4237">
        <v>29</v>
      </c>
      <c r="E4237" s="1">
        <v>-4.5460000000000003</v>
      </c>
      <c r="F4237" t="s">
        <v>26</v>
      </c>
      <c r="G4237" t="str">
        <f>_xlfn.XLOOKUP(transakcje[[#This Row],[podkategoria]],parametr[podkategoria],parametr[kategoria])</f>
        <v>życie</v>
      </c>
      <c r="H4237" t="str">
        <f>_xlfn.XLOOKUP(transakcje[[#This Row],[kategoria]],parametr[kategoria],parametr[typ])</f>
        <v>wydatki</v>
      </c>
      <c r="I4237" s="1">
        <f>ABS(transakcje[[#This Row],[kwota]])</f>
        <v>4.5460000000000003</v>
      </c>
    </row>
    <row r="4238" spans="1:9" x14ac:dyDescent="0.3">
      <c r="A4238">
        <v>4237</v>
      </c>
      <c r="B4238">
        <v>2023</v>
      </c>
      <c r="C4238">
        <v>6</v>
      </c>
      <c r="D4238">
        <v>30</v>
      </c>
      <c r="E4238" s="1">
        <v>-1.4</v>
      </c>
      <c r="F4238" t="s">
        <v>14</v>
      </c>
      <c r="G4238" t="str">
        <f>_xlfn.XLOOKUP(transakcje[[#This Row],[podkategoria]],parametr[podkategoria],parametr[kategoria])</f>
        <v>opłaty stałe</v>
      </c>
      <c r="H4238" t="str">
        <f>_xlfn.XLOOKUP(transakcje[[#This Row],[kategoria]],parametr[kategoria],parametr[typ])</f>
        <v>wydatki</v>
      </c>
      <c r="I4238" s="1">
        <f>ABS(transakcje[[#This Row],[kwota]])</f>
        <v>1.4</v>
      </c>
    </row>
    <row r="4239" spans="1:9" x14ac:dyDescent="0.3">
      <c r="A4239">
        <v>4238</v>
      </c>
      <c r="B4239">
        <v>2023</v>
      </c>
      <c r="C4239">
        <v>6</v>
      </c>
      <c r="D4239">
        <v>30</v>
      </c>
      <c r="E4239" s="1">
        <v>4.0000000000000001E-3</v>
      </c>
      <c r="F4239" t="s">
        <v>17</v>
      </c>
      <c r="G4239" t="str">
        <f>_xlfn.XLOOKUP(transakcje[[#This Row],[podkategoria]],parametr[podkategoria],parametr[kategoria])</f>
        <v>dochody pozostałe</v>
      </c>
      <c r="H4239" t="str">
        <f>_xlfn.XLOOKUP(transakcje[[#This Row],[kategoria]],parametr[kategoria],parametr[typ])</f>
        <v>dochody</v>
      </c>
      <c r="I4239" s="1">
        <f>ABS(transakcje[[#This Row],[kwota]])</f>
        <v>4.0000000000000001E-3</v>
      </c>
    </row>
    <row r="4240" spans="1:9" x14ac:dyDescent="0.3">
      <c r="A4240">
        <v>4239</v>
      </c>
      <c r="B4240">
        <v>2023</v>
      </c>
      <c r="C4240">
        <v>6</v>
      </c>
      <c r="D4240">
        <v>30</v>
      </c>
      <c r="E4240" s="1">
        <v>-2E-3</v>
      </c>
      <c r="F4240" t="s">
        <v>14</v>
      </c>
      <c r="G4240" t="str">
        <f>_xlfn.XLOOKUP(transakcje[[#This Row],[podkategoria]],parametr[podkategoria],parametr[kategoria])</f>
        <v>opłaty stałe</v>
      </c>
      <c r="H4240" t="str">
        <f>_xlfn.XLOOKUP(transakcje[[#This Row],[kategoria]],parametr[kategoria],parametr[typ])</f>
        <v>wydatki</v>
      </c>
      <c r="I4240" s="1">
        <f>ABS(transakcje[[#This Row],[kwota]])</f>
        <v>2E-3</v>
      </c>
    </row>
    <row r="4241" spans="1:9" x14ac:dyDescent="0.3">
      <c r="A4241">
        <v>4240</v>
      </c>
      <c r="B4241">
        <v>2023</v>
      </c>
      <c r="C4241">
        <v>6</v>
      </c>
      <c r="D4241">
        <v>30</v>
      </c>
      <c r="E4241" s="1">
        <v>-9.8000000000000007</v>
      </c>
      <c r="F4241" t="s">
        <v>26</v>
      </c>
      <c r="G4241" t="str">
        <f>_xlfn.XLOOKUP(transakcje[[#This Row],[podkategoria]],parametr[podkategoria],parametr[kategoria])</f>
        <v>życie</v>
      </c>
      <c r="H4241" t="str">
        <f>_xlfn.XLOOKUP(transakcje[[#This Row],[kategoria]],parametr[kategoria],parametr[typ])</f>
        <v>wydatki</v>
      </c>
      <c r="I4241" s="1">
        <f>ABS(transakcje[[#This Row],[kwota]])</f>
        <v>9.8000000000000007</v>
      </c>
    </row>
    <row r="4242" spans="1:9" x14ac:dyDescent="0.3">
      <c r="A4242">
        <v>4241</v>
      </c>
      <c r="B4242">
        <v>2023</v>
      </c>
      <c r="C4242">
        <v>6</v>
      </c>
      <c r="D4242">
        <v>30</v>
      </c>
      <c r="E4242" s="1">
        <v>-22.263999999999999</v>
      </c>
      <c r="F4242" t="s">
        <v>26</v>
      </c>
      <c r="G4242" t="str">
        <f>_xlfn.XLOOKUP(transakcje[[#This Row],[podkategoria]],parametr[podkategoria],parametr[kategoria])</f>
        <v>życie</v>
      </c>
      <c r="H4242" t="str">
        <f>_xlfn.XLOOKUP(transakcje[[#This Row],[kategoria]],parametr[kategoria],parametr[typ])</f>
        <v>wydatki</v>
      </c>
      <c r="I4242" s="1">
        <f>ABS(transakcje[[#This Row],[kwota]])</f>
        <v>22.263999999999999</v>
      </c>
    </row>
    <row r="4243" spans="1:9" x14ac:dyDescent="0.3">
      <c r="A4243">
        <v>4242</v>
      </c>
      <c r="B4243">
        <v>2023</v>
      </c>
      <c r="C4243">
        <v>7</v>
      </c>
      <c r="D4243">
        <v>1</v>
      </c>
      <c r="E4243" s="1">
        <v>-7.4</v>
      </c>
      <c r="F4243" t="s">
        <v>26</v>
      </c>
      <c r="G4243" t="str">
        <f>_xlfn.XLOOKUP(transakcje[[#This Row],[podkategoria]],parametr[podkategoria],parametr[kategoria])</f>
        <v>życie</v>
      </c>
      <c r="H4243" t="str">
        <f>_xlfn.XLOOKUP(transakcje[[#This Row],[kategoria]],parametr[kategoria],parametr[typ])</f>
        <v>wydatki</v>
      </c>
      <c r="I4243" s="1">
        <f>ABS(transakcje[[#This Row],[kwota]])</f>
        <v>7.4</v>
      </c>
    </row>
    <row r="4244" spans="1:9" x14ac:dyDescent="0.3">
      <c r="A4244">
        <v>4243</v>
      </c>
      <c r="B4244">
        <v>2023</v>
      </c>
      <c r="C4244">
        <v>7</v>
      </c>
      <c r="D4244">
        <v>1</v>
      </c>
      <c r="E4244" s="1">
        <v>-15.597999999999999</v>
      </c>
      <c r="F4244" t="s">
        <v>26</v>
      </c>
      <c r="G4244" t="str">
        <f>_xlfn.XLOOKUP(transakcje[[#This Row],[podkategoria]],parametr[podkategoria],parametr[kategoria])</f>
        <v>życie</v>
      </c>
      <c r="H4244" t="str">
        <f>_xlfn.XLOOKUP(transakcje[[#This Row],[kategoria]],parametr[kategoria],parametr[typ])</f>
        <v>wydatki</v>
      </c>
      <c r="I4244" s="1">
        <f>ABS(transakcje[[#This Row],[kwota]])</f>
        <v>15.597999999999999</v>
      </c>
    </row>
    <row r="4245" spans="1:9" x14ac:dyDescent="0.3">
      <c r="A4245">
        <v>4244</v>
      </c>
      <c r="B4245">
        <v>2023</v>
      </c>
      <c r="C4245">
        <v>7</v>
      </c>
      <c r="D4245">
        <v>1</v>
      </c>
      <c r="E4245" s="1">
        <v>-23.462</v>
      </c>
      <c r="F4245" t="s">
        <v>34</v>
      </c>
      <c r="G4245" t="str">
        <f>_xlfn.XLOOKUP(transakcje[[#This Row],[podkategoria]],parametr[podkategoria],parametr[kategoria])</f>
        <v>opłaty stałe</v>
      </c>
      <c r="H4245" t="str">
        <f>_xlfn.XLOOKUP(transakcje[[#This Row],[kategoria]],parametr[kategoria],parametr[typ])</f>
        <v>wydatki</v>
      </c>
      <c r="I4245" s="1">
        <f>ABS(transakcje[[#This Row],[kwota]])</f>
        <v>23.462</v>
      </c>
    </row>
    <row r="4246" spans="1:9" x14ac:dyDescent="0.3">
      <c r="A4246">
        <v>4245</v>
      </c>
      <c r="B4246">
        <v>2023</v>
      </c>
      <c r="C4246">
        <v>7</v>
      </c>
      <c r="D4246">
        <v>1</v>
      </c>
      <c r="E4246" s="1">
        <v>-5.8</v>
      </c>
      <c r="F4246" t="s">
        <v>25</v>
      </c>
      <c r="G4246" t="str">
        <f>_xlfn.XLOOKUP(transakcje[[#This Row],[podkategoria]],parametr[podkategoria],parametr[kategoria])</f>
        <v>opłaty stałe</v>
      </c>
      <c r="H4246" t="str">
        <f>_xlfn.XLOOKUP(transakcje[[#This Row],[kategoria]],parametr[kategoria],parametr[typ])</f>
        <v>wydatki</v>
      </c>
      <c r="I4246" s="1">
        <f>ABS(transakcje[[#This Row],[kwota]])</f>
        <v>5.8</v>
      </c>
    </row>
    <row r="4247" spans="1:9" x14ac:dyDescent="0.3">
      <c r="A4247">
        <v>4246</v>
      </c>
      <c r="B4247">
        <v>2023</v>
      </c>
      <c r="C4247">
        <v>7</v>
      </c>
      <c r="D4247">
        <v>1</v>
      </c>
      <c r="E4247" s="1">
        <v>-7.38</v>
      </c>
      <c r="F4247" t="s">
        <v>23</v>
      </c>
      <c r="G4247" t="str">
        <f>_xlfn.XLOOKUP(transakcje[[#This Row],[podkategoria]],parametr[podkategoria],parametr[kategoria])</f>
        <v>opłaty stałe</v>
      </c>
      <c r="H4247" t="str">
        <f>_xlfn.XLOOKUP(transakcje[[#This Row],[kategoria]],parametr[kategoria],parametr[typ])</f>
        <v>wydatki</v>
      </c>
      <c r="I4247" s="1">
        <f>ABS(transakcje[[#This Row],[kwota]])</f>
        <v>7.38</v>
      </c>
    </row>
    <row r="4248" spans="1:9" x14ac:dyDescent="0.3">
      <c r="A4248">
        <v>4247</v>
      </c>
      <c r="B4248">
        <v>2023</v>
      </c>
      <c r="C4248">
        <v>7</v>
      </c>
      <c r="D4248">
        <v>1</v>
      </c>
      <c r="E4248" s="1">
        <v>-104.06800000000001</v>
      </c>
      <c r="F4248" t="s">
        <v>31</v>
      </c>
      <c r="G4248" t="str">
        <f>_xlfn.XLOOKUP(transakcje[[#This Row],[podkategoria]],parametr[podkategoria],parametr[kategoria])</f>
        <v>opłaty stałe</v>
      </c>
      <c r="H4248" t="str">
        <f>_xlfn.XLOOKUP(transakcje[[#This Row],[kategoria]],parametr[kategoria],parametr[typ])</f>
        <v>wydatki</v>
      </c>
      <c r="I4248" s="1">
        <f>ABS(transakcje[[#This Row],[kwota]])</f>
        <v>104.06800000000001</v>
      </c>
    </row>
    <row r="4249" spans="1:9" x14ac:dyDescent="0.3">
      <c r="A4249">
        <v>4248</v>
      </c>
      <c r="B4249">
        <v>2023</v>
      </c>
      <c r="C4249">
        <v>7</v>
      </c>
      <c r="D4249">
        <v>1</v>
      </c>
      <c r="E4249" s="1">
        <v>-9.9980000000000011</v>
      </c>
      <c r="F4249" t="s">
        <v>26</v>
      </c>
      <c r="G4249" t="str">
        <f>_xlfn.XLOOKUP(transakcje[[#This Row],[podkategoria]],parametr[podkategoria],parametr[kategoria])</f>
        <v>życie</v>
      </c>
      <c r="H4249" t="str">
        <f>_xlfn.XLOOKUP(transakcje[[#This Row],[kategoria]],parametr[kategoria],parametr[typ])</f>
        <v>wydatki</v>
      </c>
      <c r="I4249" s="1">
        <f>ABS(transakcje[[#This Row],[kwota]])</f>
        <v>9.9980000000000011</v>
      </c>
    </row>
    <row r="4250" spans="1:9" x14ac:dyDescent="0.3">
      <c r="A4250">
        <v>4249</v>
      </c>
      <c r="B4250">
        <v>2023</v>
      </c>
      <c r="C4250">
        <v>7</v>
      </c>
      <c r="D4250">
        <v>1</v>
      </c>
      <c r="E4250" s="1">
        <v>-5.6840000000000002</v>
      </c>
      <c r="F4250" t="s">
        <v>35</v>
      </c>
      <c r="G4250" t="str">
        <f>_xlfn.XLOOKUP(transakcje[[#This Row],[podkategoria]],parametr[podkategoria],parametr[kategoria])</f>
        <v>opłaty stałe</v>
      </c>
      <c r="H4250" t="str">
        <f>_xlfn.XLOOKUP(transakcje[[#This Row],[kategoria]],parametr[kategoria],parametr[typ])</f>
        <v>wydatki</v>
      </c>
      <c r="I4250" s="1">
        <f>ABS(transakcje[[#This Row],[kwota]])</f>
        <v>5.6840000000000002</v>
      </c>
    </row>
    <row r="4251" spans="1:9" x14ac:dyDescent="0.3">
      <c r="A4251">
        <v>4250</v>
      </c>
      <c r="B4251">
        <v>2023</v>
      </c>
      <c r="C4251">
        <v>7</v>
      </c>
      <c r="D4251">
        <v>4</v>
      </c>
      <c r="E4251" s="1">
        <v>-1.58</v>
      </c>
      <c r="F4251" t="s">
        <v>26</v>
      </c>
      <c r="G4251" t="str">
        <f>_xlfn.XLOOKUP(transakcje[[#This Row],[podkategoria]],parametr[podkategoria],parametr[kategoria])</f>
        <v>życie</v>
      </c>
      <c r="H4251" t="str">
        <f>_xlfn.XLOOKUP(transakcje[[#This Row],[kategoria]],parametr[kategoria],parametr[typ])</f>
        <v>wydatki</v>
      </c>
      <c r="I4251" s="1">
        <f>ABS(transakcje[[#This Row],[kwota]])</f>
        <v>1.58</v>
      </c>
    </row>
    <row r="4252" spans="1:9" x14ac:dyDescent="0.3">
      <c r="A4252">
        <v>4251</v>
      </c>
      <c r="B4252">
        <v>2023</v>
      </c>
      <c r="C4252">
        <v>7</v>
      </c>
      <c r="D4252">
        <v>6</v>
      </c>
      <c r="E4252" s="1">
        <v>-4.8079999999999998</v>
      </c>
      <c r="F4252" t="s">
        <v>26</v>
      </c>
      <c r="G4252" t="str">
        <f>_xlfn.XLOOKUP(transakcje[[#This Row],[podkategoria]],parametr[podkategoria],parametr[kategoria])</f>
        <v>życie</v>
      </c>
      <c r="H4252" t="str">
        <f>_xlfn.XLOOKUP(transakcje[[#This Row],[kategoria]],parametr[kategoria],parametr[typ])</f>
        <v>wydatki</v>
      </c>
      <c r="I4252" s="1">
        <f>ABS(transakcje[[#This Row],[kwota]])</f>
        <v>4.8079999999999998</v>
      </c>
    </row>
    <row r="4253" spans="1:9" x14ac:dyDescent="0.3">
      <c r="A4253">
        <v>4252</v>
      </c>
      <c r="B4253">
        <v>2023</v>
      </c>
      <c r="C4253">
        <v>7</v>
      </c>
      <c r="D4253">
        <v>6</v>
      </c>
      <c r="E4253" s="1">
        <v>-14.662000000000001</v>
      </c>
      <c r="F4253" t="s">
        <v>26</v>
      </c>
      <c r="G4253" t="str">
        <f>_xlfn.XLOOKUP(transakcje[[#This Row],[podkategoria]],parametr[podkategoria],parametr[kategoria])</f>
        <v>życie</v>
      </c>
      <c r="H4253" t="str">
        <f>_xlfn.XLOOKUP(transakcje[[#This Row],[kategoria]],parametr[kategoria],parametr[typ])</f>
        <v>wydatki</v>
      </c>
      <c r="I4253" s="1">
        <f>ABS(transakcje[[#This Row],[kwota]])</f>
        <v>14.662000000000001</v>
      </c>
    </row>
    <row r="4254" spans="1:9" x14ac:dyDescent="0.3">
      <c r="A4254">
        <v>4253</v>
      </c>
      <c r="B4254">
        <v>2023</v>
      </c>
      <c r="C4254">
        <v>7</v>
      </c>
      <c r="D4254">
        <v>7</v>
      </c>
      <c r="E4254" s="1">
        <v>-1.4</v>
      </c>
      <c r="F4254" t="s">
        <v>26</v>
      </c>
      <c r="G4254" t="str">
        <f>_xlfn.XLOOKUP(transakcje[[#This Row],[podkategoria]],parametr[podkategoria],parametr[kategoria])</f>
        <v>życie</v>
      </c>
      <c r="H4254" t="str">
        <f>_xlfn.XLOOKUP(transakcje[[#This Row],[kategoria]],parametr[kategoria],parametr[typ])</f>
        <v>wydatki</v>
      </c>
      <c r="I4254" s="1">
        <f>ABS(transakcje[[#This Row],[kwota]])</f>
        <v>1.4</v>
      </c>
    </row>
    <row r="4255" spans="1:9" x14ac:dyDescent="0.3">
      <c r="A4255">
        <v>4254</v>
      </c>
      <c r="B4255">
        <v>2023</v>
      </c>
      <c r="C4255">
        <v>7</v>
      </c>
      <c r="D4255">
        <v>10</v>
      </c>
      <c r="E4255" s="1">
        <v>-0.48600000000000004</v>
      </c>
      <c r="F4255" t="s">
        <v>26</v>
      </c>
      <c r="G4255" t="str">
        <f>_xlfn.XLOOKUP(transakcje[[#This Row],[podkategoria]],parametr[podkategoria],parametr[kategoria])</f>
        <v>życie</v>
      </c>
      <c r="H4255" t="str">
        <f>_xlfn.XLOOKUP(transakcje[[#This Row],[kategoria]],parametr[kategoria],parametr[typ])</f>
        <v>wydatki</v>
      </c>
      <c r="I4255" s="1">
        <f>ABS(transakcje[[#This Row],[kwota]])</f>
        <v>0.48600000000000004</v>
      </c>
    </row>
    <row r="4256" spans="1:9" x14ac:dyDescent="0.3">
      <c r="A4256">
        <v>4255</v>
      </c>
      <c r="B4256">
        <v>2023</v>
      </c>
      <c r="C4256">
        <v>7</v>
      </c>
      <c r="D4256">
        <v>11</v>
      </c>
      <c r="E4256" s="1">
        <v>-6</v>
      </c>
      <c r="F4256" t="s">
        <v>26</v>
      </c>
      <c r="G4256" t="str">
        <f>_xlfn.XLOOKUP(transakcje[[#This Row],[podkategoria]],parametr[podkategoria],parametr[kategoria])</f>
        <v>życie</v>
      </c>
      <c r="H4256" t="str">
        <f>_xlfn.XLOOKUP(transakcje[[#This Row],[kategoria]],parametr[kategoria],parametr[typ])</f>
        <v>wydatki</v>
      </c>
      <c r="I4256" s="1">
        <f>ABS(transakcje[[#This Row],[kwota]])</f>
        <v>6</v>
      </c>
    </row>
    <row r="4257" spans="1:9" x14ac:dyDescent="0.3">
      <c r="A4257">
        <v>4256</v>
      </c>
      <c r="B4257">
        <v>2023</v>
      </c>
      <c r="C4257">
        <v>7</v>
      </c>
      <c r="D4257">
        <v>13</v>
      </c>
      <c r="E4257" s="1">
        <v>-1.94</v>
      </c>
      <c r="F4257" t="s">
        <v>26</v>
      </c>
      <c r="G4257" t="str">
        <f>_xlfn.XLOOKUP(transakcje[[#This Row],[podkategoria]],parametr[podkategoria],parametr[kategoria])</f>
        <v>życie</v>
      </c>
      <c r="H4257" t="str">
        <f>_xlfn.XLOOKUP(transakcje[[#This Row],[kategoria]],parametr[kategoria],parametr[typ])</f>
        <v>wydatki</v>
      </c>
      <c r="I4257" s="1">
        <f>ABS(transakcje[[#This Row],[kwota]])</f>
        <v>1.94</v>
      </c>
    </row>
    <row r="4258" spans="1:9" x14ac:dyDescent="0.3">
      <c r="A4258">
        <v>4257</v>
      </c>
      <c r="B4258">
        <v>2023</v>
      </c>
      <c r="C4258">
        <v>7</v>
      </c>
      <c r="D4258">
        <v>13</v>
      </c>
      <c r="E4258" s="1">
        <v>-11.248000000000001</v>
      </c>
      <c r="F4258" t="s">
        <v>26</v>
      </c>
      <c r="G4258" t="str">
        <f>_xlfn.XLOOKUP(transakcje[[#This Row],[podkategoria]],parametr[podkategoria],parametr[kategoria])</f>
        <v>życie</v>
      </c>
      <c r="H4258" t="str">
        <f>_xlfn.XLOOKUP(transakcje[[#This Row],[kategoria]],parametr[kategoria],parametr[typ])</f>
        <v>wydatki</v>
      </c>
      <c r="I4258" s="1">
        <f>ABS(transakcje[[#This Row],[kwota]])</f>
        <v>11.248000000000001</v>
      </c>
    </row>
    <row r="4259" spans="1:9" x14ac:dyDescent="0.3">
      <c r="A4259">
        <v>4258</v>
      </c>
      <c r="B4259">
        <v>2023</v>
      </c>
      <c r="C4259">
        <v>7</v>
      </c>
      <c r="D4259">
        <v>14</v>
      </c>
      <c r="E4259" s="1">
        <v>-5.9359999999999999</v>
      </c>
      <c r="F4259" t="s">
        <v>26</v>
      </c>
      <c r="G4259" t="str">
        <f>_xlfn.XLOOKUP(transakcje[[#This Row],[podkategoria]],parametr[podkategoria],parametr[kategoria])</f>
        <v>życie</v>
      </c>
      <c r="H4259" t="str">
        <f>_xlfn.XLOOKUP(transakcje[[#This Row],[kategoria]],parametr[kategoria],parametr[typ])</f>
        <v>wydatki</v>
      </c>
      <c r="I4259" s="1">
        <f>ABS(transakcje[[#This Row],[kwota]])</f>
        <v>5.9359999999999999</v>
      </c>
    </row>
    <row r="4260" spans="1:9" x14ac:dyDescent="0.3">
      <c r="A4260">
        <v>4259</v>
      </c>
      <c r="B4260">
        <v>2023</v>
      </c>
      <c r="C4260">
        <v>7</v>
      </c>
      <c r="D4260">
        <v>14</v>
      </c>
      <c r="E4260" s="1">
        <v>-7.9</v>
      </c>
      <c r="F4260" t="s">
        <v>26</v>
      </c>
      <c r="G4260" t="str">
        <f>_xlfn.XLOOKUP(transakcje[[#This Row],[podkategoria]],parametr[podkategoria],parametr[kategoria])</f>
        <v>życie</v>
      </c>
      <c r="H4260" t="str">
        <f>_xlfn.XLOOKUP(transakcje[[#This Row],[kategoria]],parametr[kategoria],parametr[typ])</f>
        <v>wydatki</v>
      </c>
      <c r="I4260" s="1">
        <f>ABS(transakcje[[#This Row],[kwota]])</f>
        <v>7.9</v>
      </c>
    </row>
    <row r="4261" spans="1:9" x14ac:dyDescent="0.3">
      <c r="A4261">
        <v>4260</v>
      </c>
      <c r="B4261">
        <v>2023</v>
      </c>
      <c r="C4261">
        <v>7</v>
      </c>
      <c r="D4261">
        <v>14</v>
      </c>
      <c r="E4261" s="1">
        <v>248.96799999999999</v>
      </c>
      <c r="F4261" t="s">
        <v>19</v>
      </c>
      <c r="G4261" t="str">
        <f>_xlfn.XLOOKUP(transakcje[[#This Row],[podkategoria]],parametr[podkategoria],parametr[kategoria])</f>
        <v>dochody z pracy</v>
      </c>
      <c r="H4261" t="str">
        <f>_xlfn.XLOOKUP(transakcje[[#This Row],[kategoria]],parametr[kategoria],parametr[typ])</f>
        <v>dochody</v>
      </c>
      <c r="I4261" s="1">
        <f>ABS(transakcje[[#This Row],[kwota]])</f>
        <v>248.96799999999999</v>
      </c>
    </row>
    <row r="4262" spans="1:9" x14ac:dyDescent="0.3">
      <c r="A4262">
        <v>4261</v>
      </c>
      <c r="B4262">
        <v>2023</v>
      </c>
      <c r="C4262">
        <v>7</v>
      </c>
      <c r="D4262">
        <v>18</v>
      </c>
      <c r="E4262" s="1">
        <v>-0.97</v>
      </c>
      <c r="F4262" t="s">
        <v>26</v>
      </c>
      <c r="G4262" t="str">
        <f>_xlfn.XLOOKUP(transakcje[[#This Row],[podkategoria]],parametr[podkategoria],parametr[kategoria])</f>
        <v>życie</v>
      </c>
      <c r="H4262" t="str">
        <f>_xlfn.XLOOKUP(transakcje[[#This Row],[kategoria]],parametr[kategoria],parametr[typ])</f>
        <v>wydatki</v>
      </c>
      <c r="I4262" s="1">
        <f>ABS(transakcje[[#This Row],[kwota]])</f>
        <v>0.97</v>
      </c>
    </row>
    <row r="4263" spans="1:9" x14ac:dyDescent="0.3">
      <c r="A4263">
        <v>4262</v>
      </c>
      <c r="B4263">
        <v>2023</v>
      </c>
      <c r="C4263">
        <v>7</v>
      </c>
      <c r="D4263">
        <v>18</v>
      </c>
      <c r="E4263" s="1">
        <v>-0.2</v>
      </c>
      <c r="F4263" t="s">
        <v>14</v>
      </c>
      <c r="G4263" t="str">
        <f>_xlfn.XLOOKUP(transakcje[[#This Row],[podkategoria]],parametr[podkategoria],parametr[kategoria])</f>
        <v>opłaty stałe</v>
      </c>
      <c r="H4263" t="str">
        <f>_xlfn.XLOOKUP(transakcje[[#This Row],[kategoria]],parametr[kategoria],parametr[typ])</f>
        <v>wydatki</v>
      </c>
      <c r="I4263" s="1">
        <f>ABS(transakcje[[#This Row],[kwota]])</f>
        <v>0.2</v>
      </c>
    </row>
    <row r="4264" spans="1:9" x14ac:dyDescent="0.3">
      <c r="A4264">
        <v>4263</v>
      </c>
      <c r="B4264">
        <v>2023</v>
      </c>
      <c r="C4264">
        <v>7</v>
      </c>
      <c r="D4264">
        <v>19</v>
      </c>
      <c r="E4264" s="1">
        <v>-23.869999999999997</v>
      </c>
      <c r="F4264" t="s">
        <v>26</v>
      </c>
      <c r="G4264" t="str">
        <f>_xlfn.XLOOKUP(transakcje[[#This Row],[podkategoria]],parametr[podkategoria],parametr[kategoria])</f>
        <v>życie</v>
      </c>
      <c r="H4264" t="str">
        <f>_xlfn.XLOOKUP(transakcje[[#This Row],[kategoria]],parametr[kategoria],parametr[typ])</f>
        <v>wydatki</v>
      </c>
      <c r="I4264" s="1">
        <f>ABS(transakcje[[#This Row],[kwota]])</f>
        <v>23.869999999999997</v>
      </c>
    </row>
    <row r="4265" spans="1:9" x14ac:dyDescent="0.3">
      <c r="A4265">
        <v>4264</v>
      </c>
      <c r="B4265">
        <v>2023</v>
      </c>
      <c r="C4265">
        <v>7</v>
      </c>
      <c r="D4265">
        <v>19</v>
      </c>
      <c r="E4265" s="1">
        <v>-3.55</v>
      </c>
      <c r="F4265" t="s">
        <v>26</v>
      </c>
      <c r="G4265" t="str">
        <f>_xlfn.XLOOKUP(transakcje[[#This Row],[podkategoria]],parametr[podkategoria],parametr[kategoria])</f>
        <v>życie</v>
      </c>
      <c r="H4265" t="str">
        <f>_xlfn.XLOOKUP(transakcje[[#This Row],[kategoria]],parametr[kategoria],parametr[typ])</f>
        <v>wydatki</v>
      </c>
      <c r="I4265" s="1">
        <f>ABS(transakcje[[#This Row],[kwota]])</f>
        <v>3.55</v>
      </c>
    </row>
    <row r="4266" spans="1:9" x14ac:dyDescent="0.3">
      <c r="A4266">
        <v>4265</v>
      </c>
      <c r="B4266">
        <v>2023</v>
      </c>
      <c r="C4266">
        <v>7</v>
      </c>
      <c r="D4266">
        <v>20</v>
      </c>
      <c r="E4266" s="1">
        <v>-10.168000000000001</v>
      </c>
      <c r="F4266" t="s">
        <v>26</v>
      </c>
      <c r="G4266" t="str">
        <f>_xlfn.XLOOKUP(transakcje[[#This Row],[podkategoria]],parametr[podkategoria],parametr[kategoria])</f>
        <v>życie</v>
      </c>
      <c r="H4266" t="str">
        <f>_xlfn.XLOOKUP(transakcje[[#This Row],[kategoria]],parametr[kategoria],parametr[typ])</f>
        <v>wydatki</v>
      </c>
      <c r="I4266" s="1">
        <f>ABS(transakcje[[#This Row],[kwota]])</f>
        <v>10.168000000000001</v>
      </c>
    </row>
    <row r="4267" spans="1:9" x14ac:dyDescent="0.3">
      <c r="A4267">
        <v>4266</v>
      </c>
      <c r="B4267">
        <v>2023</v>
      </c>
      <c r="C4267">
        <v>7</v>
      </c>
      <c r="D4267">
        <v>21</v>
      </c>
      <c r="E4267" s="1">
        <v>-9.5</v>
      </c>
      <c r="F4267" t="s">
        <v>26</v>
      </c>
      <c r="G4267" t="str">
        <f>_xlfn.XLOOKUP(transakcje[[#This Row],[podkategoria]],parametr[podkategoria],parametr[kategoria])</f>
        <v>życie</v>
      </c>
      <c r="H4267" t="str">
        <f>_xlfn.XLOOKUP(transakcje[[#This Row],[kategoria]],parametr[kategoria],parametr[typ])</f>
        <v>wydatki</v>
      </c>
      <c r="I4267" s="1">
        <f>ABS(transakcje[[#This Row],[kwota]])</f>
        <v>9.5</v>
      </c>
    </row>
    <row r="4268" spans="1:9" x14ac:dyDescent="0.3">
      <c r="A4268">
        <v>4267</v>
      </c>
      <c r="B4268">
        <v>2023</v>
      </c>
      <c r="C4268">
        <v>7</v>
      </c>
      <c r="D4268">
        <v>21</v>
      </c>
      <c r="E4268" s="1">
        <v>-7.4599999999999991</v>
      </c>
      <c r="F4268" t="s">
        <v>26</v>
      </c>
      <c r="G4268" t="str">
        <f>_xlfn.XLOOKUP(transakcje[[#This Row],[podkategoria]],parametr[podkategoria],parametr[kategoria])</f>
        <v>życie</v>
      </c>
      <c r="H4268" t="str">
        <f>_xlfn.XLOOKUP(transakcje[[#This Row],[kategoria]],parametr[kategoria],parametr[typ])</f>
        <v>wydatki</v>
      </c>
      <c r="I4268" s="1">
        <f>ABS(transakcje[[#This Row],[kwota]])</f>
        <v>7.4599999999999991</v>
      </c>
    </row>
    <row r="4269" spans="1:9" x14ac:dyDescent="0.3">
      <c r="A4269">
        <v>4268</v>
      </c>
      <c r="B4269">
        <v>2023</v>
      </c>
      <c r="C4269">
        <v>7</v>
      </c>
      <c r="D4269">
        <v>23</v>
      </c>
      <c r="E4269" s="1">
        <v>-24.48</v>
      </c>
      <c r="F4269" t="s">
        <v>32</v>
      </c>
      <c r="G4269" t="str">
        <f>_xlfn.XLOOKUP(transakcje[[#This Row],[podkategoria]],parametr[podkategoria],parametr[kategoria])</f>
        <v>opłaty stałe</v>
      </c>
      <c r="H4269" t="str">
        <f>_xlfn.XLOOKUP(transakcje[[#This Row],[kategoria]],parametr[kategoria],parametr[typ])</f>
        <v>wydatki</v>
      </c>
      <c r="I4269" s="1">
        <f>ABS(transakcje[[#This Row],[kwota]])</f>
        <v>24.48</v>
      </c>
    </row>
    <row r="4270" spans="1:9" x14ac:dyDescent="0.3">
      <c r="A4270">
        <v>4269</v>
      </c>
      <c r="B4270">
        <v>2023</v>
      </c>
      <c r="C4270">
        <v>7</v>
      </c>
      <c r="D4270">
        <v>24</v>
      </c>
      <c r="E4270" s="1">
        <v>-0.97</v>
      </c>
      <c r="F4270" t="s">
        <v>26</v>
      </c>
      <c r="G4270" t="str">
        <f>_xlfn.XLOOKUP(transakcje[[#This Row],[podkategoria]],parametr[podkategoria],parametr[kategoria])</f>
        <v>życie</v>
      </c>
      <c r="H4270" t="str">
        <f>_xlfn.XLOOKUP(transakcje[[#This Row],[kategoria]],parametr[kategoria],parametr[typ])</f>
        <v>wydatki</v>
      </c>
      <c r="I4270" s="1">
        <f>ABS(transakcje[[#This Row],[kwota]])</f>
        <v>0.97</v>
      </c>
    </row>
    <row r="4271" spans="1:9" x14ac:dyDescent="0.3">
      <c r="A4271">
        <v>4270</v>
      </c>
      <c r="B4271">
        <v>2023</v>
      </c>
      <c r="C4271">
        <v>7</v>
      </c>
      <c r="D4271">
        <v>26</v>
      </c>
      <c r="E4271" s="1">
        <v>1057.6379999999999</v>
      </c>
      <c r="F4271" t="s">
        <v>8</v>
      </c>
      <c r="G4271" t="str">
        <f>_xlfn.XLOOKUP(transakcje[[#This Row],[podkategoria]],parametr[podkategoria],parametr[kategoria])</f>
        <v>dochody z pracy</v>
      </c>
      <c r="H4271" t="str">
        <f>_xlfn.XLOOKUP(transakcje[[#This Row],[kategoria]],parametr[kategoria],parametr[typ])</f>
        <v>dochody</v>
      </c>
      <c r="I4271" s="1">
        <f>ABS(transakcje[[#This Row],[kwota]])</f>
        <v>1057.6379999999999</v>
      </c>
    </row>
    <row r="4272" spans="1:9" x14ac:dyDescent="0.3">
      <c r="A4272">
        <v>4271</v>
      </c>
      <c r="B4272">
        <v>2023</v>
      </c>
      <c r="C4272">
        <v>7</v>
      </c>
      <c r="D4272">
        <v>27</v>
      </c>
      <c r="E4272" s="1">
        <v>-6.3259999999999996</v>
      </c>
      <c r="F4272" t="s">
        <v>26</v>
      </c>
      <c r="G4272" t="str">
        <f>_xlfn.XLOOKUP(transakcje[[#This Row],[podkategoria]],parametr[podkategoria],parametr[kategoria])</f>
        <v>życie</v>
      </c>
      <c r="H4272" t="str">
        <f>_xlfn.XLOOKUP(transakcje[[#This Row],[kategoria]],parametr[kategoria],parametr[typ])</f>
        <v>wydatki</v>
      </c>
      <c r="I4272" s="1">
        <f>ABS(transakcje[[#This Row],[kwota]])</f>
        <v>6.3259999999999996</v>
      </c>
    </row>
    <row r="4273" spans="1:9" x14ac:dyDescent="0.3">
      <c r="A4273">
        <v>4272</v>
      </c>
      <c r="B4273">
        <v>2023</v>
      </c>
      <c r="C4273">
        <v>7</v>
      </c>
      <c r="D4273">
        <v>27</v>
      </c>
      <c r="E4273" s="1">
        <v>-0.97</v>
      </c>
      <c r="F4273" t="s">
        <v>26</v>
      </c>
      <c r="G4273" t="str">
        <f>_xlfn.XLOOKUP(transakcje[[#This Row],[podkategoria]],parametr[podkategoria],parametr[kategoria])</f>
        <v>życie</v>
      </c>
      <c r="H4273" t="str">
        <f>_xlfn.XLOOKUP(transakcje[[#This Row],[kategoria]],parametr[kategoria],parametr[typ])</f>
        <v>wydatki</v>
      </c>
      <c r="I4273" s="1">
        <f>ABS(transakcje[[#This Row],[kwota]])</f>
        <v>0.97</v>
      </c>
    </row>
    <row r="4274" spans="1:9" x14ac:dyDescent="0.3">
      <c r="A4274">
        <v>4273</v>
      </c>
      <c r="B4274">
        <v>2023</v>
      </c>
      <c r="C4274">
        <v>7</v>
      </c>
      <c r="D4274">
        <v>27</v>
      </c>
      <c r="E4274" s="1">
        <v>-18.802</v>
      </c>
      <c r="F4274" t="s">
        <v>26</v>
      </c>
      <c r="G4274" t="str">
        <f>_xlfn.XLOOKUP(transakcje[[#This Row],[podkategoria]],parametr[podkategoria],parametr[kategoria])</f>
        <v>życie</v>
      </c>
      <c r="H4274" t="str">
        <f>_xlfn.XLOOKUP(transakcje[[#This Row],[kategoria]],parametr[kategoria],parametr[typ])</f>
        <v>wydatki</v>
      </c>
      <c r="I4274" s="1">
        <f>ABS(transakcje[[#This Row],[kwota]])</f>
        <v>18.802</v>
      </c>
    </row>
    <row r="4275" spans="1:9" x14ac:dyDescent="0.3">
      <c r="A4275">
        <v>4274</v>
      </c>
      <c r="B4275">
        <v>2023</v>
      </c>
      <c r="C4275">
        <v>7</v>
      </c>
      <c r="D4275">
        <v>28</v>
      </c>
      <c r="E4275" s="1">
        <v>-2.62</v>
      </c>
      <c r="F4275" t="s">
        <v>26</v>
      </c>
      <c r="G4275" t="str">
        <f>_xlfn.XLOOKUP(transakcje[[#This Row],[podkategoria]],parametr[podkategoria],parametr[kategoria])</f>
        <v>życie</v>
      </c>
      <c r="H4275" t="str">
        <f>_xlfn.XLOOKUP(transakcje[[#This Row],[kategoria]],parametr[kategoria],parametr[typ])</f>
        <v>wydatki</v>
      </c>
      <c r="I4275" s="1">
        <f>ABS(transakcje[[#This Row],[kwota]])</f>
        <v>2.62</v>
      </c>
    </row>
    <row r="4276" spans="1:9" x14ac:dyDescent="0.3">
      <c r="A4276">
        <v>4275</v>
      </c>
      <c r="B4276">
        <v>2023</v>
      </c>
      <c r="C4276">
        <v>8</v>
      </c>
      <c r="D4276">
        <v>1</v>
      </c>
      <c r="E4276" s="1">
        <v>-7.38</v>
      </c>
      <c r="F4276" t="s">
        <v>23</v>
      </c>
      <c r="G4276" t="str">
        <f>_xlfn.XLOOKUP(transakcje[[#This Row],[podkategoria]],parametr[podkategoria],parametr[kategoria])</f>
        <v>opłaty stałe</v>
      </c>
      <c r="H4276" t="str">
        <f>_xlfn.XLOOKUP(transakcje[[#This Row],[kategoria]],parametr[kategoria],parametr[typ])</f>
        <v>wydatki</v>
      </c>
      <c r="I4276" s="1">
        <f>ABS(transakcje[[#This Row],[kwota]])</f>
        <v>7.38</v>
      </c>
    </row>
    <row r="4277" spans="1:9" x14ac:dyDescent="0.3">
      <c r="A4277">
        <v>4276</v>
      </c>
      <c r="B4277">
        <v>2023</v>
      </c>
      <c r="C4277">
        <v>8</v>
      </c>
      <c r="D4277">
        <v>1</v>
      </c>
      <c r="E4277" s="1">
        <v>-5.8</v>
      </c>
      <c r="F4277" t="s">
        <v>25</v>
      </c>
      <c r="G4277" t="str">
        <f>_xlfn.XLOOKUP(transakcje[[#This Row],[podkategoria]],parametr[podkategoria],parametr[kategoria])</f>
        <v>opłaty stałe</v>
      </c>
      <c r="H4277" t="str">
        <f>_xlfn.XLOOKUP(transakcje[[#This Row],[kategoria]],parametr[kategoria],parametr[typ])</f>
        <v>wydatki</v>
      </c>
      <c r="I4277" s="1">
        <f>ABS(transakcje[[#This Row],[kwota]])</f>
        <v>5.8</v>
      </c>
    </row>
    <row r="4278" spans="1:9" x14ac:dyDescent="0.3">
      <c r="A4278">
        <v>4277</v>
      </c>
      <c r="B4278">
        <v>2023</v>
      </c>
      <c r="C4278">
        <v>8</v>
      </c>
      <c r="D4278">
        <v>1</v>
      </c>
      <c r="E4278" s="1">
        <v>-5.798</v>
      </c>
      <c r="F4278" t="s">
        <v>11</v>
      </c>
      <c r="G4278" t="str">
        <f>_xlfn.XLOOKUP(transakcje[[#This Row],[podkategoria]],parametr[podkategoria],parametr[kategoria])</f>
        <v>wydatki inne</v>
      </c>
      <c r="H4278" t="str">
        <f>_xlfn.XLOOKUP(transakcje[[#This Row],[kategoria]],parametr[kategoria],parametr[typ])</f>
        <v>wydatki</v>
      </c>
      <c r="I4278" s="1">
        <f>ABS(transakcje[[#This Row],[kwota]])</f>
        <v>5.798</v>
      </c>
    </row>
    <row r="4279" spans="1:9" x14ac:dyDescent="0.3">
      <c r="A4279">
        <v>4278</v>
      </c>
      <c r="B4279">
        <v>2023</v>
      </c>
      <c r="C4279">
        <v>8</v>
      </c>
      <c r="D4279">
        <v>1</v>
      </c>
      <c r="E4279" s="1">
        <v>-9.9980000000000011</v>
      </c>
      <c r="F4279" t="s">
        <v>11</v>
      </c>
      <c r="G4279" t="str">
        <f>_xlfn.XLOOKUP(transakcje[[#This Row],[podkategoria]],parametr[podkategoria],parametr[kategoria])</f>
        <v>wydatki inne</v>
      </c>
      <c r="H4279" t="str">
        <f>_xlfn.XLOOKUP(transakcje[[#This Row],[kategoria]],parametr[kategoria],parametr[typ])</f>
        <v>wydatki</v>
      </c>
      <c r="I4279" s="1">
        <f>ABS(transakcje[[#This Row],[kwota]])</f>
        <v>9.9980000000000011</v>
      </c>
    </row>
    <row r="4280" spans="1:9" x14ac:dyDescent="0.3">
      <c r="A4280">
        <v>4279</v>
      </c>
      <c r="B4280">
        <v>2023</v>
      </c>
      <c r="C4280">
        <v>8</v>
      </c>
      <c r="D4280">
        <v>1</v>
      </c>
      <c r="E4280" s="1">
        <v>-104.06800000000001</v>
      </c>
      <c r="F4280" t="s">
        <v>31</v>
      </c>
      <c r="G4280" t="str">
        <f>_xlfn.XLOOKUP(transakcje[[#This Row],[podkategoria]],parametr[podkategoria],parametr[kategoria])</f>
        <v>opłaty stałe</v>
      </c>
      <c r="H4280" t="str">
        <f>_xlfn.XLOOKUP(transakcje[[#This Row],[kategoria]],parametr[kategoria],parametr[typ])</f>
        <v>wydatki</v>
      </c>
      <c r="I4280" s="1">
        <f>ABS(transakcje[[#This Row],[kwota]])</f>
        <v>104.06800000000001</v>
      </c>
    </row>
    <row r="4281" spans="1:9" x14ac:dyDescent="0.3">
      <c r="A4281">
        <v>4280</v>
      </c>
      <c r="B4281">
        <v>2023</v>
      </c>
      <c r="C4281">
        <v>7</v>
      </c>
      <c r="D4281">
        <v>31</v>
      </c>
      <c r="E4281" s="1">
        <v>-1.4</v>
      </c>
      <c r="F4281" t="s">
        <v>14</v>
      </c>
      <c r="G4281" t="str">
        <f>_xlfn.XLOOKUP(transakcje[[#This Row],[podkategoria]],parametr[podkategoria],parametr[kategoria])</f>
        <v>opłaty stałe</v>
      </c>
      <c r="H4281" t="str">
        <f>_xlfn.XLOOKUP(transakcje[[#This Row],[kategoria]],parametr[kategoria],parametr[typ])</f>
        <v>wydatki</v>
      </c>
      <c r="I4281" s="1">
        <f>ABS(transakcje[[#This Row],[kwota]])</f>
        <v>1.4</v>
      </c>
    </row>
    <row r="4282" spans="1:9" x14ac:dyDescent="0.3">
      <c r="A4282">
        <v>4281</v>
      </c>
      <c r="B4282">
        <v>2023</v>
      </c>
      <c r="C4282">
        <v>7</v>
      </c>
      <c r="D4282">
        <v>31</v>
      </c>
      <c r="E4282" s="1">
        <v>4.0000000000000001E-3</v>
      </c>
      <c r="F4282" t="s">
        <v>17</v>
      </c>
      <c r="G4282" t="str">
        <f>_xlfn.XLOOKUP(transakcje[[#This Row],[podkategoria]],parametr[podkategoria],parametr[kategoria])</f>
        <v>dochody pozostałe</v>
      </c>
      <c r="H4282" t="str">
        <f>_xlfn.XLOOKUP(transakcje[[#This Row],[kategoria]],parametr[kategoria],parametr[typ])</f>
        <v>dochody</v>
      </c>
      <c r="I4282" s="1">
        <f>ABS(transakcje[[#This Row],[kwota]])</f>
        <v>4.0000000000000001E-3</v>
      </c>
    </row>
    <row r="4283" spans="1:9" x14ac:dyDescent="0.3">
      <c r="A4283">
        <v>4282</v>
      </c>
      <c r="B4283">
        <v>2023</v>
      </c>
      <c r="C4283">
        <v>7</v>
      </c>
      <c r="D4283">
        <v>31</v>
      </c>
      <c r="E4283" s="1">
        <v>-2E-3</v>
      </c>
      <c r="F4283" t="s">
        <v>14</v>
      </c>
      <c r="G4283" t="str">
        <f>_xlfn.XLOOKUP(transakcje[[#This Row],[podkategoria]],parametr[podkategoria],parametr[kategoria])</f>
        <v>opłaty stałe</v>
      </c>
      <c r="H4283" t="str">
        <f>_xlfn.XLOOKUP(transakcje[[#This Row],[kategoria]],parametr[kategoria],parametr[typ])</f>
        <v>wydatki</v>
      </c>
      <c r="I4283" s="1">
        <f>ABS(transakcje[[#This Row],[kwota]])</f>
        <v>2E-3</v>
      </c>
    </row>
    <row r="4284" spans="1:9" x14ac:dyDescent="0.3">
      <c r="A4284">
        <v>4283</v>
      </c>
      <c r="B4284">
        <v>2023</v>
      </c>
      <c r="C4284">
        <v>8</v>
      </c>
      <c r="D4284">
        <v>1</v>
      </c>
      <c r="E4284" s="1">
        <v>-4.38</v>
      </c>
      <c r="F4284" t="s">
        <v>26</v>
      </c>
      <c r="G4284" t="str">
        <f>_xlfn.XLOOKUP(transakcje[[#This Row],[podkategoria]],parametr[podkategoria],parametr[kategoria])</f>
        <v>życie</v>
      </c>
      <c r="H4284" t="str">
        <f>_xlfn.XLOOKUP(transakcje[[#This Row],[kategoria]],parametr[kategoria],parametr[typ])</f>
        <v>wydatki</v>
      </c>
      <c r="I4284" s="1">
        <f>ABS(transakcje[[#This Row],[kwota]])</f>
        <v>4.38</v>
      </c>
    </row>
    <row r="4285" spans="1:9" x14ac:dyDescent="0.3">
      <c r="A4285">
        <v>4284</v>
      </c>
      <c r="B4285">
        <v>2023</v>
      </c>
      <c r="C4285">
        <v>8</v>
      </c>
      <c r="D4285">
        <v>1</v>
      </c>
      <c r="E4285" s="1">
        <v>-2.4140000000000001</v>
      </c>
      <c r="F4285" t="s">
        <v>26</v>
      </c>
      <c r="G4285" t="str">
        <f>_xlfn.XLOOKUP(transakcje[[#This Row],[podkategoria]],parametr[podkategoria],parametr[kategoria])</f>
        <v>życie</v>
      </c>
      <c r="H4285" t="str">
        <f>_xlfn.XLOOKUP(transakcje[[#This Row],[kategoria]],parametr[kategoria],parametr[typ])</f>
        <v>wydatki</v>
      </c>
      <c r="I4285" s="1">
        <f>ABS(transakcje[[#This Row],[kwota]])</f>
        <v>2.4140000000000001</v>
      </c>
    </row>
    <row r="4286" spans="1:9" x14ac:dyDescent="0.3">
      <c r="A4286">
        <v>4285</v>
      </c>
      <c r="B4286">
        <v>2023</v>
      </c>
      <c r="C4286">
        <v>8</v>
      </c>
      <c r="D4286">
        <v>2</v>
      </c>
      <c r="E4286" s="1">
        <v>-23.192</v>
      </c>
      <c r="F4286" t="s">
        <v>26</v>
      </c>
      <c r="G4286" t="str">
        <f>_xlfn.XLOOKUP(transakcje[[#This Row],[podkategoria]],parametr[podkategoria],parametr[kategoria])</f>
        <v>życie</v>
      </c>
      <c r="H4286" t="str">
        <f>_xlfn.XLOOKUP(transakcje[[#This Row],[kategoria]],parametr[kategoria],parametr[typ])</f>
        <v>wydatki</v>
      </c>
      <c r="I4286" s="1">
        <f>ABS(transakcje[[#This Row],[kwota]])</f>
        <v>23.192</v>
      </c>
    </row>
    <row r="4287" spans="1:9" x14ac:dyDescent="0.3">
      <c r="A4287">
        <v>4286</v>
      </c>
      <c r="B4287">
        <v>2023</v>
      </c>
      <c r="C4287">
        <v>8</v>
      </c>
      <c r="D4287">
        <v>3</v>
      </c>
      <c r="E4287" s="1">
        <v>-0.97</v>
      </c>
      <c r="F4287" t="s">
        <v>26</v>
      </c>
      <c r="G4287" t="str">
        <f>_xlfn.XLOOKUP(transakcje[[#This Row],[podkategoria]],parametr[podkategoria],parametr[kategoria])</f>
        <v>życie</v>
      </c>
      <c r="H4287" t="str">
        <f>_xlfn.XLOOKUP(transakcje[[#This Row],[kategoria]],parametr[kategoria],parametr[typ])</f>
        <v>wydatki</v>
      </c>
      <c r="I4287" s="1">
        <f>ABS(transakcje[[#This Row],[kwota]])</f>
        <v>0.97</v>
      </c>
    </row>
    <row r="4288" spans="1:9" x14ac:dyDescent="0.3">
      <c r="A4288">
        <v>4287</v>
      </c>
      <c r="B4288">
        <v>2023</v>
      </c>
      <c r="C4288">
        <v>8</v>
      </c>
      <c r="D4288">
        <v>4</v>
      </c>
      <c r="E4288" s="1">
        <v>-11.687999999999999</v>
      </c>
      <c r="F4288" t="s">
        <v>26</v>
      </c>
      <c r="G4288" t="str">
        <f>_xlfn.XLOOKUP(transakcje[[#This Row],[podkategoria]],parametr[podkategoria],parametr[kategoria])</f>
        <v>życie</v>
      </c>
      <c r="H4288" t="str">
        <f>_xlfn.XLOOKUP(transakcje[[#This Row],[kategoria]],parametr[kategoria],parametr[typ])</f>
        <v>wydatki</v>
      </c>
      <c r="I4288" s="1">
        <f>ABS(transakcje[[#This Row],[kwota]])</f>
        <v>11.687999999999999</v>
      </c>
    </row>
    <row r="4289" spans="1:9" x14ac:dyDescent="0.3">
      <c r="A4289">
        <v>4288</v>
      </c>
      <c r="B4289">
        <v>2023</v>
      </c>
      <c r="C4289">
        <v>8</v>
      </c>
      <c r="D4289">
        <v>8</v>
      </c>
      <c r="E4289" s="1">
        <v>-0.97</v>
      </c>
      <c r="F4289" t="s">
        <v>26</v>
      </c>
      <c r="G4289" t="str">
        <f>_xlfn.XLOOKUP(transakcje[[#This Row],[podkategoria]],parametr[podkategoria],parametr[kategoria])</f>
        <v>życie</v>
      </c>
      <c r="H4289" t="str">
        <f>_xlfn.XLOOKUP(transakcje[[#This Row],[kategoria]],parametr[kategoria],parametr[typ])</f>
        <v>wydatki</v>
      </c>
      <c r="I4289" s="1">
        <f>ABS(transakcje[[#This Row],[kwota]])</f>
        <v>0.97</v>
      </c>
    </row>
    <row r="4290" spans="1:9" x14ac:dyDescent="0.3">
      <c r="A4290">
        <v>4289</v>
      </c>
      <c r="B4290">
        <v>2023</v>
      </c>
      <c r="C4290">
        <v>8</v>
      </c>
      <c r="D4290">
        <v>8</v>
      </c>
      <c r="E4290" s="1">
        <v>-18.295999999999999</v>
      </c>
      <c r="F4290" t="s">
        <v>26</v>
      </c>
      <c r="G4290" t="str">
        <f>_xlfn.XLOOKUP(transakcje[[#This Row],[podkategoria]],parametr[podkategoria],parametr[kategoria])</f>
        <v>życie</v>
      </c>
      <c r="H4290" t="str">
        <f>_xlfn.XLOOKUP(transakcje[[#This Row],[kategoria]],parametr[kategoria],parametr[typ])</f>
        <v>wydatki</v>
      </c>
      <c r="I4290" s="1">
        <f>ABS(transakcje[[#This Row],[kwota]])</f>
        <v>18.295999999999999</v>
      </c>
    </row>
    <row r="4291" spans="1:9" x14ac:dyDescent="0.3">
      <c r="A4291">
        <v>4290</v>
      </c>
      <c r="B4291">
        <v>2023</v>
      </c>
      <c r="C4291">
        <v>8</v>
      </c>
      <c r="D4291">
        <v>9</v>
      </c>
      <c r="E4291" s="1">
        <v>-4.766</v>
      </c>
      <c r="F4291" t="s">
        <v>26</v>
      </c>
      <c r="G4291" t="str">
        <f>_xlfn.XLOOKUP(transakcje[[#This Row],[podkategoria]],parametr[podkategoria],parametr[kategoria])</f>
        <v>życie</v>
      </c>
      <c r="H4291" t="str">
        <f>_xlfn.XLOOKUP(transakcje[[#This Row],[kategoria]],parametr[kategoria],parametr[typ])</f>
        <v>wydatki</v>
      </c>
      <c r="I4291" s="1">
        <f>ABS(transakcje[[#This Row],[kwota]])</f>
        <v>4.766</v>
      </c>
    </row>
    <row r="4292" spans="1:9" x14ac:dyDescent="0.3">
      <c r="A4292">
        <v>4291</v>
      </c>
      <c r="B4292">
        <v>2023</v>
      </c>
      <c r="C4292">
        <v>8</v>
      </c>
      <c r="D4292">
        <v>9</v>
      </c>
      <c r="E4292" s="1">
        <v>-0.97</v>
      </c>
      <c r="F4292" t="s">
        <v>26</v>
      </c>
      <c r="G4292" t="str">
        <f>_xlfn.XLOOKUP(transakcje[[#This Row],[podkategoria]],parametr[podkategoria],parametr[kategoria])</f>
        <v>życie</v>
      </c>
      <c r="H4292" t="str">
        <f>_xlfn.XLOOKUP(transakcje[[#This Row],[kategoria]],parametr[kategoria],parametr[typ])</f>
        <v>wydatki</v>
      </c>
      <c r="I4292" s="1">
        <f>ABS(transakcje[[#This Row],[kwota]])</f>
        <v>0.97</v>
      </c>
    </row>
    <row r="4293" spans="1:9" x14ac:dyDescent="0.3">
      <c r="A4293">
        <v>4292</v>
      </c>
      <c r="B4293">
        <v>2023</v>
      </c>
      <c r="C4293">
        <v>8</v>
      </c>
      <c r="D4293">
        <v>9</v>
      </c>
      <c r="E4293" s="1">
        <v>-26.207999999999998</v>
      </c>
      <c r="F4293" t="s">
        <v>11</v>
      </c>
      <c r="G4293" t="str">
        <f>_xlfn.XLOOKUP(transakcje[[#This Row],[podkategoria]],parametr[podkategoria],parametr[kategoria])</f>
        <v>wydatki inne</v>
      </c>
      <c r="H4293" t="str">
        <f>_xlfn.XLOOKUP(transakcje[[#This Row],[kategoria]],parametr[kategoria],parametr[typ])</f>
        <v>wydatki</v>
      </c>
      <c r="I4293" s="1">
        <f>ABS(transakcje[[#This Row],[kwota]])</f>
        <v>26.207999999999998</v>
      </c>
    </row>
    <row r="4294" spans="1:9" x14ac:dyDescent="0.3">
      <c r="A4294">
        <v>4293</v>
      </c>
      <c r="B4294">
        <v>2023</v>
      </c>
      <c r="C4294">
        <v>8</v>
      </c>
      <c r="D4294">
        <v>16</v>
      </c>
      <c r="E4294" s="1">
        <v>-10.215999999999999</v>
      </c>
      <c r="F4294" t="s">
        <v>26</v>
      </c>
      <c r="G4294" t="str">
        <f>_xlfn.XLOOKUP(transakcje[[#This Row],[podkategoria]],parametr[podkategoria],parametr[kategoria])</f>
        <v>życie</v>
      </c>
      <c r="H4294" t="str">
        <f>_xlfn.XLOOKUP(transakcje[[#This Row],[kategoria]],parametr[kategoria],parametr[typ])</f>
        <v>wydatki</v>
      </c>
      <c r="I4294" s="1">
        <f>ABS(transakcje[[#This Row],[kwota]])</f>
        <v>10.215999999999999</v>
      </c>
    </row>
    <row r="4295" spans="1:9" x14ac:dyDescent="0.3">
      <c r="A4295">
        <v>4294</v>
      </c>
      <c r="B4295">
        <v>2023</v>
      </c>
      <c r="C4295">
        <v>8</v>
      </c>
      <c r="D4295">
        <v>16</v>
      </c>
      <c r="E4295" s="1">
        <v>-0.97</v>
      </c>
      <c r="F4295" t="s">
        <v>26</v>
      </c>
      <c r="G4295" t="str">
        <f>_xlfn.XLOOKUP(transakcje[[#This Row],[podkategoria]],parametr[podkategoria],parametr[kategoria])</f>
        <v>życie</v>
      </c>
      <c r="H4295" t="str">
        <f>_xlfn.XLOOKUP(transakcje[[#This Row],[kategoria]],parametr[kategoria],parametr[typ])</f>
        <v>wydatki</v>
      </c>
      <c r="I4295" s="1">
        <f>ABS(transakcje[[#This Row],[kwota]])</f>
        <v>0.97</v>
      </c>
    </row>
    <row r="4296" spans="1:9" x14ac:dyDescent="0.3">
      <c r="A4296">
        <v>4295</v>
      </c>
      <c r="B4296">
        <v>2023</v>
      </c>
      <c r="C4296">
        <v>8</v>
      </c>
      <c r="D4296">
        <v>17</v>
      </c>
      <c r="E4296" s="1">
        <v>-11.872</v>
      </c>
      <c r="F4296" t="s">
        <v>26</v>
      </c>
      <c r="G4296" t="str">
        <f>_xlfn.XLOOKUP(transakcje[[#This Row],[podkategoria]],parametr[podkategoria],parametr[kategoria])</f>
        <v>życie</v>
      </c>
      <c r="H4296" t="str">
        <f>_xlfn.XLOOKUP(transakcje[[#This Row],[kategoria]],parametr[kategoria],parametr[typ])</f>
        <v>wydatki</v>
      </c>
      <c r="I4296" s="1">
        <f>ABS(transakcje[[#This Row],[kwota]])</f>
        <v>11.872</v>
      </c>
    </row>
    <row r="4297" spans="1:9" x14ac:dyDescent="0.3">
      <c r="A4297">
        <v>4296</v>
      </c>
      <c r="B4297">
        <v>2023</v>
      </c>
      <c r="C4297">
        <v>8</v>
      </c>
      <c r="D4297">
        <v>21</v>
      </c>
      <c r="E4297" s="1">
        <v>-0.2</v>
      </c>
      <c r="F4297" t="s">
        <v>14</v>
      </c>
      <c r="G4297" t="str">
        <f>_xlfn.XLOOKUP(transakcje[[#This Row],[podkategoria]],parametr[podkategoria],parametr[kategoria])</f>
        <v>opłaty stałe</v>
      </c>
      <c r="H4297" t="str">
        <f>_xlfn.XLOOKUP(transakcje[[#This Row],[kategoria]],parametr[kategoria],parametr[typ])</f>
        <v>wydatki</v>
      </c>
      <c r="I4297" s="1">
        <f>ABS(transakcje[[#This Row],[kwota]])</f>
        <v>0.2</v>
      </c>
    </row>
    <row r="4298" spans="1:9" x14ac:dyDescent="0.3">
      <c r="A4298">
        <v>4297</v>
      </c>
      <c r="B4298">
        <v>2023</v>
      </c>
      <c r="C4298">
        <v>8</v>
      </c>
      <c r="D4298">
        <v>22</v>
      </c>
      <c r="E4298" s="1">
        <v>-11.526</v>
      </c>
      <c r="F4298" t="s">
        <v>26</v>
      </c>
      <c r="G4298" t="str">
        <f>_xlfn.XLOOKUP(transakcje[[#This Row],[podkategoria]],parametr[podkategoria],parametr[kategoria])</f>
        <v>życie</v>
      </c>
      <c r="H4298" t="str">
        <f>_xlfn.XLOOKUP(transakcje[[#This Row],[kategoria]],parametr[kategoria],parametr[typ])</f>
        <v>wydatki</v>
      </c>
      <c r="I4298" s="1">
        <f>ABS(transakcje[[#This Row],[kwota]])</f>
        <v>11.526</v>
      </c>
    </row>
    <row r="4299" spans="1:9" x14ac:dyDescent="0.3">
      <c r="A4299">
        <v>4298</v>
      </c>
      <c r="B4299">
        <v>2023</v>
      </c>
      <c r="C4299">
        <v>8</v>
      </c>
      <c r="D4299">
        <v>22</v>
      </c>
      <c r="E4299" s="1">
        <v>-1.58</v>
      </c>
      <c r="F4299" t="s">
        <v>26</v>
      </c>
      <c r="G4299" t="str">
        <f>_xlfn.XLOOKUP(transakcje[[#This Row],[podkategoria]],parametr[podkategoria],parametr[kategoria])</f>
        <v>życie</v>
      </c>
      <c r="H4299" t="str">
        <f>_xlfn.XLOOKUP(transakcje[[#This Row],[kategoria]],parametr[kategoria],parametr[typ])</f>
        <v>wydatki</v>
      </c>
      <c r="I4299" s="1">
        <f>ABS(transakcje[[#This Row],[kwota]])</f>
        <v>1.58</v>
      </c>
    </row>
    <row r="4300" spans="1:9" x14ac:dyDescent="0.3">
      <c r="A4300">
        <v>4299</v>
      </c>
      <c r="B4300">
        <v>2023</v>
      </c>
      <c r="C4300">
        <v>8</v>
      </c>
      <c r="D4300">
        <v>23</v>
      </c>
      <c r="E4300" s="1">
        <v>-5.556</v>
      </c>
      <c r="F4300" t="s">
        <v>26</v>
      </c>
      <c r="G4300" t="str">
        <f>_xlfn.XLOOKUP(transakcje[[#This Row],[podkategoria]],parametr[podkategoria],parametr[kategoria])</f>
        <v>życie</v>
      </c>
      <c r="H4300" t="str">
        <f>_xlfn.XLOOKUP(transakcje[[#This Row],[kategoria]],parametr[kategoria],parametr[typ])</f>
        <v>wydatki</v>
      </c>
      <c r="I4300" s="1">
        <f>ABS(transakcje[[#This Row],[kwota]])</f>
        <v>5.556</v>
      </c>
    </row>
    <row r="4301" spans="1:9" x14ac:dyDescent="0.3">
      <c r="A4301">
        <v>4300</v>
      </c>
      <c r="B4301">
        <v>2023</v>
      </c>
      <c r="C4301">
        <v>8</v>
      </c>
      <c r="D4301">
        <v>23</v>
      </c>
      <c r="E4301" s="1">
        <v>-0.97</v>
      </c>
      <c r="F4301" t="s">
        <v>26</v>
      </c>
      <c r="G4301" t="str">
        <f>_xlfn.XLOOKUP(transakcje[[#This Row],[podkategoria]],parametr[podkategoria],parametr[kategoria])</f>
        <v>życie</v>
      </c>
      <c r="H4301" t="str">
        <f>_xlfn.XLOOKUP(transakcje[[#This Row],[kategoria]],parametr[kategoria],parametr[typ])</f>
        <v>wydatki</v>
      </c>
      <c r="I4301" s="1">
        <f>ABS(transakcje[[#This Row],[kwota]])</f>
        <v>0.97</v>
      </c>
    </row>
    <row r="4302" spans="1:9" x14ac:dyDescent="0.3">
      <c r="A4302">
        <v>4301</v>
      </c>
      <c r="B4302">
        <v>2023</v>
      </c>
      <c r="C4302">
        <v>8</v>
      </c>
      <c r="D4302">
        <v>23</v>
      </c>
      <c r="E4302" s="1">
        <v>-14.687999999999999</v>
      </c>
      <c r="F4302" t="s">
        <v>26</v>
      </c>
      <c r="G4302" t="str">
        <f>_xlfn.XLOOKUP(transakcje[[#This Row],[podkategoria]],parametr[podkategoria],parametr[kategoria])</f>
        <v>życie</v>
      </c>
      <c r="H4302" t="str">
        <f>_xlfn.XLOOKUP(transakcje[[#This Row],[kategoria]],parametr[kategoria],parametr[typ])</f>
        <v>wydatki</v>
      </c>
      <c r="I4302" s="1">
        <f>ABS(transakcje[[#This Row],[kwota]])</f>
        <v>14.687999999999999</v>
      </c>
    </row>
    <row r="4303" spans="1:9" x14ac:dyDescent="0.3">
      <c r="A4303">
        <v>4302</v>
      </c>
      <c r="B4303">
        <v>2023</v>
      </c>
      <c r="C4303">
        <v>8</v>
      </c>
      <c r="D4303">
        <v>24</v>
      </c>
      <c r="E4303" s="1">
        <v>-22.896000000000001</v>
      </c>
      <c r="F4303" t="s">
        <v>11</v>
      </c>
      <c r="G4303" t="str">
        <f>_xlfn.XLOOKUP(transakcje[[#This Row],[podkategoria]],parametr[podkategoria],parametr[kategoria])</f>
        <v>wydatki inne</v>
      </c>
      <c r="H4303" t="str">
        <f>_xlfn.XLOOKUP(transakcje[[#This Row],[kategoria]],parametr[kategoria],parametr[typ])</f>
        <v>wydatki</v>
      </c>
      <c r="I4303" s="1">
        <f>ABS(transakcje[[#This Row],[kwota]])</f>
        <v>22.896000000000001</v>
      </c>
    </row>
    <row r="4304" spans="1:9" x14ac:dyDescent="0.3">
      <c r="A4304">
        <v>4303</v>
      </c>
      <c r="B4304">
        <v>2023</v>
      </c>
      <c r="C4304">
        <v>8</v>
      </c>
      <c r="D4304">
        <v>25</v>
      </c>
      <c r="E4304" s="1">
        <v>-0.97</v>
      </c>
      <c r="F4304" t="s">
        <v>26</v>
      </c>
      <c r="G4304" t="str">
        <f>_xlfn.XLOOKUP(transakcje[[#This Row],[podkategoria]],parametr[podkategoria],parametr[kategoria])</f>
        <v>życie</v>
      </c>
      <c r="H4304" t="str">
        <f>_xlfn.XLOOKUP(transakcje[[#This Row],[kategoria]],parametr[kategoria],parametr[typ])</f>
        <v>wydatki</v>
      </c>
      <c r="I4304" s="1">
        <f>ABS(transakcje[[#This Row],[kwota]])</f>
        <v>0.97</v>
      </c>
    </row>
    <row r="4305" spans="1:9" x14ac:dyDescent="0.3">
      <c r="A4305">
        <v>4304</v>
      </c>
      <c r="B4305">
        <v>2023</v>
      </c>
      <c r="C4305">
        <v>8</v>
      </c>
      <c r="D4305">
        <v>25</v>
      </c>
      <c r="E4305" s="1">
        <v>1057.6379999999999</v>
      </c>
      <c r="F4305" t="s">
        <v>8</v>
      </c>
      <c r="G4305" t="str">
        <f>_xlfn.XLOOKUP(transakcje[[#This Row],[podkategoria]],parametr[podkategoria],parametr[kategoria])</f>
        <v>dochody z pracy</v>
      </c>
      <c r="H4305" t="str">
        <f>_xlfn.XLOOKUP(transakcje[[#This Row],[kategoria]],parametr[kategoria],parametr[typ])</f>
        <v>dochody</v>
      </c>
      <c r="I4305" s="1">
        <f>ABS(transakcje[[#This Row],[kwota]])</f>
        <v>1057.6379999999999</v>
      </c>
    </row>
    <row r="4306" spans="1:9" x14ac:dyDescent="0.3">
      <c r="A4306">
        <v>4305</v>
      </c>
      <c r="B4306">
        <v>2023</v>
      </c>
      <c r="C4306">
        <v>8</v>
      </c>
      <c r="D4306">
        <v>26</v>
      </c>
      <c r="E4306" s="1">
        <v>-23.8</v>
      </c>
      <c r="F4306" t="s">
        <v>32</v>
      </c>
      <c r="G4306" t="str">
        <f>_xlfn.XLOOKUP(transakcje[[#This Row],[podkategoria]],parametr[podkategoria],parametr[kategoria])</f>
        <v>opłaty stałe</v>
      </c>
      <c r="H4306" t="str">
        <f>_xlfn.XLOOKUP(transakcje[[#This Row],[kategoria]],parametr[kategoria],parametr[typ])</f>
        <v>wydatki</v>
      </c>
      <c r="I4306" s="1">
        <f>ABS(transakcje[[#This Row],[kwota]])</f>
        <v>23.8</v>
      </c>
    </row>
    <row r="4307" spans="1:9" x14ac:dyDescent="0.3">
      <c r="A4307">
        <v>4306</v>
      </c>
      <c r="B4307">
        <v>2023</v>
      </c>
      <c r="C4307">
        <v>8</v>
      </c>
      <c r="D4307">
        <v>31</v>
      </c>
      <c r="E4307" s="1">
        <v>4.0000000000000001E-3</v>
      </c>
      <c r="F4307" t="s">
        <v>17</v>
      </c>
      <c r="G4307" t="str">
        <f>_xlfn.XLOOKUP(transakcje[[#This Row],[podkategoria]],parametr[podkategoria],parametr[kategoria])</f>
        <v>dochody pozostałe</v>
      </c>
      <c r="H4307" t="str">
        <f>_xlfn.XLOOKUP(transakcje[[#This Row],[kategoria]],parametr[kategoria],parametr[typ])</f>
        <v>dochody</v>
      </c>
      <c r="I4307" s="1">
        <f>ABS(transakcje[[#This Row],[kwota]])</f>
        <v>4.0000000000000001E-3</v>
      </c>
    </row>
    <row r="4308" spans="1:9" x14ac:dyDescent="0.3">
      <c r="A4308">
        <v>4307</v>
      </c>
      <c r="B4308">
        <v>2023</v>
      </c>
      <c r="C4308">
        <v>8</v>
      </c>
      <c r="D4308">
        <v>31</v>
      </c>
      <c r="E4308" s="1">
        <v>-1.4</v>
      </c>
      <c r="F4308" t="s">
        <v>14</v>
      </c>
      <c r="G4308" t="str">
        <f>_xlfn.XLOOKUP(transakcje[[#This Row],[podkategoria]],parametr[podkategoria],parametr[kategoria])</f>
        <v>opłaty stałe</v>
      </c>
      <c r="H4308" t="str">
        <f>_xlfn.XLOOKUP(transakcje[[#This Row],[kategoria]],parametr[kategoria],parametr[typ])</f>
        <v>wydatki</v>
      </c>
      <c r="I4308" s="1">
        <f>ABS(transakcje[[#This Row],[kwota]])</f>
        <v>1.4</v>
      </c>
    </row>
    <row r="4309" spans="1:9" x14ac:dyDescent="0.3">
      <c r="A4309">
        <v>4308</v>
      </c>
      <c r="B4309">
        <v>2023</v>
      </c>
      <c r="C4309">
        <v>8</v>
      </c>
      <c r="D4309">
        <v>31</v>
      </c>
      <c r="E4309" s="1">
        <v>-44.85</v>
      </c>
      <c r="F4309" t="s">
        <v>26</v>
      </c>
      <c r="G4309" t="str">
        <f>_xlfn.XLOOKUP(transakcje[[#This Row],[podkategoria]],parametr[podkategoria],parametr[kategoria])</f>
        <v>życie</v>
      </c>
      <c r="H4309" t="str">
        <f>_xlfn.XLOOKUP(transakcje[[#This Row],[kategoria]],parametr[kategoria],parametr[typ])</f>
        <v>wydatki</v>
      </c>
      <c r="I4309" s="1">
        <f>ABS(transakcje[[#This Row],[kwota]])</f>
        <v>44.85</v>
      </c>
    </row>
    <row r="4310" spans="1:9" x14ac:dyDescent="0.3">
      <c r="A4310">
        <v>4309</v>
      </c>
      <c r="B4310">
        <v>2023</v>
      </c>
      <c r="C4310">
        <v>8</v>
      </c>
      <c r="D4310">
        <v>31</v>
      </c>
      <c r="E4310" s="1">
        <v>-2E-3</v>
      </c>
      <c r="F4310" t="s">
        <v>14</v>
      </c>
      <c r="G4310" t="str">
        <f>_xlfn.XLOOKUP(transakcje[[#This Row],[podkategoria]],parametr[podkategoria],parametr[kategoria])</f>
        <v>opłaty stałe</v>
      </c>
      <c r="H4310" t="str">
        <f>_xlfn.XLOOKUP(transakcje[[#This Row],[kategoria]],parametr[kategoria],parametr[typ])</f>
        <v>wydatki</v>
      </c>
      <c r="I4310" s="1">
        <f>ABS(transakcje[[#This Row],[kwota]])</f>
        <v>2E-3</v>
      </c>
    </row>
    <row r="4311" spans="1:9" x14ac:dyDescent="0.3">
      <c r="A4311">
        <v>4310</v>
      </c>
      <c r="B4311">
        <v>2023</v>
      </c>
      <c r="C4311">
        <v>9</v>
      </c>
      <c r="D4311">
        <v>1</v>
      </c>
      <c r="E4311" s="1">
        <v>-10.632</v>
      </c>
      <c r="F4311" t="s">
        <v>26</v>
      </c>
      <c r="G4311" t="str">
        <f>_xlfn.XLOOKUP(transakcje[[#This Row],[podkategoria]],parametr[podkategoria],parametr[kategoria])</f>
        <v>życie</v>
      </c>
      <c r="H4311" t="str">
        <f>_xlfn.XLOOKUP(transakcje[[#This Row],[kategoria]],parametr[kategoria],parametr[typ])</f>
        <v>wydatki</v>
      </c>
      <c r="I4311" s="1">
        <f>ABS(transakcje[[#This Row],[kwota]])</f>
        <v>10.632</v>
      </c>
    </row>
    <row r="4312" spans="1:9" x14ac:dyDescent="0.3">
      <c r="A4312">
        <v>4311</v>
      </c>
      <c r="B4312">
        <v>2023</v>
      </c>
      <c r="C4312">
        <v>9</v>
      </c>
      <c r="D4312">
        <v>1</v>
      </c>
      <c r="E4312" s="1">
        <v>-9.34</v>
      </c>
      <c r="F4312" t="s">
        <v>26</v>
      </c>
      <c r="G4312" t="str">
        <f>_xlfn.XLOOKUP(transakcje[[#This Row],[podkategoria]],parametr[podkategoria],parametr[kategoria])</f>
        <v>życie</v>
      </c>
      <c r="H4312" t="str">
        <f>_xlfn.XLOOKUP(transakcje[[#This Row],[kategoria]],parametr[kategoria],parametr[typ])</f>
        <v>wydatki</v>
      </c>
      <c r="I4312" s="1">
        <f>ABS(transakcje[[#This Row],[kwota]])</f>
        <v>9.34</v>
      </c>
    </row>
    <row r="4313" spans="1:9" x14ac:dyDescent="0.3">
      <c r="A4313">
        <v>4312</v>
      </c>
      <c r="B4313">
        <v>2023</v>
      </c>
      <c r="C4313">
        <v>9</v>
      </c>
      <c r="D4313">
        <v>1</v>
      </c>
      <c r="E4313" s="1">
        <v>-10.373999999999999</v>
      </c>
      <c r="F4313" t="s">
        <v>26</v>
      </c>
      <c r="G4313" t="str">
        <f>_xlfn.XLOOKUP(transakcje[[#This Row],[podkategoria]],parametr[podkategoria],parametr[kategoria])</f>
        <v>życie</v>
      </c>
      <c r="H4313" t="str">
        <f>_xlfn.XLOOKUP(transakcje[[#This Row],[kategoria]],parametr[kategoria],parametr[typ])</f>
        <v>wydatki</v>
      </c>
      <c r="I4313" s="1">
        <f>ABS(transakcje[[#This Row],[kwota]])</f>
        <v>10.373999999999999</v>
      </c>
    </row>
    <row r="4314" spans="1:9" x14ac:dyDescent="0.3">
      <c r="A4314">
        <v>4313</v>
      </c>
      <c r="B4314">
        <v>2023</v>
      </c>
      <c r="C4314">
        <v>9</v>
      </c>
      <c r="D4314">
        <v>2</v>
      </c>
      <c r="E4314" s="1">
        <v>-104.06800000000001</v>
      </c>
      <c r="F4314" t="s">
        <v>31</v>
      </c>
      <c r="G4314" t="str">
        <f>_xlfn.XLOOKUP(transakcje[[#This Row],[podkategoria]],parametr[podkategoria],parametr[kategoria])</f>
        <v>opłaty stałe</v>
      </c>
      <c r="H4314" t="str">
        <f>_xlfn.XLOOKUP(transakcje[[#This Row],[kategoria]],parametr[kategoria],parametr[typ])</f>
        <v>wydatki</v>
      </c>
      <c r="I4314" s="1">
        <f>ABS(transakcje[[#This Row],[kwota]])</f>
        <v>104.06800000000001</v>
      </c>
    </row>
    <row r="4315" spans="1:9" x14ac:dyDescent="0.3">
      <c r="A4315">
        <v>4314</v>
      </c>
      <c r="B4315">
        <v>2023</v>
      </c>
      <c r="C4315">
        <v>9</v>
      </c>
      <c r="D4315">
        <v>2</v>
      </c>
      <c r="E4315" s="1">
        <v>-46.4</v>
      </c>
      <c r="F4315" t="s">
        <v>30</v>
      </c>
      <c r="G4315" t="str">
        <f>_xlfn.XLOOKUP(transakcje[[#This Row],[podkategoria]],parametr[podkategoria],parametr[kategoria])</f>
        <v>opłaty stałe</v>
      </c>
      <c r="H4315" t="str">
        <f>_xlfn.XLOOKUP(transakcje[[#This Row],[kategoria]],parametr[kategoria],parametr[typ])</f>
        <v>wydatki</v>
      </c>
      <c r="I4315" s="1">
        <f>ABS(transakcje[[#This Row],[kwota]])</f>
        <v>46.4</v>
      </c>
    </row>
    <row r="4316" spans="1:9" x14ac:dyDescent="0.3">
      <c r="A4316">
        <v>4315</v>
      </c>
      <c r="B4316">
        <v>2023</v>
      </c>
      <c r="C4316">
        <v>9</v>
      </c>
      <c r="D4316">
        <v>2</v>
      </c>
      <c r="E4316" s="1">
        <v>-5.8</v>
      </c>
      <c r="F4316" t="s">
        <v>25</v>
      </c>
      <c r="G4316" t="str">
        <f>_xlfn.XLOOKUP(transakcje[[#This Row],[podkategoria]],parametr[podkategoria],parametr[kategoria])</f>
        <v>opłaty stałe</v>
      </c>
      <c r="H4316" t="str">
        <f>_xlfn.XLOOKUP(transakcje[[#This Row],[kategoria]],parametr[kategoria],parametr[typ])</f>
        <v>wydatki</v>
      </c>
      <c r="I4316" s="1">
        <f>ABS(transakcje[[#This Row],[kwota]])</f>
        <v>5.8</v>
      </c>
    </row>
    <row r="4317" spans="1:9" x14ac:dyDescent="0.3">
      <c r="A4317">
        <v>4316</v>
      </c>
      <c r="B4317">
        <v>2023</v>
      </c>
      <c r="C4317">
        <v>9</v>
      </c>
      <c r="D4317">
        <v>2</v>
      </c>
      <c r="E4317" s="1">
        <v>-7.38</v>
      </c>
      <c r="F4317" t="s">
        <v>23</v>
      </c>
      <c r="G4317" t="str">
        <f>_xlfn.XLOOKUP(transakcje[[#This Row],[podkategoria]],parametr[podkategoria],parametr[kategoria])</f>
        <v>opłaty stałe</v>
      </c>
      <c r="H4317" t="str">
        <f>_xlfn.XLOOKUP(transakcje[[#This Row],[kategoria]],parametr[kategoria],parametr[typ])</f>
        <v>wydatki</v>
      </c>
      <c r="I4317" s="1">
        <f>ABS(transakcje[[#This Row],[kwota]])</f>
        <v>7.38</v>
      </c>
    </row>
    <row r="4318" spans="1:9" x14ac:dyDescent="0.3">
      <c r="A4318">
        <v>4317</v>
      </c>
      <c r="B4318">
        <v>2023</v>
      </c>
      <c r="C4318">
        <v>9</v>
      </c>
      <c r="D4318">
        <v>2</v>
      </c>
      <c r="E4318" s="1">
        <v>-63.998000000000005</v>
      </c>
      <c r="F4318" t="s">
        <v>11</v>
      </c>
      <c r="G4318" t="str">
        <f>_xlfn.XLOOKUP(transakcje[[#This Row],[podkategoria]],parametr[podkategoria],parametr[kategoria])</f>
        <v>wydatki inne</v>
      </c>
      <c r="H4318" t="str">
        <f>_xlfn.XLOOKUP(transakcje[[#This Row],[kategoria]],parametr[kategoria],parametr[typ])</f>
        <v>wydatki</v>
      </c>
      <c r="I4318" s="1">
        <f>ABS(transakcje[[#This Row],[kwota]])</f>
        <v>63.998000000000005</v>
      </c>
    </row>
    <row r="4319" spans="1:9" x14ac:dyDescent="0.3">
      <c r="A4319">
        <v>4318</v>
      </c>
      <c r="B4319">
        <v>2023</v>
      </c>
      <c r="C4319">
        <v>9</v>
      </c>
      <c r="D4319">
        <v>2</v>
      </c>
      <c r="E4319" s="1">
        <v>-8.4640000000000004</v>
      </c>
      <c r="F4319" t="s">
        <v>35</v>
      </c>
      <c r="G4319" t="str">
        <f>_xlfn.XLOOKUP(transakcje[[#This Row],[podkategoria]],parametr[podkategoria],parametr[kategoria])</f>
        <v>opłaty stałe</v>
      </c>
      <c r="H4319" t="str">
        <f>_xlfn.XLOOKUP(transakcje[[#This Row],[kategoria]],parametr[kategoria],parametr[typ])</f>
        <v>wydatki</v>
      </c>
      <c r="I4319" s="1">
        <f>ABS(transakcje[[#This Row],[kwota]])</f>
        <v>8.4640000000000004</v>
      </c>
    </row>
    <row r="4320" spans="1:9" x14ac:dyDescent="0.3">
      <c r="A4320">
        <v>4319</v>
      </c>
      <c r="B4320">
        <v>2023</v>
      </c>
      <c r="C4320">
        <v>9</v>
      </c>
      <c r="D4320">
        <v>2</v>
      </c>
      <c r="E4320" s="1">
        <v>-9.9980000000000011</v>
      </c>
      <c r="F4320" t="s">
        <v>11</v>
      </c>
      <c r="G4320" t="str">
        <f>_xlfn.XLOOKUP(transakcje[[#This Row],[podkategoria]],parametr[podkategoria],parametr[kategoria])</f>
        <v>wydatki inne</v>
      </c>
      <c r="H4320" t="str">
        <f>_xlfn.XLOOKUP(transakcje[[#This Row],[kategoria]],parametr[kategoria],parametr[typ])</f>
        <v>wydatki</v>
      </c>
      <c r="I4320" s="1">
        <f>ABS(transakcje[[#This Row],[kwota]])</f>
        <v>9.9980000000000011</v>
      </c>
    </row>
    <row r="4321" spans="1:9" x14ac:dyDescent="0.3">
      <c r="A4321">
        <v>4320</v>
      </c>
      <c r="B4321">
        <v>2023</v>
      </c>
      <c r="C4321">
        <v>9</v>
      </c>
      <c r="D4321">
        <v>2</v>
      </c>
      <c r="E4321" s="1">
        <v>-20.045999999999999</v>
      </c>
      <c r="F4321" t="s">
        <v>34</v>
      </c>
      <c r="G4321" t="str">
        <f>_xlfn.XLOOKUP(transakcje[[#This Row],[podkategoria]],parametr[podkategoria],parametr[kategoria])</f>
        <v>opłaty stałe</v>
      </c>
      <c r="H4321" t="str">
        <f>_xlfn.XLOOKUP(transakcje[[#This Row],[kategoria]],parametr[kategoria],parametr[typ])</f>
        <v>wydatki</v>
      </c>
      <c r="I4321" s="1">
        <f>ABS(transakcje[[#This Row],[kwota]])</f>
        <v>20.045999999999999</v>
      </c>
    </row>
    <row r="4322" spans="1:9" x14ac:dyDescent="0.3">
      <c r="A4322">
        <v>4321</v>
      </c>
      <c r="B4322">
        <v>2023</v>
      </c>
      <c r="C4322">
        <v>9</v>
      </c>
      <c r="D4322">
        <v>4</v>
      </c>
      <c r="E4322" s="1">
        <v>-45.495999999999995</v>
      </c>
      <c r="F4322" t="s">
        <v>26</v>
      </c>
      <c r="G4322" t="str">
        <f>_xlfn.XLOOKUP(transakcje[[#This Row],[podkategoria]],parametr[podkategoria],parametr[kategoria])</f>
        <v>życie</v>
      </c>
      <c r="H4322" t="str">
        <f>_xlfn.XLOOKUP(transakcje[[#This Row],[kategoria]],parametr[kategoria],parametr[typ])</f>
        <v>wydatki</v>
      </c>
      <c r="I4322" s="1">
        <f>ABS(transakcje[[#This Row],[kwota]])</f>
        <v>45.495999999999995</v>
      </c>
    </row>
    <row r="4323" spans="1:9" x14ac:dyDescent="0.3">
      <c r="A4323">
        <v>4322</v>
      </c>
      <c r="B4323">
        <v>2023</v>
      </c>
      <c r="C4323">
        <v>9</v>
      </c>
      <c r="D4323">
        <v>5</v>
      </c>
      <c r="E4323" s="1">
        <v>-15.084</v>
      </c>
      <c r="F4323" t="s">
        <v>26</v>
      </c>
      <c r="G4323" t="str">
        <f>_xlfn.XLOOKUP(transakcje[[#This Row],[podkategoria]],parametr[podkategoria],parametr[kategoria])</f>
        <v>życie</v>
      </c>
      <c r="H4323" t="str">
        <f>_xlfn.XLOOKUP(transakcje[[#This Row],[kategoria]],parametr[kategoria],parametr[typ])</f>
        <v>wydatki</v>
      </c>
      <c r="I4323" s="1">
        <f>ABS(transakcje[[#This Row],[kwota]])</f>
        <v>15.084</v>
      </c>
    </row>
    <row r="4324" spans="1:9" x14ac:dyDescent="0.3">
      <c r="A4324">
        <v>4323</v>
      </c>
      <c r="B4324">
        <v>2023</v>
      </c>
      <c r="C4324">
        <v>9</v>
      </c>
      <c r="D4324">
        <v>6</v>
      </c>
      <c r="E4324" s="1">
        <v>-32.195999999999998</v>
      </c>
      <c r="F4324" t="s">
        <v>11</v>
      </c>
      <c r="G4324" t="str">
        <f>_xlfn.XLOOKUP(transakcje[[#This Row],[podkategoria]],parametr[podkategoria],parametr[kategoria])</f>
        <v>wydatki inne</v>
      </c>
      <c r="H4324" t="str">
        <f>_xlfn.XLOOKUP(transakcje[[#This Row],[kategoria]],parametr[kategoria],parametr[typ])</f>
        <v>wydatki</v>
      </c>
      <c r="I4324" s="1">
        <f>ABS(transakcje[[#This Row],[kwota]])</f>
        <v>32.195999999999998</v>
      </c>
    </row>
    <row r="4325" spans="1:9" x14ac:dyDescent="0.3">
      <c r="A4325">
        <v>4324</v>
      </c>
      <c r="B4325">
        <v>2023</v>
      </c>
      <c r="C4325">
        <v>9</v>
      </c>
      <c r="D4325">
        <v>8</v>
      </c>
      <c r="E4325" s="1">
        <v>-33.832000000000001</v>
      </c>
      <c r="F4325" t="s">
        <v>26</v>
      </c>
      <c r="G4325" t="str">
        <f>_xlfn.XLOOKUP(transakcje[[#This Row],[podkategoria]],parametr[podkategoria],parametr[kategoria])</f>
        <v>życie</v>
      </c>
      <c r="H4325" t="str">
        <f>_xlfn.XLOOKUP(transakcje[[#This Row],[kategoria]],parametr[kategoria],parametr[typ])</f>
        <v>wydatki</v>
      </c>
      <c r="I4325" s="1">
        <f>ABS(transakcje[[#This Row],[kwota]])</f>
        <v>33.832000000000001</v>
      </c>
    </row>
    <row r="4326" spans="1:9" x14ac:dyDescent="0.3">
      <c r="A4326">
        <v>4325</v>
      </c>
      <c r="B4326">
        <v>2023</v>
      </c>
      <c r="C4326">
        <v>9</v>
      </c>
      <c r="D4326">
        <v>11</v>
      </c>
      <c r="E4326" s="1">
        <v>-6.0020000000000007</v>
      </c>
      <c r="F4326" t="s">
        <v>26</v>
      </c>
      <c r="G4326" t="str">
        <f>_xlfn.XLOOKUP(transakcje[[#This Row],[podkategoria]],parametr[podkategoria],parametr[kategoria])</f>
        <v>życie</v>
      </c>
      <c r="H4326" t="str">
        <f>_xlfn.XLOOKUP(transakcje[[#This Row],[kategoria]],parametr[kategoria],parametr[typ])</f>
        <v>wydatki</v>
      </c>
      <c r="I4326" s="1">
        <f>ABS(transakcje[[#This Row],[kwota]])</f>
        <v>6.0020000000000007</v>
      </c>
    </row>
    <row r="4327" spans="1:9" x14ac:dyDescent="0.3">
      <c r="A4327">
        <v>4326</v>
      </c>
      <c r="B4327">
        <v>2023</v>
      </c>
      <c r="C4327">
        <v>9</v>
      </c>
      <c r="D4327">
        <v>11</v>
      </c>
      <c r="E4327" s="1">
        <v>-0.2</v>
      </c>
      <c r="F4327" t="s">
        <v>14</v>
      </c>
      <c r="G4327" t="str">
        <f>_xlfn.XLOOKUP(transakcje[[#This Row],[podkategoria]],parametr[podkategoria],parametr[kategoria])</f>
        <v>opłaty stałe</v>
      </c>
      <c r="H4327" t="str">
        <f>_xlfn.XLOOKUP(transakcje[[#This Row],[kategoria]],parametr[kategoria],parametr[typ])</f>
        <v>wydatki</v>
      </c>
      <c r="I4327" s="1">
        <f>ABS(transakcje[[#This Row],[kwota]])</f>
        <v>0.2</v>
      </c>
    </row>
    <row r="4328" spans="1:9" x14ac:dyDescent="0.3">
      <c r="A4328">
        <v>4327</v>
      </c>
      <c r="B4328">
        <v>2023</v>
      </c>
      <c r="C4328">
        <v>9</v>
      </c>
      <c r="D4328">
        <v>13</v>
      </c>
      <c r="E4328" s="1">
        <v>-27.8</v>
      </c>
      <c r="F4328" t="s">
        <v>11</v>
      </c>
      <c r="G4328" t="str">
        <f>_xlfn.XLOOKUP(transakcje[[#This Row],[podkategoria]],parametr[podkategoria],parametr[kategoria])</f>
        <v>wydatki inne</v>
      </c>
      <c r="H4328" t="str">
        <f>_xlfn.XLOOKUP(transakcje[[#This Row],[kategoria]],parametr[kategoria],parametr[typ])</f>
        <v>wydatki</v>
      </c>
      <c r="I4328" s="1">
        <f>ABS(transakcje[[#This Row],[kwota]])</f>
        <v>27.8</v>
      </c>
    </row>
    <row r="4329" spans="1:9" x14ac:dyDescent="0.3">
      <c r="A4329">
        <v>4328</v>
      </c>
      <c r="B4329">
        <v>2023</v>
      </c>
      <c r="C4329">
        <v>9</v>
      </c>
      <c r="D4329">
        <v>14</v>
      </c>
      <c r="E4329" s="1">
        <v>-26.827999999999996</v>
      </c>
      <c r="F4329" t="s">
        <v>26</v>
      </c>
      <c r="G4329" t="str">
        <f>_xlfn.XLOOKUP(transakcje[[#This Row],[podkategoria]],parametr[podkategoria],parametr[kategoria])</f>
        <v>życie</v>
      </c>
      <c r="H4329" t="str">
        <f>_xlfn.XLOOKUP(transakcje[[#This Row],[kategoria]],parametr[kategoria],parametr[typ])</f>
        <v>wydatki</v>
      </c>
      <c r="I4329" s="1">
        <f>ABS(transakcje[[#This Row],[kwota]])</f>
        <v>26.827999999999996</v>
      </c>
    </row>
    <row r="4330" spans="1:9" x14ac:dyDescent="0.3">
      <c r="A4330">
        <v>4329</v>
      </c>
      <c r="B4330">
        <v>2023</v>
      </c>
      <c r="C4330">
        <v>9</v>
      </c>
      <c r="D4330">
        <v>20</v>
      </c>
      <c r="E4330" s="1">
        <v>-3.4240000000000004</v>
      </c>
      <c r="F4330" t="s">
        <v>26</v>
      </c>
      <c r="G4330" t="str">
        <f>_xlfn.XLOOKUP(transakcje[[#This Row],[podkategoria]],parametr[podkategoria],parametr[kategoria])</f>
        <v>życie</v>
      </c>
      <c r="H4330" t="str">
        <f>_xlfn.XLOOKUP(transakcje[[#This Row],[kategoria]],parametr[kategoria],parametr[typ])</f>
        <v>wydatki</v>
      </c>
      <c r="I4330" s="1">
        <f>ABS(transakcje[[#This Row],[kwota]])</f>
        <v>3.4240000000000004</v>
      </c>
    </row>
    <row r="4331" spans="1:9" x14ac:dyDescent="0.3">
      <c r="A4331">
        <v>4330</v>
      </c>
      <c r="B4331">
        <v>2023</v>
      </c>
      <c r="C4331">
        <v>9</v>
      </c>
      <c r="D4331">
        <v>20</v>
      </c>
      <c r="E4331" s="1">
        <v>-16.059999999999999</v>
      </c>
      <c r="F4331" t="s">
        <v>26</v>
      </c>
      <c r="G4331" t="str">
        <f>_xlfn.XLOOKUP(transakcje[[#This Row],[podkategoria]],parametr[podkategoria],parametr[kategoria])</f>
        <v>życie</v>
      </c>
      <c r="H4331" t="str">
        <f>_xlfn.XLOOKUP(transakcje[[#This Row],[kategoria]],parametr[kategoria],parametr[typ])</f>
        <v>wydatki</v>
      </c>
      <c r="I4331" s="1">
        <f>ABS(transakcje[[#This Row],[kwota]])</f>
        <v>16.059999999999999</v>
      </c>
    </row>
    <row r="4332" spans="1:9" x14ac:dyDescent="0.3">
      <c r="A4332">
        <v>4331</v>
      </c>
      <c r="B4332">
        <v>2023</v>
      </c>
      <c r="C4332">
        <v>9</v>
      </c>
      <c r="D4332">
        <v>26</v>
      </c>
      <c r="E4332" s="1">
        <v>1057.6379999999999</v>
      </c>
      <c r="F4332" t="s">
        <v>8</v>
      </c>
      <c r="G4332" t="str">
        <f>_xlfn.XLOOKUP(transakcje[[#This Row],[podkategoria]],parametr[podkategoria],parametr[kategoria])</f>
        <v>dochody z pracy</v>
      </c>
      <c r="H4332" t="str">
        <f>_xlfn.XLOOKUP(transakcje[[#This Row],[kategoria]],parametr[kategoria],parametr[typ])</f>
        <v>dochody</v>
      </c>
      <c r="I4332" s="1">
        <f>ABS(transakcje[[#This Row],[kwota]])</f>
        <v>1057.6379999999999</v>
      </c>
    </row>
    <row r="4333" spans="1:9" x14ac:dyDescent="0.3">
      <c r="A4333">
        <v>4332</v>
      </c>
      <c r="B4333">
        <v>2023</v>
      </c>
      <c r="C4333">
        <v>9</v>
      </c>
      <c r="D4333">
        <v>26</v>
      </c>
      <c r="E4333" s="1">
        <v>-24.48</v>
      </c>
      <c r="F4333" t="s">
        <v>32</v>
      </c>
      <c r="G4333" t="str">
        <f>_xlfn.XLOOKUP(transakcje[[#This Row],[podkategoria]],parametr[podkategoria],parametr[kategoria])</f>
        <v>opłaty stałe</v>
      </c>
      <c r="H4333" t="str">
        <f>_xlfn.XLOOKUP(transakcje[[#This Row],[kategoria]],parametr[kategoria],parametr[typ])</f>
        <v>wydatki</v>
      </c>
      <c r="I4333" s="1">
        <f>ABS(transakcje[[#This Row],[kwota]])</f>
        <v>24.48</v>
      </c>
    </row>
    <row r="4334" spans="1:9" x14ac:dyDescent="0.3">
      <c r="A4334">
        <v>4333</v>
      </c>
      <c r="B4334">
        <v>2023</v>
      </c>
      <c r="C4334">
        <v>9</v>
      </c>
      <c r="D4334">
        <v>26</v>
      </c>
      <c r="E4334" s="1">
        <v>-6.1959999999999997</v>
      </c>
      <c r="F4334" t="s">
        <v>26</v>
      </c>
      <c r="G4334" t="str">
        <f>_xlfn.XLOOKUP(transakcje[[#This Row],[podkategoria]],parametr[podkategoria],parametr[kategoria])</f>
        <v>życie</v>
      </c>
      <c r="H4334" t="str">
        <f>_xlfn.XLOOKUP(transakcje[[#This Row],[kategoria]],parametr[kategoria],parametr[typ])</f>
        <v>wydatki</v>
      </c>
      <c r="I4334" s="1">
        <f>ABS(transakcje[[#This Row],[kwota]])</f>
        <v>6.1959999999999997</v>
      </c>
    </row>
    <row r="4335" spans="1:9" x14ac:dyDescent="0.3">
      <c r="A4335">
        <v>4334</v>
      </c>
      <c r="B4335">
        <v>2023</v>
      </c>
      <c r="C4335">
        <v>9</v>
      </c>
      <c r="D4335">
        <v>26</v>
      </c>
      <c r="E4335" s="1">
        <v>-0.97</v>
      </c>
      <c r="F4335" t="s">
        <v>26</v>
      </c>
      <c r="G4335" t="str">
        <f>_xlfn.XLOOKUP(transakcje[[#This Row],[podkategoria]],parametr[podkategoria],parametr[kategoria])</f>
        <v>życie</v>
      </c>
      <c r="H4335" t="str">
        <f>_xlfn.XLOOKUP(transakcje[[#This Row],[kategoria]],parametr[kategoria],parametr[typ])</f>
        <v>wydatki</v>
      </c>
      <c r="I4335" s="1">
        <f>ABS(transakcje[[#This Row],[kwota]])</f>
        <v>0.97</v>
      </c>
    </row>
    <row r="4336" spans="1:9" x14ac:dyDescent="0.3">
      <c r="A4336">
        <v>4335</v>
      </c>
      <c r="B4336">
        <v>2023</v>
      </c>
      <c r="C4336">
        <v>9</v>
      </c>
      <c r="D4336">
        <v>28</v>
      </c>
      <c r="E4336" s="1">
        <v>186.41800000000001</v>
      </c>
      <c r="F4336" t="s">
        <v>19</v>
      </c>
      <c r="G4336" t="str">
        <f>_xlfn.XLOOKUP(transakcje[[#This Row],[podkategoria]],parametr[podkategoria],parametr[kategoria])</f>
        <v>dochody z pracy</v>
      </c>
      <c r="H4336" t="str">
        <f>_xlfn.XLOOKUP(transakcje[[#This Row],[kategoria]],parametr[kategoria],parametr[typ])</f>
        <v>dochody</v>
      </c>
      <c r="I4336" s="1">
        <f>ABS(transakcje[[#This Row],[kwota]])</f>
        <v>186.41800000000001</v>
      </c>
    </row>
    <row r="4337" spans="1:9" x14ac:dyDescent="0.3">
      <c r="A4337">
        <v>4336</v>
      </c>
      <c r="B4337">
        <v>2023</v>
      </c>
      <c r="C4337">
        <v>9</v>
      </c>
      <c r="D4337">
        <v>29</v>
      </c>
      <c r="E4337" s="1">
        <v>168</v>
      </c>
      <c r="F4337" t="s">
        <v>16</v>
      </c>
      <c r="G4337" t="str">
        <f>_xlfn.XLOOKUP(transakcje[[#This Row],[podkategoria]],parametr[podkategoria],parametr[kategoria])</f>
        <v>dochody z pracy</v>
      </c>
      <c r="H4337" t="str">
        <f>_xlfn.XLOOKUP(transakcje[[#This Row],[kategoria]],parametr[kategoria],parametr[typ])</f>
        <v>dochody</v>
      </c>
      <c r="I4337" s="1">
        <f>ABS(transakcje[[#This Row],[kwota]])</f>
        <v>168</v>
      </c>
    </row>
    <row r="4338" spans="1:9" x14ac:dyDescent="0.3">
      <c r="A4338">
        <v>4337</v>
      </c>
      <c r="B4338">
        <v>2023</v>
      </c>
      <c r="C4338">
        <v>9</v>
      </c>
      <c r="D4338">
        <v>30</v>
      </c>
      <c r="E4338" s="1">
        <v>-1.4</v>
      </c>
      <c r="F4338" t="s">
        <v>14</v>
      </c>
      <c r="G4338" t="str">
        <f>_xlfn.XLOOKUP(transakcje[[#This Row],[podkategoria]],parametr[podkategoria],parametr[kategoria])</f>
        <v>opłaty stałe</v>
      </c>
      <c r="H4338" t="str">
        <f>_xlfn.XLOOKUP(transakcje[[#This Row],[kategoria]],parametr[kategoria],parametr[typ])</f>
        <v>wydatki</v>
      </c>
      <c r="I4338" s="1">
        <f>ABS(transakcje[[#This Row],[kwota]])</f>
        <v>1.4</v>
      </c>
    </row>
    <row r="4339" spans="1:9" x14ac:dyDescent="0.3">
      <c r="A4339">
        <v>4338</v>
      </c>
      <c r="B4339">
        <v>2023</v>
      </c>
      <c r="C4339">
        <v>9</v>
      </c>
      <c r="D4339">
        <v>30</v>
      </c>
      <c r="E4339" s="1">
        <v>4.0000000000000001E-3</v>
      </c>
      <c r="F4339" t="s">
        <v>17</v>
      </c>
      <c r="G4339" t="str">
        <f>_xlfn.XLOOKUP(transakcje[[#This Row],[podkategoria]],parametr[podkategoria],parametr[kategoria])</f>
        <v>dochody pozostałe</v>
      </c>
      <c r="H4339" t="str">
        <f>_xlfn.XLOOKUP(transakcje[[#This Row],[kategoria]],parametr[kategoria],parametr[typ])</f>
        <v>dochody</v>
      </c>
      <c r="I4339" s="1">
        <f>ABS(transakcje[[#This Row],[kwota]])</f>
        <v>4.0000000000000001E-3</v>
      </c>
    </row>
    <row r="4340" spans="1:9" x14ac:dyDescent="0.3">
      <c r="A4340">
        <v>4339</v>
      </c>
      <c r="B4340">
        <v>2023</v>
      </c>
      <c r="C4340">
        <v>9</v>
      </c>
      <c r="D4340">
        <v>30</v>
      </c>
      <c r="E4340" s="1">
        <v>-2E-3</v>
      </c>
      <c r="F4340" t="s">
        <v>14</v>
      </c>
      <c r="G4340" t="str">
        <f>_xlfn.XLOOKUP(transakcje[[#This Row],[podkategoria]],parametr[podkategoria],parametr[kategoria])</f>
        <v>opłaty stałe</v>
      </c>
      <c r="H4340" t="str">
        <f>_xlfn.XLOOKUP(transakcje[[#This Row],[kategoria]],parametr[kategoria],parametr[typ])</f>
        <v>wydatki</v>
      </c>
      <c r="I4340" s="1">
        <f>ABS(transakcje[[#This Row],[kwota]])</f>
        <v>2E-3</v>
      </c>
    </row>
    <row r="4341" spans="1:9" x14ac:dyDescent="0.3">
      <c r="A4341">
        <v>4340</v>
      </c>
      <c r="B4341">
        <v>2023</v>
      </c>
      <c r="C4341">
        <v>10</v>
      </c>
      <c r="D4341">
        <v>2</v>
      </c>
      <c r="E4341" s="1">
        <v>-5.8</v>
      </c>
      <c r="F4341" t="s">
        <v>25</v>
      </c>
      <c r="G4341" t="str">
        <f>_xlfn.XLOOKUP(transakcje[[#This Row],[podkategoria]],parametr[podkategoria],parametr[kategoria])</f>
        <v>opłaty stałe</v>
      </c>
      <c r="H4341" t="str">
        <f>_xlfn.XLOOKUP(transakcje[[#This Row],[kategoria]],parametr[kategoria],parametr[typ])</f>
        <v>wydatki</v>
      </c>
      <c r="I4341" s="1">
        <f>ABS(transakcje[[#This Row],[kwota]])</f>
        <v>5.8</v>
      </c>
    </row>
    <row r="4342" spans="1:9" x14ac:dyDescent="0.3">
      <c r="A4342">
        <v>4341</v>
      </c>
      <c r="B4342">
        <v>2023</v>
      </c>
      <c r="C4342">
        <v>10</v>
      </c>
      <c r="D4342">
        <v>2</v>
      </c>
      <c r="E4342" s="1">
        <v>-7.38</v>
      </c>
      <c r="F4342" t="s">
        <v>23</v>
      </c>
      <c r="G4342" t="str">
        <f>_xlfn.XLOOKUP(transakcje[[#This Row],[podkategoria]],parametr[podkategoria],parametr[kategoria])</f>
        <v>opłaty stałe</v>
      </c>
      <c r="H4342" t="str">
        <f>_xlfn.XLOOKUP(transakcje[[#This Row],[kategoria]],parametr[kategoria],parametr[typ])</f>
        <v>wydatki</v>
      </c>
      <c r="I4342" s="1">
        <f>ABS(transakcje[[#This Row],[kwota]])</f>
        <v>7.38</v>
      </c>
    </row>
    <row r="4343" spans="1:9" x14ac:dyDescent="0.3">
      <c r="A4343">
        <v>4342</v>
      </c>
      <c r="B4343">
        <v>2023</v>
      </c>
      <c r="C4343">
        <v>10</v>
      </c>
      <c r="D4343">
        <v>2</v>
      </c>
      <c r="E4343" s="1">
        <v>-104.06800000000001</v>
      </c>
      <c r="F4343" t="s">
        <v>31</v>
      </c>
      <c r="G4343" t="str">
        <f>_xlfn.XLOOKUP(transakcje[[#This Row],[podkategoria]],parametr[podkategoria],parametr[kategoria])</f>
        <v>opłaty stałe</v>
      </c>
      <c r="H4343" t="str">
        <f>_xlfn.XLOOKUP(transakcje[[#This Row],[kategoria]],parametr[kategoria],parametr[typ])</f>
        <v>wydatki</v>
      </c>
      <c r="I4343" s="1">
        <f>ABS(transakcje[[#This Row],[kwota]])</f>
        <v>104.06800000000001</v>
      </c>
    </row>
    <row r="4344" spans="1:9" x14ac:dyDescent="0.3">
      <c r="A4344">
        <v>4343</v>
      </c>
      <c r="B4344">
        <v>2023</v>
      </c>
      <c r="C4344">
        <v>10</v>
      </c>
      <c r="D4344">
        <v>2</v>
      </c>
      <c r="E4344" s="1">
        <v>-9.9980000000000011</v>
      </c>
      <c r="F4344" t="s">
        <v>11</v>
      </c>
      <c r="G4344" t="str">
        <f>_xlfn.XLOOKUP(transakcje[[#This Row],[podkategoria]],parametr[podkategoria],parametr[kategoria])</f>
        <v>wydatki inne</v>
      </c>
      <c r="H4344" t="str">
        <f>_xlfn.XLOOKUP(transakcje[[#This Row],[kategoria]],parametr[kategoria],parametr[typ])</f>
        <v>wydatki</v>
      </c>
      <c r="I4344" s="1">
        <f>ABS(transakcje[[#This Row],[kwota]])</f>
        <v>9.9980000000000011</v>
      </c>
    </row>
    <row r="4345" spans="1:9" x14ac:dyDescent="0.3">
      <c r="A4345">
        <v>4344</v>
      </c>
      <c r="B4345">
        <v>2023</v>
      </c>
      <c r="C4345">
        <v>10</v>
      </c>
      <c r="D4345">
        <v>2</v>
      </c>
      <c r="E4345" s="1">
        <v>-4</v>
      </c>
      <c r="F4345" t="s">
        <v>11</v>
      </c>
      <c r="G4345" t="str">
        <f>_xlfn.XLOOKUP(transakcje[[#This Row],[podkategoria]],parametr[podkategoria],parametr[kategoria])</f>
        <v>wydatki inne</v>
      </c>
      <c r="H4345" t="str">
        <f>_xlfn.XLOOKUP(transakcje[[#This Row],[kategoria]],parametr[kategoria],parametr[typ])</f>
        <v>wydatki</v>
      </c>
      <c r="I4345" s="1">
        <f>ABS(transakcje[[#This Row],[kwota]])</f>
        <v>4</v>
      </c>
    </row>
    <row r="4346" spans="1:9" x14ac:dyDescent="0.3">
      <c r="A4346">
        <v>4345</v>
      </c>
      <c r="B4346">
        <v>2023</v>
      </c>
      <c r="C4346">
        <v>10</v>
      </c>
      <c r="D4346">
        <v>10</v>
      </c>
      <c r="E4346" s="1">
        <v>-5.8100000000000005</v>
      </c>
      <c r="F4346" t="s">
        <v>26</v>
      </c>
      <c r="G4346" t="str">
        <f>_xlfn.XLOOKUP(transakcje[[#This Row],[podkategoria]],parametr[podkategoria],parametr[kategoria])</f>
        <v>życie</v>
      </c>
      <c r="H4346" t="str">
        <f>_xlfn.XLOOKUP(transakcje[[#This Row],[kategoria]],parametr[kategoria],parametr[typ])</f>
        <v>wydatki</v>
      </c>
      <c r="I4346" s="1">
        <f>ABS(transakcje[[#This Row],[kwota]])</f>
        <v>5.8100000000000005</v>
      </c>
    </row>
    <row r="4347" spans="1:9" x14ac:dyDescent="0.3">
      <c r="A4347">
        <v>4346</v>
      </c>
      <c r="B4347">
        <v>2023</v>
      </c>
      <c r="C4347">
        <v>10</v>
      </c>
      <c r="D4347">
        <v>11</v>
      </c>
      <c r="E4347" s="1">
        <v>-13.209999999999999</v>
      </c>
      <c r="F4347" t="s">
        <v>26</v>
      </c>
      <c r="G4347" t="str">
        <f>_xlfn.XLOOKUP(transakcje[[#This Row],[podkategoria]],parametr[podkategoria],parametr[kategoria])</f>
        <v>życie</v>
      </c>
      <c r="H4347" t="str">
        <f>_xlfn.XLOOKUP(transakcje[[#This Row],[kategoria]],parametr[kategoria],parametr[typ])</f>
        <v>wydatki</v>
      </c>
      <c r="I4347" s="1">
        <f>ABS(transakcje[[#This Row],[kwota]])</f>
        <v>13.209999999999999</v>
      </c>
    </row>
    <row r="4348" spans="1:9" x14ac:dyDescent="0.3">
      <c r="A4348">
        <v>4347</v>
      </c>
      <c r="B4348">
        <v>2023</v>
      </c>
      <c r="C4348">
        <v>10</v>
      </c>
      <c r="D4348">
        <v>12</v>
      </c>
      <c r="E4348" s="1">
        <v>44.083999999999996</v>
      </c>
      <c r="F4348" t="s">
        <v>19</v>
      </c>
      <c r="G4348" t="str">
        <f>_xlfn.XLOOKUP(transakcje[[#This Row],[podkategoria]],parametr[podkategoria],parametr[kategoria])</f>
        <v>dochody z pracy</v>
      </c>
      <c r="H4348" t="str">
        <f>_xlfn.XLOOKUP(transakcje[[#This Row],[kategoria]],parametr[kategoria],parametr[typ])</f>
        <v>dochody</v>
      </c>
      <c r="I4348" s="1">
        <f>ABS(transakcje[[#This Row],[kwota]])</f>
        <v>44.083999999999996</v>
      </c>
    </row>
    <row r="4349" spans="1:9" x14ac:dyDescent="0.3">
      <c r="A4349">
        <v>4348</v>
      </c>
      <c r="B4349">
        <v>2023</v>
      </c>
      <c r="C4349">
        <v>10</v>
      </c>
      <c r="D4349">
        <v>12</v>
      </c>
      <c r="E4349" s="1">
        <v>331.38</v>
      </c>
      <c r="F4349" t="s">
        <v>19</v>
      </c>
      <c r="G4349" t="str">
        <f>_xlfn.XLOOKUP(transakcje[[#This Row],[podkategoria]],parametr[podkategoria],parametr[kategoria])</f>
        <v>dochody z pracy</v>
      </c>
      <c r="H4349" t="str">
        <f>_xlfn.XLOOKUP(transakcje[[#This Row],[kategoria]],parametr[kategoria],parametr[typ])</f>
        <v>dochody</v>
      </c>
      <c r="I4349" s="1">
        <f>ABS(transakcje[[#This Row],[kwota]])</f>
        <v>331.38</v>
      </c>
    </row>
    <row r="4350" spans="1:9" x14ac:dyDescent="0.3">
      <c r="A4350">
        <v>4349</v>
      </c>
      <c r="B4350">
        <v>2023</v>
      </c>
      <c r="C4350">
        <v>10</v>
      </c>
      <c r="D4350">
        <v>12</v>
      </c>
      <c r="E4350" s="1">
        <v>-1.496</v>
      </c>
      <c r="F4350" t="s">
        <v>26</v>
      </c>
      <c r="G4350" t="str">
        <f>_xlfn.XLOOKUP(transakcje[[#This Row],[podkategoria]],parametr[podkategoria],parametr[kategoria])</f>
        <v>życie</v>
      </c>
      <c r="H4350" t="str">
        <f>_xlfn.XLOOKUP(transakcje[[#This Row],[kategoria]],parametr[kategoria],parametr[typ])</f>
        <v>wydatki</v>
      </c>
      <c r="I4350" s="1">
        <f>ABS(transakcje[[#This Row],[kwota]])</f>
        <v>1.496</v>
      </c>
    </row>
    <row r="4351" spans="1:9" x14ac:dyDescent="0.3">
      <c r="A4351">
        <v>4350</v>
      </c>
      <c r="B4351">
        <v>2023</v>
      </c>
      <c r="C4351">
        <v>10</v>
      </c>
      <c r="D4351">
        <v>18</v>
      </c>
      <c r="E4351" s="1">
        <v>-3.4200000000000004</v>
      </c>
      <c r="F4351" t="s">
        <v>26</v>
      </c>
      <c r="G4351" t="str">
        <f>_xlfn.XLOOKUP(transakcje[[#This Row],[podkategoria]],parametr[podkategoria],parametr[kategoria])</f>
        <v>życie</v>
      </c>
      <c r="H4351" t="str">
        <f>_xlfn.XLOOKUP(transakcje[[#This Row],[kategoria]],parametr[kategoria],parametr[typ])</f>
        <v>wydatki</v>
      </c>
      <c r="I4351" s="1">
        <f>ABS(transakcje[[#This Row],[kwota]])</f>
        <v>3.4200000000000004</v>
      </c>
    </row>
    <row r="4352" spans="1:9" x14ac:dyDescent="0.3">
      <c r="A4352">
        <v>4351</v>
      </c>
      <c r="B4352">
        <v>2023</v>
      </c>
      <c r="C4352">
        <v>10</v>
      </c>
      <c r="D4352">
        <v>18</v>
      </c>
      <c r="E4352" s="1">
        <v>-1.94</v>
      </c>
      <c r="F4352" t="s">
        <v>26</v>
      </c>
      <c r="G4352" t="str">
        <f>_xlfn.XLOOKUP(transakcje[[#This Row],[podkategoria]],parametr[podkategoria],parametr[kategoria])</f>
        <v>życie</v>
      </c>
      <c r="H4352" t="str">
        <f>_xlfn.XLOOKUP(transakcje[[#This Row],[kategoria]],parametr[kategoria],parametr[typ])</f>
        <v>wydatki</v>
      </c>
      <c r="I4352" s="1">
        <f>ABS(transakcje[[#This Row],[kwota]])</f>
        <v>1.94</v>
      </c>
    </row>
    <row r="4353" spans="1:9" x14ac:dyDescent="0.3">
      <c r="A4353">
        <v>4352</v>
      </c>
      <c r="B4353">
        <v>2023</v>
      </c>
      <c r="C4353">
        <v>10</v>
      </c>
      <c r="D4353">
        <v>18</v>
      </c>
      <c r="E4353" s="1">
        <v>-12.448</v>
      </c>
      <c r="F4353" t="s">
        <v>26</v>
      </c>
      <c r="G4353" t="str">
        <f>_xlfn.XLOOKUP(transakcje[[#This Row],[podkategoria]],parametr[podkategoria],parametr[kategoria])</f>
        <v>życie</v>
      </c>
      <c r="H4353" t="str">
        <f>_xlfn.XLOOKUP(transakcje[[#This Row],[kategoria]],parametr[kategoria],parametr[typ])</f>
        <v>wydatki</v>
      </c>
      <c r="I4353" s="1">
        <f>ABS(transakcje[[#This Row],[kwota]])</f>
        <v>12.448</v>
      </c>
    </row>
    <row r="4354" spans="1:9" x14ac:dyDescent="0.3">
      <c r="A4354">
        <v>4353</v>
      </c>
      <c r="B4354">
        <v>2023</v>
      </c>
      <c r="C4354">
        <v>10</v>
      </c>
      <c r="D4354">
        <v>19</v>
      </c>
      <c r="E4354" s="1">
        <v>-2.8760000000000003</v>
      </c>
      <c r="F4354" t="s">
        <v>26</v>
      </c>
      <c r="G4354" t="str">
        <f>_xlfn.XLOOKUP(transakcje[[#This Row],[podkategoria]],parametr[podkategoria],parametr[kategoria])</f>
        <v>życie</v>
      </c>
      <c r="H4354" t="str">
        <f>_xlfn.XLOOKUP(transakcje[[#This Row],[kategoria]],parametr[kategoria],parametr[typ])</f>
        <v>wydatki</v>
      </c>
      <c r="I4354" s="1">
        <f>ABS(transakcje[[#This Row],[kwota]])</f>
        <v>2.8760000000000003</v>
      </c>
    </row>
    <row r="4355" spans="1:9" x14ac:dyDescent="0.3">
      <c r="A4355">
        <v>4354</v>
      </c>
      <c r="B4355">
        <v>2023</v>
      </c>
      <c r="C4355">
        <v>10</v>
      </c>
      <c r="D4355">
        <v>20</v>
      </c>
      <c r="E4355" s="1">
        <v>-0.2</v>
      </c>
      <c r="F4355" t="s">
        <v>14</v>
      </c>
      <c r="G4355" t="str">
        <f>_xlfn.XLOOKUP(transakcje[[#This Row],[podkategoria]],parametr[podkategoria],parametr[kategoria])</f>
        <v>opłaty stałe</v>
      </c>
      <c r="H4355" t="str">
        <f>_xlfn.XLOOKUP(transakcje[[#This Row],[kategoria]],parametr[kategoria],parametr[typ])</f>
        <v>wydatki</v>
      </c>
      <c r="I4355" s="1">
        <f>ABS(transakcje[[#This Row],[kwota]])</f>
        <v>0.2</v>
      </c>
    </row>
    <row r="4356" spans="1:9" x14ac:dyDescent="0.3">
      <c r="A4356">
        <v>4355</v>
      </c>
      <c r="B4356">
        <v>2023</v>
      </c>
      <c r="C4356">
        <v>10</v>
      </c>
      <c r="D4356">
        <v>24</v>
      </c>
      <c r="E4356" s="1">
        <v>-0.48600000000000004</v>
      </c>
      <c r="F4356" t="s">
        <v>26</v>
      </c>
      <c r="G4356" t="str">
        <f>_xlfn.XLOOKUP(transakcje[[#This Row],[podkategoria]],parametr[podkategoria],parametr[kategoria])</f>
        <v>życie</v>
      </c>
      <c r="H4356" t="str">
        <f>_xlfn.XLOOKUP(transakcje[[#This Row],[kategoria]],parametr[kategoria],parametr[typ])</f>
        <v>wydatki</v>
      </c>
      <c r="I4356" s="1">
        <f>ABS(transakcje[[#This Row],[kwota]])</f>
        <v>0.48600000000000004</v>
      </c>
    </row>
    <row r="4357" spans="1:9" x14ac:dyDescent="0.3">
      <c r="A4357">
        <v>4356</v>
      </c>
      <c r="B4357">
        <v>2023</v>
      </c>
      <c r="C4357">
        <v>10</v>
      </c>
      <c r="D4357">
        <v>24</v>
      </c>
      <c r="E4357" s="1">
        <v>-7.694</v>
      </c>
      <c r="F4357" t="s">
        <v>26</v>
      </c>
      <c r="G4357" t="str">
        <f>_xlfn.XLOOKUP(transakcje[[#This Row],[podkategoria]],parametr[podkategoria],parametr[kategoria])</f>
        <v>życie</v>
      </c>
      <c r="H4357" t="str">
        <f>_xlfn.XLOOKUP(transakcje[[#This Row],[kategoria]],parametr[kategoria],parametr[typ])</f>
        <v>wydatki</v>
      </c>
      <c r="I4357" s="1">
        <f>ABS(transakcje[[#This Row],[kwota]])</f>
        <v>7.694</v>
      </c>
    </row>
    <row r="4358" spans="1:9" x14ac:dyDescent="0.3">
      <c r="A4358">
        <v>4357</v>
      </c>
      <c r="B4358">
        <v>2023</v>
      </c>
      <c r="C4358">
        <v>10</v>
      </c>
      <c r="D4358">
        <v>24</v>
      </c>
      <c r="E4358" s="1">
        <v>-10.673999999999999</v>
      </c>
      <c r="F4358" t="s">
        <v>26</v>
      </c>
      <c r="G4358" t="str">
        <f>_xlfn.XLOOKUP(transakcje[[#This Row],[podkategoria]],parametr[podkategoria],parametr[kategoria])</f>
        <v>życie</v>
      </c>
      <c r="H4358" t="str">
        <f>_xlfn.XLOOKUP(transakcje[[#This Row],[kategoria]],parametr[kategoria],parametr[typ])</f>
        <v>wydatki</v>
      </c>
      <c r="I4358" s="1">
        <f>ABS(transakcje[[#This Row],[kwota]])</f>
        <v>10.673999999999999</v>
      </c>
    </row>
    <row r="4359" spans="1:9" x14ac:dyDescent="0.3">
      <c r="A4359">
        <v>4358</v>
      </c>
      <c r="B4359">
        <v>2023</v>
      </c>
      <c r="C4359">
        <v>10</v>
      </c>
      <c r="D4359">
        <v>25</v>
      </c>
      <c r="E4359" s="1">
        <v>-0.97</v>
      </c>
      <c r="F4359" t="s">
        <v>26</v>
      </c>
      <c r="G4359" t="str">
        <f>_xlfn.XLOOKUP(transakcje[[#This Row],[podkategoria]],parametr[podkategoria],parametr[kategoria])</f>
        <v>życie</v>
      </c>
      <c r="H4359" t="str">
        <f>_xlfn.XLOOKUP(transakcje[[#This Row],[kategoria]],parametr[kategoria],parametr[typ])</f>
        <v>wydatki</v>
      </c>
      <c r="I4359" s="1">
        <f>ABS(transakcje[[#This Row],[kwota]])</f>
        <v>0.97</v>
      </c>
    </row>
    <row r="4360" spans="1:9" x14ac:dyDescent="0.3">
      <c r="A4360">
        <v>4359</v>
      </c>
      <c r="B4360">
        <v>2023</v>
      </c>
      <c r="C4360">
        <v>10</v>
      </c>
      <c r="D4360">
        <v>26</v>
      </c>
      <c r="E4360" s="1">
        <v>1057.6399999999999</v>
      </c>
      <c r="F4360" t="s">
        <v>8</v>
      </c>
      <c r="G4360" t="str">
        <f>_xlfn.XLOOKUP(transakcje[[#This Row],[podkategoria]],parametr[podkategoria],parametr[kategoria])</f>
        <v>dochody z pracy</v>
      </c>
      <c r="H4360" t="str">
        <f>_xlfn.XLOOKUP(transakcje[[#This Row],[kategoria]],parametr[kategoria],parametr[typ])</f>
        <v>dochody</v>
      </c>
      <c r="I4360" s="1">
        <f>ABS(transakcje[[#This Row],[kwota]])</f>
        <v>1057.6399999999999</v>
      </c>
    </row>
    <row r="4361" spans="1:9" x14ac:dyDescent="0.3">
      <c r="A4361">
        <v>4360</v>
      </c>
      <c r="B4361">
        <v>2023</v>
      </c>
      <c r="C4361">
        <v>10</v>
      </c>
      <c r="D4361">
        <v>26</v>
      </c>
      <c r="E4361" s="1">
        <v>-24.547999999999998</v>
      </c>
      <c r="F4361" t="s">
        <v>26</v>
      </c>
      <c r="G4361" t="str">
        <f>_xlfn.XLOOKUP(transakcje[[#This Row],[podkategoria]],parametr[podkategoria],parametr[kategoria])</f>
        <v>życie</v>
      </c>
      <c r="H4361" t="str">
        <f>_xlfn.XLOOKUP(transakcje[[#This Row],[kategoria]],parametr[kategoria],parametr[typ])</f>
        <v>wydatki</v>
      </c>
      <c r="I4361" s="1">
        <f>ABS(transakcje[[#This Row],[kwota]])</f>
        <v>24.547999999999998</v>
      </c>
    </row>
    <row r="4362" spans="1:9" x14ac:dyDescent="0.3">
      <c r="A4362">
        <v>4361</v>
      </c>
      <c r="B4362">
        <v>2023</v>
      </c>
      <c r="C4362">
        <v>10</v>
      </c>
      <c r="D4362">
        <v>27</v>
      </c>
      <c r="E4362" s="1">
        <v>-0.48600000000000004</v>
      </c>
      <c r="F4362" t="s">
        <v>26</v>
      </c>
      <c r="G4362" t="str">
        <f>_xlfn.XLOOKUP(transakcje[[#This Row],[podkategoria]],parametr[podkategoria],parametr[kategoria])</f>
        <v>życie</v>
      </c>
      <c r="H4362" t="str">
        <f>_xlfn.XLOOKUP(transakcje[[#This Row],[kategoria]],parametr[kategoria],parametr[typ])</f>
        <v>wydatki</v>
      </c>
      <c r="I4362" s="1">
        <f>ABS(transakcje[[#This Row],[kwota]])</f>
        <v>0.48600000000000004</v>
      </c>
    </row>
    <row r="4363" spans="1:9" x14ac:dyDescent="0.3">
      <c r="A4363">
        <v>4362</v>
      </c>
      <c r="B4363">
        <v>2023</v>
      </c>
      <c r="C4363">
        <v>10</v>
      </c>
      <c r="D4363">
        <v>28</v>
      </c>
      <c r="E4363" s="1">
        <v>-62.398000000000003</v>
      </c>
      <c r="F4363" t="s">
        <v>11</v>
      </c>
      <c r="G4363" t="str">
        <f>_xlfn.XLOOKUP(transakcje[[#This Row],[podkategoria]],parametr[podkategoria],parametr[kategoria])</f>
        <v>wydatki inne</v>
      </c>
      <c r="H4363" t="str">
        <f>_xlfn.XLOOKUP(transakcje[[#This Row],[kategoria]],parametr[kategoria],parametr[typ])</f>
        <v>wydatki</v>
      </c>
      <c r="I4363" s="1">
        <f>ABS(transakcje[[#This Row],[kwota]])</f>
        <v>62.398000000000003</v>
      </c>
    </row>
    <row r="4364" spans="1:9" x14ac:dyDescent="0.3">
      <c r="A4364">
        <v>4363</v>
      </c>
      <c r="B4364">
        <v>2023</v>
      </c>
      <c r="C4364">
        <v>10</v>
      </c>
      <c r="D4364">
        <v>28</v>
      </c>
      <c r="E4364" s="1">
        <v>-23.8</v>
      </c>
      <c r="F4364" t="s">
        <v>32</v>
      </c>
      <c r="G4364" t="str">
        <f>_xlfn.XLOOKUP(transakcje[[#This Row],[podkategoria]],parametr[podkategoria],parametr[kategoria])</f>
        <v>opłaty stałe</v>
      </c>
      <c r="H4364" t="str">
        <f>_xlfn.XLOOKUP(transakcje[[#This Row],[kategoria]],parametr[kategoria],parametr[typ])</f>
        <v>wydatki</v>
      </c>
      <c r="I4364" s="1">
        <f>ABS(transakcje[[#This Row],[kwota]])</f>
        <v>23.8</v>
      </c>
    </row>
    <row r="4365" spans="1:9" x14ac:dyDescent="0.3">
      <c r="A4365">
        <v>4364</v>
      </c>
      <c r="B4365">
        <v>2023</v>
      </c>
      <c r="C4365">
        <v>10</v>
      </c>
      <c r="D4365">
        <v>31</v>
      </c>
      <c r="E4365" s="1">
        <v>-1.4</v>
      </c>
      <c r="F4365" t="s">
        <v>14</v>
      </c>
      <c r="G4365" t="str">
        <f>_xlfn.XLOOKUP(transakcje[[#This Row],[podkategoria]],parametr[podkategoria],parametr[kategoria])</f>
        <v>opłaty stałe</v>
      </c>
      <c r="H4365" t="str">
        <f>_xlfn.XLOOKUP(transakcje[[#This Row],[kategoria]],parametr[kategoria],parametr[typ])</f>
        <v>wydatki</v>
      </c>
      <c r="I4365" s="1">
        <f>ABS(transakcje[[#This Row],[kwota]])</f>
        <v>1.4</v>
      </c>
    </row>
    <row r="4366" spans="1:9" x14ac:dyDescent="0.3">
      <c r="A4366">
        <v>4365</v>
      </c>
      <c r="B4366">
        <v>2023</v>
      </c>
      <c r="C4366">
        <v>10</v>
      </c>
      <c r="D4366">
        <v>31</v>
      </c>
      <c r="E4366" s="1">
        <v>4.0000000000000001E-3</v>
      </c>
      <c r="F4366" t="s">
        <v>17</v>
      </c>
      <c r="G4366" t="str">
        <f>_xlfn.XLOOKUP(transakcje[[#This Row],[podkategoria]],parametr[podkategoria],parametr[kategoria])</f>
        <v>dochody pozostałe</v>
      </c>
      <c r="H4366" t="str">
        <f>_xlfn.XLOOKUP(transakcje[[#This Row],[kategoria]],parametr[kategoria],parametr[typ])</f>
        <v>dochody</v>
      </c>
      <c r="I4366" s="1">
        <f>ABS(transakcje[[#This Row],[kwota]])</f>
        <v>4.0000000000000001E-3</v>
      </c>
    </row>
    <row r="4367" spans="1:9" x14ac:dyDescent="0.3">
      <c r="A4367">
        <v>4366</v>
      </c>
      <c r="B4367">
        <v>2023</v>
      </c>
      <c r="C4367">
        <v>10</v>
      </c>
      <c r="D4367">
        <v>31</v>
      </c>
      <c r="E4367" s="1">
        <v>-2E-3</v>
      </c>
      <c r="F4367" t="s">
        <v>14</v>
      </c>
      <c r="G4367" t="str">
        <f>_xlfn.XLOOKUP(transakcje[[#This Row],[podkategoria]],parametr[podkategoria],parametr[kategoria])</f>
        <v>opłaty stałe</v>
      </c>
      <c r="H4367" t="str">
        <f>_xlfn.XLOOKUP(transakcje[[#This Row],[kategoria]],parametr[kategoria],parametr[typ])</f>
        <v>wydatki</v>
      </c>
      <c r="I4367" s="1">
        <f>ABS(transakcje[[#This Row],[kwota]])</f>
        <v>2E-3</v>
      </c>
    </row>
    <row r="4368" spans="1:9" x14ac:dyDescent="0.3">
      <c r="A4368">
        <v>4367</v>
      </c>
      <c r="B4368">
        <v>2023</v>
      </c>
      <c r="C4368">
        <v>11</v>
      </c>
      <c r="D4368">
        <v>1</v>
      </c>
      <c r="E4368" s="1">
        <v>-8.6</v>
      </c>
      <c r="F4368" t="s">
        <v>26</v>
      </c>
      <c r="G4368" t="str">
        <f>_xlfn.XLOOKUP(transakcje[[#This Row],[podkategoria]],parametr[podkategoria],parametr[kategoria])</f>
        <v>życie</v>
      </c>
      <c r="H4368" t="str">
        <f>_xlfn.XLOOKUP(transakcje[[#This Row],[kategoria]],parametr[kategoria],parametr[typ])</f>
        <v>wydatki</v>
      </c>
      <c r="I4368" s="1">
        <f>ABS(transakcje[[#This Row],[kwota]])</f>
        <v>8.6</v>
      </c>
    </row>
    <row r="4369" spans="1:9" x14ac:dyDescent="0.3">
      <c r="A4369">
        <v>4368</v>
      </c>
      <c r="B4369">
        <v>2023</v>
      </c>
      <c r="C4369">
        <v>11</v>
      </c>
      <c r="D4369">
        <v>1</v>
      </c>
      <c r="E4369" s="1">
        <v>-5.8</v>
      </c>
      <c r="F4369" t="s">
        <v>25</v>
      </c>
      <c r="G4369" t="str">
        <f>_xlfn.XLOOKUP(transakcje[[#This Row],[podkategoria]],parametr[podkategoria],parametr[kategoria])</f>
        <v>opłaty stałe</v>
      </c>
      <c r="H4369" t="str">
        <f>_xlfn.XLOOKUP(transakcje[[#This Row],[kategoria]],parametr[kategoria],parametr[typ])</f>
        <v>wydatki</v>
      </c>
      <c r="I4369" s="1">
        <f>ABS(transakcje[[#This Row],[kwota]])</f>
        <v>5.8</v>
      </c>
    </row>
    <row r="4370" spans="1:9" x14ac:dyDescent="0.3">
      <c r="A4370">
        <v>4369</v>
      </c>
      <c r="B4370">
        <v>2023</v>
      </c>
      <c r="C4370">
        <v>11</v>
      </c>
      <c r="D4370">
        <v>1</v>
      </c>
      <c r="E4370" s="1">
        <v>-7.38</v>
      </c>
      <c r="F4370" t="s">
        <v>23</v>
      </c>
      <c r="G4370" t="str">
        <f>_xlfn.XLOOKUP(transakcje[[#This Row],[podkategoria]],parametr[podkategoria],parametr[kategoria])</f>
        <v>opłaty stałe</v>
      </c>
      <c r="H4370" t="str">
        <f>_xlfn.XLOOKUP(transakcje[[#This Row],[kategoria]],parametr[kategoria],parametr[typ])</f>
        <v>wydatki</v>
      </c>
      <c r="I4370" s="1">
        <f>ABS(transakcje[[#This Row],[kwota]])</f>
        <v>7.38</v>
      </c>
    </row>
    <row r="4371" spans="1:9" x14ac:dyDescent="0.3">
      <c r="A4371">
        <v>4370</v>
      </c>
      <c r="B4371">
        <v>2023</v>
      </c>
      <c r="C4371">
        <v>11</v>
      </c>
      <c r="D4371">
        <v>1</v>
      </c>
      <c r="E4371" s="1">
        <v>-104.06800000000001</v>
      </c>
      <c r="F4371" t="s">
        <v>31</v>
      </c>
      <c r="G4371" t="str">
        <f>_xlfn.XLOOKUP(transakcje[[#This Row],[podkategoria]],parametr[podkategoria],parametr[kategoria])</f>
        <v>opłaty stałe</v>
      </c>
      <c r="H4371" t="str">
        <f>_xlfn.XLOOKUP(transakcje[[#This Row],[kategoria]],parametr[kategoria],parametr[typ])</f>
        <v>wydatki</v>
      </c>
      <c r="I4371" s="1">
        <f>ABS(transakcje[[#This Row],[kwota]])</f>
        <v>104.06800000000001</v>
      </c>
    </row>
    <row r="4372" spans="1:9" x14ac:dyDescent="0.3">
      <c r="A4372">
        <v>4371</v>
      </c>
      <c r="B4372">
        <v>2023</v>
      </c>
      <c r="C4372">
        <v>11</v>
      </c>
      <c r="D4372">
        <v>1</v>
      </c>
      <c r="E4372" s="1">
        <v>-9.9980000000000011</v>
      </c>
      <c r="F4372" t="s">
        <v>26</v>
      </c>
      <c r="G4372" t="str">
        <f>_xlfn.XLOOKUP(transakcje[[#This Row],[podkategoria]],parametr[podkategoria],parametr[kategoria])</f>
        <v>życie</v>
      </c>
      <c r="H4372" t="str">
        <f>_xlfn.XLOOKUP(transakcje[[#This Row],[kategoria]],parametr[kategoria],parametr[typ])</f>
        <v>wydatki</v>
      </c>
      <c r="I4372" s="1">
        <f>ABS(transakcje[[#This Row],[kwota]])</f>
        <v>9.9980000000000011</v>
      </c>
    </row>
    <row r="4373" spans="1:9" x14ac:dyDescent="0.3">
      <c r="A4373">
        <v>4372</v>
      </c>
      <c r="B4373">
        <v>2023</v>
      </c>
      <c r="C4373">
        <v>11</v>
      </c>
      <c r="D4373">
        <v>1</v>
      </c>
      <c r="E4373" s="1">
        <v>-6.452</v>
      </c>
      <c r="F4373" t="s">
        <v>26</v>
      </c>
      <c r="G4373" t="str">
        <f>_xlfn.XLOOKUP(transakcje[[#This Row],[podkategoria]],parametr[podkategoria],parametr[kategoria])</f>
        <v>życie</v>
      </c>
      <c r="H4373" t="str">
        <f>_xlfn.XLOOKUP(transakcje[[#This Row],[kategoria]],parametr[kategoria],parametr[typ])</f>
        <v>wydatki</v>
      </c>
      <c r="I4373" s="1">
        <f>ABS(transakcje[[#This Row],[kwota]])</f>
        <v>6.452</v>
      </c>
    </row>
    <row r="4374" spans="1:9" x14ac:dyDescent="0.3">
      <c r="A4374">
        <v>4373</v>
      </c>
      <c r="B4374">
        <v>2023</v>
      </c>
      <c r="C4374">
        <v>11</v>
      </c>
      <c r="D4374">
        <v>2</v>
      </c>
      <c r="E4374" s="1">
        <v>-2.8460000000000001</v>
      </c>
      <c r="F4374" t="s">
        <v>34</v>
      </c>
      <c r="G4374" t="str">
        <f>_xlfn.XLOOKUP(transakcje[[#This Row],[podkategoria]],parametr[podkategoria],parametr[kategoria])</f>
        <v>opłaty stałe</v>
      </c>
      <c r="H4374" t="str">
        <f>_xlfn.XLOOKUP(transakcje[[#This Row],[kategoria]],parametr[kategoria],parametr[typ])</f>
        <v>wydatki</v>
      </c>
      <c r="I4374" s="1">
        <f>ABS(transakcje[[#This Row],[kwota]])</f>
        <v>2.8460000000000001</v>
      </c>
    </row>
    <row r="4375" spans="1:9" x14ac:dyDescent="0.3">
      <c r="A4375">
        <v>4374</v>
      </c>
      <c r="B4375">
        <v>2023</v>
      </c>
      <c r="C4375">
        <v>11</v>
      </c>
      <c r="D4375">
        <v>3</v>
      </c>
      <c r="E4375" s="1">
        <v>-0.97</v>
      </c>
      <c r="F4375" t="s">
        <v>26</v>
      </c>
      <c r="G4375" t="str">
        <f>_xlfn.XLOOKUP(transakcje[[#This Row],[podkategoria]],parametr[podkategoria],parametr[kategoria])</f>
        <v>życie</v>
      </c>
      <c r="H4375" t="str">
        <f>_xlfn.XLOOKUP(transakcje[[#This Row],[kategoria]],parametr[kategoria],parametr[typ])</f>
        <v>wydatki</v>
      </c>
      <c r="I4375" s="1">
        <f>ABS(transakcje[[#This Row],[kwota]])</f>
        <v>0.97</v>
      </c>
    </row>
    <row r="4376" spans="1:9" x14ac:dyDescent="0.3">
      <c r="A4376">
        <v>4375</v>
      </c>
      <c r="B4376">
        <v>2023</v>
      </c>
      <c r="C4376">
        <v>11</v>
      </c>
      <c r="D4376">
        <v>3</v>
      </c>
      <c r="E4376" s="1">
        <v>-15.144</v>
      </c>
      <c r="F4376" t="s">
        <v>26</v>
      </c>
      <c r="G4376" t="str">
        <f>_xlfn.XLOOKUP(transakcje[[#This Row],[podkategoria]],parametr[podkategoria],parametr[kategoria])</f>
        <v>życie</v>
      </c>
      <c r="H4376" t="str">
        <f>_xlfn.XLOOKUP(transakcje[[#This Row],[kategoria]],parametr[kategoria],parametr[typ])</f>
        <v>wydatki</v>
      </c>
      <c r="I4376" s="1">
        <f>ABS(transakcje[[#This Row],[kwota]])</f>
        <v>15.144</v>
      </c>
    </row>
    <row r="4377" spans="1:9" x14ac:dyDescent="0.3">
      <c r="A4377">
        <v>4376</v>
      </c>
      <c r="B4377">
        <v>2023</v>
      </c>
      <c r="C4377">
        <v>11</v>
      </c>
      <c r="D4377">
        <v>7</v>
      </c>
      <c r="E4377" s="1">
        <v>-1.488</v>
      </c>
      <c r="F4377" t="s">
        <v>26</v>
      </c>
      <c r="G4377" t="str">
        <f>_xlfn.XLOOKUP(transakcje[[#This Row],[podkategoria]],parametr[podkategoria],parametr[kategoria])</f>
        <v>życie</v>
      </c>
      <c r="H4377" t="str">
        <f>_xlfn.XLOOKUP(transakcje[[#This Row],[kategoria]],parametr[kategoria],parametr[typ])</f>
        <v>wydatki</v>
      </c>
      <c r="I4377" s="1">
        <f>ABS(transakcje[[#This Row],[kwota]])</f>
        <v>1.488</v>
      </c>
    </row>
    <row r="4378" spans="1:9" x14ac:dyDescent="0.3">
      <c r="A4378">
        <v>4377</v>
      </c>
      <c r="B4378">
        <v>2023</v>
      </c>
      <c r="C4378">
        <v>11</v>
      </c>
      <c r="D4378">
        <v>7</v>
      </c>
      <c r="E4378" s="1">
        <v>-14.776</v>
      </c>
      <c r="F4378" t="s">
        <v>26</v>
      </c>
      <c r="G4378" t="str">
        <f>_xlfn.XLOOKUP(transakcje[[#This Row],[podkategoria]],parametr[podkategoria],parametr[kategoria])</f>
        <v>życie</v>
      </c>
      <c r="H4378" t="str">
        <f>_xlfn.XLOOKUP(transakcje[[#This Row],[kategoria]],parametr[kategoria],parametr[typ])</f>
        <v>wydatki</v>
      </c>
      <c r="I4378" s="1">
        <f>ABS(transakcje[[#This Row],[kwota]])</f>
        <v>14.776</v>
      </c>
    </row>
    <row r="4379" spans="1:9" x14ac:dyDescent="0.3">
      <c r="A4379">
        <v>4378</v>
      </c>
      <c r="B4379">
        <v>2023</v>
      </c>
      <c r="C4379">
        <v>11</v>
      </c>
      <c r="D4379">
        <v>7</v>
      </c>
      <c r="E4379" s="1">
        <v>-3.3200000000000003</v>
      </c>
      <c r="F4379" t="s">
        <v>26</v>
      </c>
      <c r="G4379" t="str">
        <f>_xlfn.XLOOKUP(transakcje[[#This Row],[podkategoria]],parametr[podkategoria],parametr[kategoria])</f>
        <v>życie</v>
      </c>
      <c r="H4379" t="str">
        <f>_xlfn.XLOOKUP(transakcje[[#This Row],[kategoria]],parametr[kategoria],parametr[typ])</f>
        <v>wydatki</v>
      </c>
      <c r="I4379" s="1">
        <f>ABS(transakcje[[#This Row],[kwota]])</f>
        <v>3.3200000000000003</v>
      </c>
    </row>
    <row r="4380" spans="1:9" x14ac:dyDescent="0.3">
      <c r="A4380">
        <v>4379</v>
      </c>
      <c r="B4380">
        <v>2023</v>
      </c>
      <c r="C4380">
        <v>11</v>
      </c>
      <c r="D4380">
        <v>9</v>
      </c>
      <c r="E4380" s="1">
        <v>-0.48600000000000004</v>
      </c>
      <c r="F4380" t="s">
        <v>26</v>
      </c>
      <c r="G4380" t="str">
        <f>_xlfn.XLOOKUP(transakcje[[#This Row],[podkategoria]],parametr[podkategoria],parametr[kategoria])</f>
        <v>życie</v>
      </c>
      <c r="H4380" t="str">
        <f>_xlfn.XLOOKUP(transakcje[[#This Row],[kategoria]],parametr[kategoria],parametr[typ])</f>
        <v>wydatki</v>
      </c>
      <c r="I4380" s="1">
        <f>ABS(transakcje[[#This Row],[kwota]])</f>
        <v>0.48600000000000004</v>
      </c>
    </row>
    <row r="4381" spans="1:9" x14ac:dyDescent="0.3">
      <c r="A4381">
        <v>4380</v>
      </c>
      <c r="B4381">
        <v>2023</v>
      </c>
      <c r="C4381">
        <v>11</v>
      </c>
      <c r="D4381">
        <v>9</v>
      </c>
      <c r="E4381" s="1">
        <v>-2.1</v>
      </c>
      <c r="F4381" t="s">
        <v>26</v>
      </c>
      <c r="G4381" t="str">
        <f>_xlfn.XLOOKUP(transakcje[[#This Row],[podkategoria]],parametr[podkategoria],parametr[kategoria])</f>
        <v>życie</v>
      </c>
      <c r="H4381" t="str">
        <f>_xlfn.XLOOKUP(transakcje[[#This Row],[kategoria]],parametr[kategoria],parametr[typ])</f>
        <v>wydatki</v>
      </c>
      <c r="I4381" s="1">
        <f>ABS(transakcje[[#This Row],[kwota]])</f>
        <v>2.1</v>
      </c>
    </row>
    <row r="4382" spans="1:9" x14ac:dyDescent="0.3">
      <c r="A4382">
        <v>4381</v>
      </c>
      <c r="B4382">
        <v>2023</v>
      </c>
      <c r="C4382">
        <v>11</v>
      </c>
      <c r="D4382">
        <v>13</v>
      </c>
      <c r="E4382" s="1">
        <v>-0.2</v>
      </c>
      <c r="F4382" t="s">
        <v>14</v>
      </c>
      <c r="G4382" t="str">
        <f>_xlfn.XLOOKUP(transakcje[[#This Row],[podkategoria]],parametr[podkategoria],parametr[kategoria])</f>
        <v>opłaty stałe</v>
      </c>
      <c r="H4382" t="str">
        <f>_xlfn.XLOOKUP(transakcje[[#This Row],[kategoria]],parametr[kategoria],parametr[typ])</f>
        <v>wydatki</v>
      </c>
      <c r="I4382" s="1">
        <f>ABS(transakcje[[#This Row],[kwota]])</f>
        <v>0.2</v>
      </c>
    </row>
    <row r="4383" spans="1:9" x14ac:dyDescent="0.3">
      <c r="A4383">
        <v>4382</v>
      </c>
      <c r="B4383">
        <v>2023</v>
      </c>
      <c r="C4383">
        <v>11</v>
      </c>
      <c r="D4383">
        <v>15</v>
      </c>
      <c r="E4383" s="1">
        <v>-1.65</v>
      </c>
      <c r="F4383" t="s">
        <v>26</v>
      </c>
      <c r="G4383" t="str">
        <f>_xlfn.XLOOKUP(transakcje[[#This Row],[podkategoria]],parametr[podkategoria],parametr[kategoria])</f>
        <v>życie</v>
      </c>
      <c r="H4383" t="str">
        <f>_xlfn.XLOOKUP(transakcje[[#This Row],[kategoria]],parametr[kategoria],parametr[typ])</f>
        <v>wydatki</v>
      </c>
      <c r="I4383" s="1">
        <f>ABS(transakcje[[#This Row],[kwota]])</f>
        <v>1.65</v>
      </c>
    </row>
    <row r="4384" spans="1:9" x14ac:dyDescent="0.3">
      <c r="A4384">
        <v>4383</v>
      </c>
      <c r="B4384">
        <v>2023</v>
      </c>
      <c r="C4384">
        <v>11</v>
      </c>
      <c r="D4384">
        <v>15</v>
      </c>
      <c r="E4384" s="1">
        <v>-14.628</v>
      </c>
      <c r="F4384" t="s">
        <v>26</v>
      </c>
      <c r="G4384" t="str">
        <f>_xlfn.XLOOKUP(transakcje[[#This Row],[podkategoria]],parametr[podkategoria],parametr[kategoria])</f>
        <v>życie</v>
      </c>
      <c r="H4384" t="str">
        <f>_xlfn.XLOOKUP(transakcje[[#This Row],[kategoria]],parametr[kategoria],parametr[typ])</f>
        <v>wydatki</v>
      </c>
      <c r="I4384" s="1">
        <f>ABS(transakcje[[#This Row],[kwota]])</f>
        <v>14.628</v>
      </c>
    </row>
    <row r="4385" spans="1:9" x14ac:dyDescent="0.3">
      <c r="A4385">
        <v>4384</v>
      </c>
      <c r="B4385">
        <v>2023</v>
      </c>
      <c r="C4385">
        <v>11</v>
      </c>
      <c r="D4385">
        <v>22</v>
      </c>
      <c r="E4385" s="1">
        <v>-0.97</v>
      </c>
      <c r="F4385" t="s">
        <v>26</v>
      </c>
      <c r="G4385" t="str">
        <f>_xlfn.XLOOKUP(transakcje[[#This Row],[podkategoria]],parametr[podkategoria],parametr[kategoria])</f>
        <v>życie</v>
      </c>
      <c r="H4385" t="str">
        <f>_xlfn.XLOOKUP(transakcje[[#This Row],[kategoria]],parametr[kategoria],parametr[typ])</f>
        <v>wydatki</v>
      </c>
      <c r="I4385" s="1">
        <f>ABS(transakcje[[#This Row],[kwota]])</f>
        <v>0.97</v>
      </c>
    </row>
    <row r="4386" spans="1:9" x14ac:dyDescent="0.3">
      <c r="A4386">
        <v>4385</v>
      </c>
      <c r="B4386">
        <v>2023</v>
      </c>
      <c r="C4386">
        <v>11</v>
      </c>
      <c r="D4386">
        <v>22</v>
      </c>
      <c r="E4386" s="1">
        <v>-3.242</v>
      </c>
      <c r="F4386" t="s">
        <v>26</v>
      </c>
      <c r="G4386" t="str">
        <f>_xlfn.XLOOKUP(transakcje[[#This Row],[podkategoria]],parametr[podkategoria],parametr[kategoria])</f>
        <v>życie</v>
      </c>
      <c r="H4386" t="str">
        <f>_xlfn.XLOOKUP(transakcje[[#This Row],[kategoria]],parametr[kategoria],parametr[typ])</f>
        <v>wydatki</v>
      </c>
      <c r="I4386" s="1">
        <f>ABS(transakcje[[#This Row],[kwota]])</f>
        <v>3.242</v>
      </c>
    </row>
    <row r="4387" spans="1:9" x14ac:dyDescent="0.3">
      <c r="A4387">
        <v>4386</v>
      </c>
      <c r="B4387">
        <v>2023</v>
      </c>
      <c r="C4387">
        <v>11</v>
      </c>
      <c r="D4387">
        <v>22</v>
      </c>
      <c r="E4387" s="1">
        <v>-11.715999999999999</v>
      </c>
      <c r="F4387" t="s">
        <v>26</v>
      </c>
      <c r="G4387" t="str">
        <f>_xlfn.XLOOKUP(transakcje[[#This Row],[podkategoria]],parametr[podkategoria],parametr[kategoria])</f>
        <v>życie</v>
      </c>
      <c r="H4387" t="str">
        <f>_xlfn.XLOOKUP(transakcje[[#This Row],[kategoria]],parametr[kategoria],parametr[typ])</f>
        <v>wydatki</v>
      </c>
      <c r="I4387" s="1">
        <f>ABS(transakcje[[#This Row],[kwota]])</f>
        <v>11.715999999999999</v>
      </c>
    </row>
    <row r="4388" spans="1:9" x14ac:dyDescent="0.3">
      <c r="A4388">
        <v>4387</v>
      </c>
      <c r="B4388">
        <v>2023</v>
      </c>
      <c r="C4388">
        <v>11</v>
      </c>
      <c r="D4388">
        <v>23</v>
      </c>
      <c r="E4388" s="1">
        <v>1057.6379999999999</v>
      </c>
      <c r="F4388" t="s">
        <v>8</v>
      </c>
      <c r="G4388" t="str">
        <f>_xlfn.XLOOKUP(transakcje[[#This Row],[podkategoria]],parametr[podkategoria],parametr[kategoria])</f>
        <v>dochody z pracy</v>
      </c>
      <c r="H4388" t="str">
        <f>_xlfn.XLOOKUP(transakcje[[#This Row],[kategoria]],parametr[kategoria],parametr[typ])</f>
        <v>dochody</v>
      </c>
      <c r="I4388" s="1">
        <f>ABS(transakcje[[#This Row],[kwota]])</f>
        <v>1057.6379999999999</v>
      </c>
    </row>
    <row r="4389" spans="1:9" x14ac:dyDescent="0.3">
      <c r="A4389">
        <v>4388</v>
      </c>
      <c r="B4389">
        <v>2023</v>
      </c>
      <c r="C4389">
        <v>11</v>
      </c>
      <c r="D4389">
        <v>25</v>
      </c>
      <c r="E4389" s="1">
        <v>-24.48</v>
      </c>
      <c r="F4389" t="s">
        <v>32</v>
      </c>
      <c r="G4389" t="str">
        <f>_xlfn.XLOOKUP(transakcje[[#This Row],[podkategoria]],parametr[podkategoria],parametr[kategoria])</f>
        <v>opłaty stałe</v>
      </c>
      <c r="H4389" t="str">
        <f>_xlfn.XLOOKUP(transakcje[[#This Row],[kategoria]],parametr[kategoria],parametr[typ])</f>
        <v>wydatki</v>
      </c>
      <c r="I4389" s="1">
        <f>ABS(transakcje[[#This Row],[kwota]])</f>
        <v>24.48</v>
      </c>
    </row>
    <row r="4390" spans="1:9" x14ac:dyDescent="0.3">
      <c r="A4390">
        <v>4389</v>
      </c>
      <c r="B4390">
        <v>2023</v>
      </c>
      <c r="C4390">
        <v>11</v>
      </c>
      <c r="D4390">
        <v>28</v>
      </c>
      <c r="E4390" s="1">
        <v>-29.655999999999999</v>
      </c>
      <c r="F4390" t="s">
        <v>26</v>
      </c>
      <c r="G4390" t="str">
        <f>_xlfn.XLOOKUP(transakcje[[#This Row],[podkategoria]],parametr[podkategoria],parametr[kategoria])</f>
        <v>życie</v>
      </c>
      <c r="H4390" t="str">
        <f>_xlfn.XLOOKUP(transakcje[[#This Row],[kategoria]],parametr[kategoria],parametr[typ])</f>
        <v>wydatki</v>
      </c>
      <c r="I4390" s="1">
        <f>ABS(transakcje[[#This Row],[kwota]])</f>
        <v>29.655999999999999</v>
      </c>
    </row>
    <row r="4391" spans="1:9" x14ac:dyDescent="0.3">
      <c r="A4391">
        <v>4390</v>
      </c>
      <c r="B4391">
        <v>2023</v>
      </c>
      <c r="C4391">
        <v>11</v>
      </c>
      <c r="D4391">
        <v>29</v>
      </c>
      <c r="E4391" s="1">
        <v>-3.6259999999999999</v>
      </c>
      <c r="F4391" t="s">
        <v>26</v>
      </c>
      <c r="G4391" t="str">
        <f>_xlfn.XLOOKUP(transakcje[[#This Row],[podkategoria]],parametr[podkategoria],parametr[kategoria])</f>
        <v>życie</v>
      </c>
      <c r="H4391" t="str">
        <f>_xlfn.XLOOKUP(transakcje[[#This Row],[kategoria]],parametr[kategoria],parametr[typ])</f>
        <v>wydatki</v>
      </c>
      <c r="I4391" s="1">
        <f>ABS(transakcje[[#This Row],[kwota]])</f>
        <v>3.6259999999999999</v>
      </c>
    </row>
    <row r="4392" spans="1:9" x14ac:dyDescent="0.3">
      <c r="A4392">
        <v>4391</v>
      </c>
      <c r="B4392">
        <v>2023</v>
      </c>
      <c r="C4392">
        <v>11</v>
      </c>
      <c r="D4392">
        <v>29</v>
      </c>
      <c r="E4392" s="1">
        <v>-0.97</v>
      </c>
      <c r="F4392" t="s">
        <v>26</v>
      </c>
      <c r="G4392" t="str">
        <f>_xlfn.XLOOKUP(transakcje[[#This Row],[podkategoria]],parametr[podkategoria],parametr[kategoria])</f>
        <v>życie</v>
      </c>
      <c r="H4392" t="str">
        <f>_xlfn.XLOOKUP(transakcje[[#This Row],[kategoria]],parametr[kategoria],parametr[typ])</f>
        <v>wydatki</v>
      </c>
      <c r="I4392" s="1">
        <f>ABS(transakcje[[#This Row],[kwota]])</f>
        <v>0.97</v>
      </c>
    </row>
    <row r="4393" spans="1:9" x14ac:dyDescent="0.3">
      <c r="A4393">
        <v>4392</v>
      </c>
      <c r="B4393">
        <v>2023</v>
      </c>
      <c r="C4393">
        <v>11</v>
      </c>
      <c r="D4393">
        <v>29</v>
      </c>
      <c r="E4393" s="1">
        <v>-21.648</v>
      </c>
      <c r="F4393" t="s">
        <v>26</v>
      </c>
      <c r="G4393" t="str">
        <f>_xlfn.XLOOKUP(transakcje[[#This Row],[podkategoria]],parametr[podkategoria],parametr[kategoria])</f>
        <v>życie</v>
      </c>
      <c r="H4393" t="str">
        <f>_xlfn.XLOOKUP(transakcje[[#This Row],[kategoria]],parametr[kategoria],parametr[typ])</f>
        <v>wydatki</v>
      </c>
      <c r="I4393" s="1">
        <f>ABS(transakcje[[#This Row],[kwota]])</f>
        <v>21.648</v>
      </c>
    </row>
    <row r="4394" spans="1:9" x14ac:dyDescent="0.3">
      <c r="A4394">
        <v>4393</v>
      </c>
      <c r="B4394">
        <v>2023</v>
      </c>
      <c r="C4394">
        <v>11</v>
      </c>
      <c r="D4394">
        <v>30</v>
      </c>
      <c r="E4394" s="1">
        <v>4.0000000000000001E-3</v>
      </c>
      <c r="F4394" t="s">
        <v>17</v>
      </c>
      <c r="G4394" t="str">
        <f>_xlfn.XLOOKUP(transakcje[[#This Row],[podkategoria]],parametr[podkategoria],parametr[kategoria])</f>
        <v>dochody pozostałe</v>
      </c>
      <c r="H4394" t="str">
        <f>_xlfn.XLOOKUP(transakcje[[#This Row],[kategoria]],parametr[kategoria],parametr[typ])</f>
        <v>dochody</v>
      </c>
      <c r="I4394" s="1">
        <f>ABS(transakcje[[#This Row],[kwota]])</f>
        <v>4.0000000000000001E-3</v>
      </c>
    </row>
    <row r="4395" spans="1:9" x14ac:dyDescent="0.3">
      <c r="A4395">
        <v>4394</v>
      </c>
      <c r="B4395">
        <v>2023</v>
      </c>
      <c r="C4395">
        <v>11</v>
      </c>
      <c r="D4395">
        <v>30</v>
      </c>
      <c r="E4395" s="1">
        <v>-2E-3</v>
      </c>
      <c r="F4395" t="s">
        <v>14</v>
      </c>
      <c r="G4395" t="str">
        <f>_xlfn.XLOOKUP(transakcje[[#This Row],[podkategoria]],parametr[podkategoria],parametr[kategoria])</f>
        <v>opłaty stałe</v>
      </c>
      <c r="H4395" t="str">
        <f>_xlfn.XLOOKUP(transakcje[[#This Row],[kategoria]],parametr[kategoria],parametr[typ])</f>
        <v>wydatki</v>
      </c>
      <c r="I4395" s="1">
        <f>ABS(transakcje[[#This Row],[kwota]])</f>
        <v>2E-3</v>
      </c>
    </row>
    <row r="4396" spans="1:9" x14ac:dyDescent="0.3">
      <c r="A4396">
        <v>4395</v>
      </c>
      <c r="B4396">
        <v>2023</v>
      </c>
      <c r="C4396">
        <v>11</v>
      </c>
      <c r="D4396">
        <v>30</v>
      </c>
      <c r="E4396" s="1">
        <v>-1.4</v>
      </c>
      <c r="F4396" t="s">
        <v>14</v>
      </c>
      <c r="G4396" t="str">
        <f>_xlfn.XLOOKUP(transakcje[[#This Row],[podkategoria]],parametr[podkategoria],parametr[kategoria])</f>
        <v>opłaty stałe</v>
      </c>
      <c r="H4396" t="str">
        <f>_xlfn.XLOOKUP(transakcje[[#This Row],[kategoria]],parametr[kategoria],parametr[typ])</f>
        <v>wydatki</v>
      </c>
      <c r="I4396" s="1">
        <f>ABS(transakcje[[#This Row],[kwota]])</f>
        <v>1.4</v>
      </c>
    </row>
    <row r="4397" spans="1:9" x14ac:dyDescent="0.3">
      <c r="A4397">
        <v>4396</v>
      </c>
      <c r="B4397">
        <v>2023</v>
      </c>
      <c r="C4397">
        <v>11</v>
      </c>
      <c r="D4397">
        <v>30</v>
      </c>
      <c r="E4397" s="1">
        <v>-1.02</v>
      </c>
      <c r="F4397" t="s">
        <v>26</v>
      </c>
      <c r="G4397" t="str">
        <f>_xlfn.XLOOKUP(transakcje[[#This Row],[podkategoria]],parametr[podkategoria],parametr[kategoria])</f>
        <v>życie</v>
      </c>
      <c r="H4397" t="str">
        <f>_xlfn.XLOOKUP(transakcje[[#This Row],[kategoria]],parametr[kategoria],parametr[typ])</f>
        <v>wydatki</v>
      </c>
      <c r="I4397" s="1">
        <f>ABS(transakcje[[#This Row],[kwota]])</f>
        <v>1.02</v>
      </c>
    </row>
    <row r="4398" spans="1:9" x14ac:dyDescent="0.3">
      <c r="A4398">
        <v>4397</v>
      </c>
      <c r="B4398">
        <v>2023</v>
      </c>
      <c r="C4398">
        <v>12</v>
      </c>
      <c r="D4398">
        <v>1</v>
      </c>
      <c r="E4398" s="1">
        <v>90</v>
      </c>
      <c r="F4398" t="s">
        <v>16</v>
      </c>
      <c r="G4398" t="str">
        <f>_xlfn.XLOOKUP(transakcje[[#This Row],[podkategoria]],parametr[podkategoria],parametr[kategoria])</f>
        <v>dochody z pracy</v>
      </c>
      <c r="H4398" t="str">
        <f>_xlfn.XLOOKUP(transakcje[[#This Row],[kategoria]],parametr[kategoria],parametr[typ])</f>
        <v>dochody</v>
      </c>
      <c r="I4398" s="1">
        <f>ABS(transakcje[[#This Row],[kwota]])</f>
        <v>90</v>
      </c>
    </row>
    <row r="4399" spans="1:9" x14ac:dyDescent="0.3">
      <c r="A4399">
        <v>4398</v>
      </c>
      <c r="B4399">
        <v>2023</v>
      </c>
      <c r="C4399">
        <v>12</v>
      </c>
      <c r="D4399">
        <v>2</v>
      </c>
      <c r="E4399" s="1">
        <v>-40.725999999999999</v>
      </c>
      <c r="F4399" t="s">
        <v>11</v>
      </c>
      <c r="G4399" t="str">
        <f>_xlfn.XLOOKUP(transakcje[[#This Row],[podkategoria]],parametr[podkategoria],parametr[kategoria])</f>
        <v>wydatki inne</v>
      </c>
      <c r="H4399" t="str">
        <f>_xlfn.XLOOKUP(transakcje[[#This Row],[kategoria]],parametr[kategoria],parametr[typ])</f>
        <v>wydatki</v>
      </c>
      <c r="I4399" s="1">
        <f>ABS(transakcje[[#This Row],[kwota]])</f>
        <v>40.725999999999999</v>
      </c>
    </row>
    <row r="4400" spans="1:9" x14ac:dyDescent="0.3">
      <c r="A4400">
        <v>4399</v>
      </c>
      <c r="B4400">
        <v>2023</v>
      </c>
      <c r="C4400">
        <v>12</v>
      </c>
      <c r="D4400">
        <v>2</v>
      </c>
      <c r="E4400" s="1">
        <v>-20.154</v>
      </c>
      <c r="F4400" t="s">
        <v>11</v>
      </c>
      <c r="G4400" t="str">
        <f>_xlfn.XLOOKUP(transakcje[[#This Row],[podkategoria]],parametr[podkategoria],parametr[kategoria])</f>
        <v>wydatki inne</v>
      </c>
      <c r="H4400" t="str">
        <f>_xlfn.XLOOKUP(transakcje[[#This Row],[kategoria]],parametr[kategoria],parametr[typ])</f>
        <v>wydatki</v>
      </c>
      <c r="I4400" s="1">
        <f>ABS(transakcje[[#This Row],[kwota]])</f>
        <v>20.154</v>
      </c>
    </row>
    <row r="4401" spans="1:9" x14ac:dyDescent="0.3">
      <c r="A4401">
        <v>4400</v>
      </c>
      <c r="B4401">
        <v>2023</v>
      </c>
      <c r="C4401">
        <v>12</v>
      </c>
      <c r="D4401">
        <v>2</v>
      </c>
      <c r="E4401" s="1">
        <v>-5.8</v>
      </c>
      <c r="F4401" t="s">
        <v>25</v>
      </c>
      <c r="G4401" t="str">
        <f>_xlfn.XLOOKUP(transakcje[[#This Row],[podkategoria]],parametr[podkategoria],parametr[kategoria])</f>
        <v>opłaty stałe</v>
      </c>
      <c r="H4401" t="str">
        <f>_xlfn.XLOOKUP(transakcje[[#This Row],[kategoria]],parametr[kategoria],parametr[typ])</f>
        <v>wydatki</v>
      </c>
      <c r="I4401" s="1">
        <f>ABS(transakcje[[#This Row],[kwota]])</f>
        <v>5.8</v>
      </c>
    </row>
    <row r="4402" spans="1:9" x14ac:dyDescent="0.3">
      <c r="A4402">
        <v>4401</v>
      </c>
      <c r="B4402">
        <v>2023</v>
      </c>
      <c r="C4402">
        <v>12</v>
      </c>
      <c r="D4402">
        <v>2</v>
      </c>
      <c r="E4402" s="1">
        <v>-7.38</v>
      </c>
      <c r="F4402" t="s">
        <v>23</v>
      </c>
      <c r="G4402" t="str">
        <f>_xlfn.XLOOKUP(transakcje[[#This Row],[podkategoria]],parametr[podkategoria],parametr[kategoria])</f>
        <v>opłaty stałe</v>
      </c>
      <c r="H4402" t="str">
        <f>_xlfn.XLOOKUP(transakcje[[#This Row],[kategoria]],parametr[kategoria],parametr[typ])</f>
        <v>wydatki</v>
      </c>
      <c r="I4402" s="1">
        <f>ABS(transakcje[[#This Row],[kwota]])</f>
        <v>7.38</v>
      </c>
    </row>
    <row r="4403" spans="1:9" x14ac:dyDescent="0.3">
      <c r="A4403">
        <v>4402</v>
      </c>
      <c r="B4403">
        <v>2023</v>
      </c>
      <c r="C4403">
        <v>12</v>
      </c>
      <c r="D4403">
        <v>2</v>
      </c>
      <c r="E4403" s="1">
        <v>-104.06800000000001</v>
      </c>
      <c r="F4403" t="s">
        <v>31</v>
      </c>
      <c r="G4403" t="str">
        <f>_xlfn.XLOOKUP(transakcje[[#This Row],[podkategoria]],parametr[podkategoria],parametr[kategoria])</f>
        <v>opłaty stałe</v>
      </c>
      <c r="H4403" t="str">
        <f>_xlfn.XLOOKUP(transakcje[[#This Row],[kategoria]],parametr[kategoria],parametr[typ])</f>
        <v>wydatki</v>
      </c>
      <c r="I4403" s="1">
        <f>ABS(transakcje[[#This Row],[kwota]])</f>
        <v>104.06800000000001</v>
      </c>
    </row>
    <row r="4404" spans="1:9" x14ac:dyDescent="0.3">
      <c r="A4404">
        <v>4403</v>
      </c>
      <c r="B4404">
        <v>2023</v>
      </c>
      <c r="C4404">
        <v>12</v>
      </c>
      <c r="D4404">
        <v>2</v>
      </c>
      <c r="E4404" s="1">
        <v>-9.9980000000000011</v>
      </c>
      <c r="F4404" t="s">
        <v>26</v>
      </c>
      <c r="G4404" t="str">
        <f>_xlfn.XLOOKUP(transakcje[[#This Row],[podkategoria]],parametr[podkategoria],parametr[kategoria])</f>
        <v>życie</v>
      </c>
      <c r="H4404" t="str">
        <f>_xlfn.XLOOKUP(transakcje[[#This Row],[kategoria]],parametr[kategoria],parametr[typ])</f>
        <v>wydatki</v>
      </c>
      <c r="I4404" s="1">
        <f>ABS(transakcje[[#This Row],[kwota]])</f>
        <v>9.9980000000000011</v>
      </c>
    </row>
    <row r="4405" spans="1:9" x14ac:dyDescent="0.3">
      <c r="A4405">
        <v>4404</v>
      </c>
      <c r="B4405">
        <v>2023</v>
      </c>
      <c r="C4405">
        <v>12</v>
      </c>
      <c r="D4405">
        <v>2</v>
      </c>
      <c r="E4405" s="1">
        <v>-8.7780000000000005</v>
      </c>
      <c r="F4405" t="s">
        <v>26</v>
      </c>
      <c r="G4405" t="str">
        <f>_xlfn.XLOOKUP(transakcje[[#This Row],[podkategoria]],parametr[podkategoria],parametr[kategoria])</f>
        <v>życie</v>
      </c>
      <c r="H4405" t="str">
        <f>_xlfn.XLOOKUP(transakcje[[#This Row],[kategoria]],parametr[kategoria],parametr[typ])</f>
        <v>wydatki</v>
      </c>
      <c r="I4405" s="1">
        <f>ABS(transakcje[[#This Row],[kwota]])</f>
        <v>8.7780000000000005</v>
      </c>
    </row>
    <row r="4406" spans="1:9" x14ac:dyDescent="0.3">
      <c r="A4406">
        <v>4405</v>
      </c>
      <c r="B4406">
        <v>2023</v>
      </c>
      <c r="C4406">
        <v>12</v>
      </c>
      <c r="D4406">
        <v>4</v>
      </c>
      <c r="E4406" s="1">
        <v>-1.9899999999999998</v>
      </c>
      <c r="F4406" t="s">
        <v>26</v>
      </c>
      <c r="G4406" t="str">
        <f>_xlfn.XLOOKUP(transakcje[[#This Row],[podkategoria]],parametr[podkategoria],parametr[kategoria])</f>
        <v>życie</v>
      </c>
      <c r="H4406" t="str">
        <f>_xlfn.XLOOKUP(transakcje[[#This Row],[kategoria]],parametr[kategoria],parametr[typ])</f>
        <v>wydatki</v>
      </c>
      <c r="I4406" s="1">
        <f>ABS(transakcje[[#This Row],[kwota]])</f>
        <v>1.9899999999999998</v>
      </c>
    </row>
    <row r="4407" spans="1:9" x14ac:dyDescent="0.3">
      <c r="A4407">
        <v>4406</v>
      </c>
      <c r="B4407">
        <v>2023</v>
      </c>
      <c r="C4407">
        <v>12</v>
      </c>
      <c r="D4407">
        <v>4</v>
      </c>
      <c r="E4407" s="1">
        <v>-19.187999999999999</v>
      </c>
      <c r="F4407" t="s">
        <v>26</v>
      </c>
      <c r="G4407" t="str">
        <f>_xlfn.XLOOKUP(transakcje[[#This Row],[podkategoria]],parametr[podkategoria],parametr[kategoria])</f>
        <v>życie</v>
      </c>
      <c r="H4407" t="str">
        <f>_xlfn.XLOOKUP(transakcje[[#This Row],[kategoria]],parametr[kategoria],parametr[typ])</f>
        <v>wydatki</v>
      </c>
      <c r="I4407" s="1">
        <f>ABS(transakcje[[#This Row],[kwota]])</f>
        <v>19.187999999999999</v>
      </c>
    </row>
    <row r="4408" spans="1:9" x14ac:dyDescent="0.3">
      <c r="A4408">
        <v>4407</v>
      </c>
      <c r="B4408">
        <v>2023</v>
      </c>
      <c r="C4408">
        <v>12</v>
      </c>
      <c r="D4408">
        <v>5</v>
      </c>
      <c r="E4408" s="1">
        <v>-0.97</v>
      </c>
      <c r="F4408" t="s">
        <v>26</v>
      </c>
      <c r="G4408" t="str">
        <f>_xlfn.XLOOKUP(transakcje[[#This Row],[podkategoria]],parametr[podkategoria],parametr[kategoria])</f>
        <v>życie</v>
      </c>
      <c r="H4408" t="str">
        <f>_xlfn.XLOOKUP(transakcje[[#This Row],[kategoria]],parametr[kategoria],parametr[typ])</f>
        <v>wydatki</v>
      </c>
      <c r="I4408" s="1">
        <f>ABS(transakcje[[#This Row],[kwota]])</f>
        <v>0.97</v>
      </c>
    </row>
    <row r="4409" spans="1:9" x14ac:dyDescent="0.3">
      <c r="A4409">
        <v>4408</v>
      </c>
      <c r="B4409">
        <v>2023</v>
      </c>
      <c r="C4409">
        <v>12</v>
      </c>
      <c r="D4409">
        <v>5</v>
      </c>
      <c r="E4409" s="1">
        <v>-5.0979999999999999</v>
      </c>
      <c r="F4409" t="s">
        <v>26</v>
      </c>
      <c r="G4409" t="str">
        <f>_xlfn.XLOOKUP(transakcje[[#This Row],[podkategoria]],parametr[podkategoria],parametr[kategoria])</f>
        <v>życie</v>
      </c>
      <c r="H4409" t="str">
        <f>_xlfn.XLOOKUP(transakcje[[#This Row],[kategoria]],parametr[kategoria],parametr[typ])</f>
        <v>wydatki</v>
      </c>
      <c r="I4409" s="1">
        <f>ABS(transakcje[[#This Row],[kwota]])</f>
        <v>5.0979999999999999</v>
      </c>
    </row>
    <row r="4410" spans="1:9" x14ac:dyDescent="0.3">
      <c r="A4410">
        <v>4409</v>
      </c>
      <c r="B4410">
        <v>2023</v>
      </c>
      <c r="C4410">
        <v>12</v>
      </c>
      <c r="D4410">
        <v>5</v>
      </c>
      <c r="E4410" s="1">
        <v>631.61800000000005</v>
      </c>
      <c r="F4410" t="s">
        <v>19</v>
      </c>
      <c r="G4410" t="str">
        <f>_xlfn.XLOOKUP(transakcje[[#This Row],[podkategoria]],parametr[podkategoria],parametr[kategoria])</f>
        <v>dochody z pracy</v>
      </c>
      <c r="H4410" t="str">
        <f>_xlfn.XLOOKUP(transakcje[[#This Row],[kategoria]],parametr[kategoria],parametr[typ])</f>
        <v>dochody</v>
      </c>
      <c r="I4410" s="1">
        <f>ABS(transakcje[[#This Row],[kwota]])</f>
        <v>631.61800000000005</v>
      </c>
    </row>
    <row r="4411" spans="1:9" x14ac:dyDescent="0.3">
      <c r="A4411">
        <v>4410</v>
      </c>
      <c r="B4411">
        <v>2023</v>
      </c>
      <c r="C4411">
        <v>12</v>
      </c>
      <c r="D4411">
        <v>8</v>
      </c>
      <c r="E4411" s="1">
        <v>-0.48600000000000004</v>
      </c>
      <c r="F4411" t="s">
        <v>26</v>
      </c>
      <c r="G4411" t="str">
        <f>_xlfn.XLOOKUP(transakcje[[#This Row],[podkategoria]],parametr[podkategoria],parametr[kategoria])</f>
        <v>życie</v>
      </c>
      <c r="H4411" t="str">
        <f>_xlfn.XLOOKUP(transakcje[[#This Row],[kategoria]],parametr[kategoria],parametr[typ])</f>
        <v>wydatki</v>
      </c>
      <c r="I4411" s="1">
        <f>ABS(transakcje[[#This Row],[kwota]])</f>
        <v>0.48600000000000004</v>
      </c>
    </row>
    <row r="4412" spans="1:9" x14ac:dyDescent="0.3">
      <c r="A4412">
        <v>4411</v>
      </c>
      <c r="B4412">
        <v>2023</v>
      </c>
      <c r="C4412">
        <v>12</v>
      </c>
      <c r="D4412">
        <v>8</v>
      </c>
      <c r="E4412" s="1">
        <v>-8.7480000000000011</v>
      </c>
      <c r="F4412" t="s">
        <v>26</v>
      </c>
      <c r="G4412" t="str">
        <f>_xlfn.XLOOKUP(transakcje[[#This Row],[podkategoria]],parametr[podkategoria],parametr[kategoria])</f>
        <v>życie</v>
      </c>
      <c r="H4412" t="str">
        <f>_xlfn.XLOOKUP(transakcje[[#This Row],[kategoria]],parametr[kategoria],parametr[typ])</f>
        <v>wydatki</v>
      </c>
      <c r="I4412" s="1">
        <f>ABS(transakcje[[#This Row],[kwota]])</f>
        <v>8.7480000000000011</v>
      </c>
    </row>
    <row r="4413" spans="1:9" x14ac:dyDescent="0.3">
      <c r="A4413">
        <v>4412</v>
      </c>
      <c r="B4413">
        <v>2023</v>
      </c>
      <c r="C4413">
        <v>12</v>
      </c>
      <c r="D4413">
        <v>11</v>
      </c>
      <c r="E4413" s="1">
        <v>-3.5939999999999999</v>
      </c>
      <c r="F4413" t="s">
        <v>26</v>
      </c>
      <c r="G4413" t="str">
        <f>_xlfn.XLOOKUP(transakcje[[#This Row],[podkategoria]],parametr[podkategoria],parametr[kategoria])</f>
        <v>życie</v>
      </c>
      <c r="H4413" t="str">
        <f>_xlfn.XLOOKUP(transakcje[[#This Row],[kategoria]],parametr[kategoria],parametr[typ])</f>
        <v>wydatki</v>
      </c>
      <c r="I4413" s="1">
        <f>ABS(transakcje[[#This Row],[kwota]])</f>
        <v>3.5939999999999999</v>
      </c>
    </row>
    <row r="4414" spans="1:9" x14ac:dyDescent="0.3">
      <c r="A4414">
        <v>4413</v>
      </c>
      <c r="B4414">
        <v>2023</v>
      </c>
      <c r="C4414">
        <v>12</v>
      </c>
      <c r="D4414">
        <v>11</v>
      </c>
      <c r="E4414" s="1">
        <v>-0.97</v>
      </c>
      <c r="F4414" t="s">
        <v>26</v>
      </c>
      <c r="G4414" t="str">
        <f>_xlfn.XLOOKUP(transakcje[[#This Row],[podkategoria]],parametr[podkategoria],parametr[kategoria])</f>
        <v>życie</v>
      </c>
      <c r="H4414" t="str">
        <f>_xlfn.XLOOKUP(transakcje[[#This Row],[kategoria]],parametr[kategoria],parametr[typ])</f>
        <v>wydatki</v>
      </c>
      <c r="I4414" s="1">
        <f>ABS(transakcje[[#This Row],[kwota]])</f>
        <v>0.97</v>
      </c>
    </row>
    <row r="4415" spans="1:9" x14ac:dyDescent="0.3">
      <c r="A4415">
        <v>4414</v>
      </c>
      <c r="B4415">
        <v>2023</v>
      </c>
      <c r="C4415">
        <v>12</v>
      </c>
      <c r="D4415">
        <v>13</v>
      </c>
      <c r="E4415" s="1">
        <v>-0.97</v>
      </c>
      <c r="F4415" t="s">
        <v>26</v>
      </c>
      <c r="G4415" t="str">
        <f>_xlfn.XLOOKUP(transakcje[[#This Row],[podkategoria]],parametr[podkategoria],parametr[kategoria])</f>
        <v>życie</v>
      </c>
      <c r="H4415" t="str">
        <f>_xlfn.XLOOKUP(transakcje[[#This Row],[kategoria]],parametr[kategoria],parametr[typ])</f>
        <v>wydatki</v>
      </c>
      <c r="I4415" s="1">
        <f>ABS(transakcje[[#This Row],[kwota]])</f>
        <v>0.97</v>
      </c>
    </row>
    <row r="4416" spans="1:9" x14ac:dyDescent="0.3">
      <c r="A4416">
        <v>4415</v>
      </c>
      <c r="B4416">
        <v>2023</v>
      </c>
      <c r="C4416">
        <v>12</v>
      </c>
      <c r="D4416">
        <v>13</v>
      </c>
      <c r="E4416" s="1">
        <v>-14.603999999999999</v>
      </c>
      <c r="F4416" t="s">
        <v>26</v>
      </c>
      <c r="G4416" t="str">
        <f>_xlfn.XLOOKUP(transakcje[[#This Row],[podkategoria]],parametr[podkategoria],parametr[kategoria])</f>
        <v>życie</v>
      </c>
      <c r="H4416" t="str">
        <f>_xlfn.XLOOKUP(transakcje[[#This Row],[kategoria]],parametr[kategoria],parametr[typ])</f>
        <v>wydatki</v>
      </c>
      <c r="I4416" s="1">
        <f>ABS(transakcje[[#This Row],[kwota]])</f>
        <v>14.603999999999999</v>
      </c>
    </row>
    <row r="4417" spans="1:9" x14ac:dyDescent="0.3">
      <c r="A4417">
        <v>4416</v>
      </c>
      <c r="B4417">
        <v>2023</v>
      </c>
      <c r="C4417">
        <v>12</v>
      </c>
      <c r="D4417">
        <v>13</v>
      </c>
      <c r="E4417" s="1">
        <v>-12.106</v>
      </c>
      <c r="F4417" t="s">
        <v>26</v>
      </c>
      <c r="G4417" t="str">
        <f>_xlfn.XLOOKUP(transakcje[[#This Row],[podkategoria]],parametr[podkategoria],parametr[kategoria])</f>
        <v>życie</v>
      </c>
      <c r="H4417" t="str">
        <f>_xlfn.XLOOKUP(transakcje[[#This Row],[kategoria]],parametr[kategoria],parametr[typ])</f>
        <v>wydatki</v>
      </c>
      <c r="I4417" s="1">
        <f>ABS(transakcje[[#This Row],[kwota]])</f>
        <v>12.106</v>
      </c>
    </row>
    <row r="4418" spans="1:9" x14ac:dyDescent="0.3">
      <c r="A4418">
        <v>4417</v>
      </c>
      <c r="B4418">
        <v>2023</v>
      </c>
      <c r="C4418">
        <v>12</v>
      </c>
      <c r="D4418">
        <v>14</v>
      </c>
      <c r="E4418" s="1">
        <v>1057.6399999999999</v>
      </c>
      <c r="F4418" t="s">
        <v>8</v>
      </c>
      <c r="G4418" t="str">
        <f>_xlfn.XLOOKUP(transakcje[[#This Row],[podkategoria]],parametr[podkategoria],parametr[kategoria])</f>
        <v>dochody z pracy</v>
      </c>
      <c r="H4418" t="str">
        <f>_xlfn.XLOOKUP(transakcje[[#This Row],[kategoria]],parametr[kategoria],parametr[typ])</f>
        <v>dochody</v>
      </c>
      <c r="I4418" s="1">
        <f>ABS(transakcje[[#This Row],[kwota]])</f>
        <v>1057.6399999999999</v>
      </c>
    </row>
    <row r="4419" spans="1:9" x14ac:dyDescent="0.3">
      <c r="A4419">
        <v>4418</v>
      </c>
      <c r="B4419">
        <v>2023</v>
      </c>
      <c r="C4419">
        <v>12</v>
      </c>
      <c r="D4419">
        <v>14</v>
      </c>
      <c r="E4419" s="1">
        <v>-5.758</v>
      </c>
      <c r="F4419" t="s">
        <v>26</v>
      </c>
      <c r="G4419" t="str">
        <f>_xlfn.XLOOKUP(transakcje[[#This Row],[podkategoria]],parametr[podkategoria],parametr[kategoria])</f>
        <v>życie</v>
      </c>
      <c r="H4419" t="str">
        <f>_xlfn.XLOOKUP(transakcje[[#This Row],[kategoria]],parametr[kategoria],parametr[typ])</f>
        <v>wydatki</v>
      </c>
      <c r="I4419" s="1">
        <f>ABS(transakcje[[#This Row],[kwota]])</f>
        <v>5.758</v>
      </c>
    </row>
    <row r="4420" spans="1:9" x14ac:dyDescent="0.3">
      <c r="A4420">
        <v>4419</v>
      </c>
      <c r="B4420">
        <v>2023</v>
      </c>
      <c r="C4420">
        <v>12</v>
      </c>
      <c r="D4420">
        <v>15</v>
      </c>
      <c r="E4420" s="1">
        <v>-0.2</v>
      </c>
      <c r="F4420" t="s">
        <v>14</v>
      </c>
      <c r="G4420" t="str">
        <f>_xlfn.XLOOKUP(transakcje[[#This Row],[podkategoria]],parametr[podkategoria],parametr[kategoria])</f>
        <v>opłaty stałe</v>
      </c>
      <c r="H4420" t="str">
        <f>_xlfn.XLOOKUP(transakcje[[#This Row],[kategoria]],parametr[kategoria],parametr[typ])</f>
        <v>wydatki</v>
      </c>
      <c r="I4420" s="1">
        <f>ABS(transakcje[[#This Row],[kwota]])</f>
        <v>0.2</v>
      </c>
    </row>
    <row r="4421" spans="1:9" x14ac:dyDescent="0.3">
      <c r="A4421">
        <v>4420</v>
      </c>
      <c r="B4421">
        <v>2023</v>
      </c>
      <c r="C4421">
        <v>12</v>
      </c>
      <c r="D4421">
        <v>20</v>
      </c>
      <c r="E4421" s="1">
        <v>-1.9280000000000002</v>
      </c>
      <c r="F4421" t="s">
        <v>26</v>
      </c>
      <c r="G4421" t="str">
        <f>_xlfn.XLOOKUP(transakcje[[#This Row],[podkategoria]],parametr[podkategoria],parametr[kategoria])</f>
        <v>życie</v>
      </c>
      <c r="H4421" t="str">
        <f>_xlfn.XLOOKUP(transakcje[[#This Row],[kategoria]],parametr[kategoria],parametr[typ])</f>
        <v>wydatki</v>
      </c>
      <c r="I4421" s="1">
        <f>ABS(transakcje[[#This Row],[kwota]])</f>
        <v>1.9280000000000002</v>
      </c>
    </row>
    <row r="4422" spans="1:9" x14ac:dyDescent="0.3">
      <c r="A4422">
        <v>4421</v>
      </c>
      <c r="B4422">
        <v>2023</v>
      </c>
      <c r="C4422">
        <v>12</v>
      </c>
      <c r="D4422">
        <v>21</v>
      </c>
      <c r="E4422" s="1">
        <v>-5.2200000000000006</v>
      </c>
      <c r="F4422" t="s">
        <v>26</v>
      </c>
      <c r="G4422" t="str">
        <f>_xlfn.XLOOKUP(transakcje[[#This Row],[podkategoria]],parametr[podkategoria],parametr[kategoria])</f>
        <v>życie</v>
      </c>
      <c r="H4422" t="str">
        <f>_xlfn.XLOOKUP(transakcje[[#This Row],[kategoria]],parametr[kategoria],parametr[typ])</f>
        <v>wydatki</v>
      </c>
      <c r="I4422" s="1">
        <f>ABS(transakcje[[#This Row],[kwota]])</f>
        <v>5.2200000000000006</v>
      </c>
    </row>
    <row r="4423" spans="1:9" x14ac:dyDescent="0.3">
      <c r="A4423">
        <v>4422</v>
      </c>
      <c r="B4423">
        <v>2023</v>
      </c>
      <c r="C4423">
        <v>12</v>
      </c>
      <c r="D4423">
        <v>21</v>
      </c>
      <c r="E4423" s="1">
        <v>-1.94</v>
      </c>
      <c r="F4423" t="s">
        <v>26</v>
      </c>
      <c r="G4423" t="str">
        <f>_xlfn.XLOOKUP(transakcje[[#This Row],[podkategoria]],parametr[podkategoria],parametr[kategoria])</f>
        <v>życie</v>
      </c>
      <c r="H4423" t="str">
        <f>_xlfn.XLOOKUP(transakcje[[#This Row],[kategoria]],parametr[kategoria],parametr[typ])</f>
        <v>wydatki</v>
      </c>
      <c r="I4423" s="1">
        <f>ABS(transakcje[[#This Row],[kwota]])</f>
        <v>1.94</v>
      </c>
    </row>
    <row r="4424" spans="1:9" x14ac:dyDescent="0.3">
      <c r="A4424">
        <v>4423</v>
      </c>
      <c r="B4424">
        <v>2023</v>
      </c>
      <c r="C4424">
        <v>12</v>
      </c>
      <c r="D4424">
        <v>21</v>
      </c>
      <c r="E4424" s="1">
        <v>-8.02</v>
      </c>
      <c r="F4424" t="s">
        <v>26</v>
      </c>
      <c r="G4424" t="str">
        <f>_xlfn.XLOOKUP(transakcje[[#This Row],[podkategoria]],parametr[podkategoria],parametr[kategoria])</f>
        <v>życie</v>
      </c>
      <c r="H4424" t="str">
        <f>_xlfn.XLOOKUP(transakcje[[#This Row],[kategoria]],parametr[kategoria],parametr[typ])</f>
        <v>wydatki</v>
      </c>
      <c r="I4424" s="1">
        <f>ABS(transakcje[[#This Row],[kwota]])</f>
        <v>8.02</v>
      </c>
    </row>
    <row r="4425" spans="1:9" x14ac:dyDescent="0.3">
      <c r="A4425">
        <v>4424</v>
      </c>
      <c r="B4425">
        <v>2023</v>
      </c>
      <c r="C4425">
        <v>12</v>
      </c>
      <c r="D4425">
        <v>22</v>
      </c>
      <c r="E4425" s="1">
        <v>-1.9100000000000001</v>
      </c>
      <c r="F4425" t="s">
        <v>26</v>
      </c>
      <c r="G4425" t="str">
        <f>_xlfn.XLOOKUP(transakcje[[#This Row],[podkategoria]],parametr[podkategoria],parametr[kategoria])</f>
        <v>życie</v>
      </c>
      <c r="H4425" t="str">
        <f>_xlfn.XLOOKUP(transakcje[[#This Row],[kategoria]],parametr[kategoria],parametr[typ])</f>
        <v>wydatki</v>
      </c>
      <c r="I4425" s="1">
        <f>ABS(transakcje[[#This Row],[kwota]])</f>
        <v>1.9100000000000001</v>
      </c>
    </row>
    <row r="4426" spans="1:9" x14ac:dyDescent="0.3">
      <c r="A4426">
        <v>4425</v>
      </c>
      <c r="B4426">
        <v>2023</v>
      </c>
      <c r="C4426">
        <v>12</v>
      </c>
      <c r="D4426">
        <v>23</v>
      </c>
      <c r="E4426" s="1">
        <v>-10.952</v>
      </c>
      <c r="F4426" t="s">
        <v>26</v>
      </c>
      <c r="G4426" t="str">
        <f>_xlfn.XLOOKUP(transakcje[[#This Row],[podkategoria]],parametr[podkategoria],parametr[kategoria])</f>
        <v>życie</v>
      </c>
      <c r="H4426" t="str">
        <f>_xlfn.XLOOKUP(transakcje[[#This Row],[kategoria]],parametr[kategoria],parametr[typ])</f>
        <v>wydatki</v>
      </c>
      <c r="I4426" s="1">
        <f>ABS(transakcje[[#This Row],[kwota]])</f>
        <v>10.952</v>
      </c>
    </row>
    <row r="4427" spans="1:9" x14ac:dyDescent="0.3">
      <c r="A4427">
        <v>4426</v>
      </c>
      <c r="B4427">
        <v>2023</v>
      </c>
      <c r="C4427">
        <v>12</v>
      </c>
      <c r="D4427">
        <v>27</v>
      </c>
      <c r="E4427" s="1">
        <v>-24.48</v>
      </c>
      <c r="F4427" t="s">
        <v>32</v>
      </c>
      <c r="G4427" t="str">
        <f>_xlfn.XLOOKUP(transakcje[[#This Row],[podkategoria]],parametr[podkategoria],parametr[kategoria])</f>
        <v>opłaty stałe</v>
      </c>
      <c r="H4427" t="str">
        <f>_xlfn.XLOOKUP(transakcje[[#This Row],[kategoria]],parametr[kategoria],parametr[typ])</f>
        <v>wydatki</v>
      </c>
      <c r="I4427" s="1">
        <f>ABS(transakcje[[#This Row],[kwota]])</f>
        <v>24.48</v>
      </c>
    </row>
    <row r="4428" spans="1:9" x14ac:dyDescent="0.3">
      <c r="A4428">
        <v>4427</v>
      </c>
      <c r="B4428">
        <v>2023</v>
      </c>
      <c r="C4428">
        <v>12</v>
      </c>
      <c r="D4428">
        <v>28</v>
      </c>
      <c r="E4428" s="1">
        <v>102.864</v>
      </c>
      <c r="F4428" t="s">
        <v>19</v>
      </c>
      <c r="G4428" t="str">
        <f>_xlfn.XLOOKUP(transakcje[[#This Row],[podkategoria]],parametr[podkategoria],parametr[kategoria])</f>
        <v>dochody z pracy</v>
      </c>
      <c r="H4428" t="str">
        <f>_xlfn.XLOOKUP(transakcje[[#This Row],[kategoria]],parametr[kategoria],parametr[typ])</f>
        <v>dochody</v>
      </c>
      <c r="I4428" s="1">
        <f>ABS(transakcje[[#This Row],[kwota]])</f>
        <v>102.864</v>
      </c>
    </row>
    <row r="4429" spans="1:9" x14ac:dyDescent="0.3">
      <c r="A4429">
        <v>4428</v>
      </c>
      <c r="B4429">
        <v>2023</v>
      </c>
      <c r="C4429">
        <v>12</v>
      </c>
      <c r="D4429">
        <v>29</v>
      </c>
      <c r="E4429" s="1">
        <v>-3.04</v>
      </c>
      <c r="F4429" t="s">
        <v>26</v>
      </c>
      <c r="G4429" t="str">
        <f>_xlfn.XLOOKUP(transakcje[[#This Row],[podkategoria]],parametr[podkategoria],parametr[kategoria])</f>
        <v>życie</v>
      </c>
      <c r="H4429" t="str">
        <f>_xlfn.XLOOKUP(transakcje[[#This Row],[kategoria]],parametr[kategoria],parametr[typ])</f>
        <v>wydatki</v>
      </c>
      <c r="I4429" s="1">
        <f>ABS(transakcje[[#This Row],[kwota]])</f>
        <v>3.04</v>
      </c>
    </row>
    <row r="4430" spans="1:9" x14ac:dyDescent="0.3">
      <c r="A4430">
        <v>4429</v>
      </c>
      <c r="B4430">
        <v>2023</v>
      </c>
      <c r="C4430">
        <v>12</v>
      </c>
      <c r="D4430">
        <v>30</v>
      </c>
      <c r="E4430" s="1">
        <v>-1.4</v>
      </c>
      <c r="F4430" t="s">
        <v>14</v>
      </c>
      <c r="G4430" t="str">
        <f>_xlfn.XLOOKUP(transakcje[[#This Row],[podkategoria]],parametr[podkategoria],parametr[kategoria])</f>
        <v>opłaty stałe</v>
      </c>
      <c r="H4430" t="str">
        <f>_xlfn.XLOOKUP(transakcje[[#This Row],[kategoria]],parametr[kategoria],parametr[typ])</f>
        <v>wydatki</v>
      </c>
      <c r="I4430" s="1">
        <f>ABS(transakcje[[#This Row],[kwota]])</f>
        <v>1.4</v>
      </c>
    </row>
    <row r="4431" spans="1:9" x14ac:dyDescent="0.3">
      <c r="A4431">
        <v>4430</v>
      </c>
      <c r="B4431">
        <v>2023</v>
      </c>
      <c r="C4431">
        <v>12</v>
      </c>
      <c r="D4431">
        <v>30</v>
      </c>
      <c r="E4431" s="1">
        <v>4.0000000000000001E-3</v>
      </c>
      <c r="F4431" t="s">
        <v>17</v>
      </c>
      <c r="G4431" t="str">
        <f>_xlfn.XLOOKUP(transakcje[[#This Row],[podkategoria]],parametr[podkategoria],parametr[kategoria])</f>
        <v>dochody pozostałe</v>
      </c>
      <c r="H4431" t="str">
        <f>_xlfn.XLOOKUP(transakcje[[#This Row],[kategoria]],parametr[kategoria],parametr[typ])</f>
        <v>dochody</v>
      </c>
      <c r="I4431" s="1">
        <f>ABS(transakcje[[#This Row],[kwota]])</f>
        <v>4.0000000000000001E-3</v>
      </c>
    </row>
    <row r="4432" spans="1:9" x14ac:dyDescent="0.3">
      <c r="A4432">
        <v>4431</v>
      </c>
      <c r="B4432">
        <v>2023</v>
      </c>
      <c r="C4432">
        <v>12</v>
      </c>
      <c r="D4432">
        <v>30</v>
      </c>
      <c r="E4432" s="1">
        <v>-2E-3</v>
      </c>
      <c r="F4432" t="s">
        <v>14</v>
      </c>
      <c r="G4432" t="str">
        <f>_xlfn.XLOOKUP(transakcje[[#This Row],[podkategoria]],parametr[podkategoria],parametr[kategoria])</f>
        <v>opłaty stałe</v>
      </c>
      <c r="H4432" t="str">
        <f>_xlfn.XLOOKUP(transakcje[[#This Row],[kategoria]],parametr[kategoria],parametr[typ])</f>
        <v>wydatki</v>
      </c>
      <c r="I4432" s="1">
        <f>ABS(transakcje[[#This Row],[kwota]])</f>
        <v>2E-3</v>
      </c>
    </row>
    <row r="4433" spans="1:9" x14ac:dyDescent="0.3">
      <c r="A4433">
        <v>4432</v>
      </c>
      <c r="B4433">
        <v>2024</v>
      </c>
      <c r="C4433">
        <v>1</v>
      </c>
      <c r="D4433">
        <v>1</v>
      </c>
      <c r="E4433" s="1">
        <v>-8.452</v>
      </c>
      <c r="F4433" t="s">
        <v>35</v>
      </c>
      <c r="G4433" t="str">
        <f>_xlfn.XLOOKUP(transakcje[[#This Row],[podkategoria]],parametr[podkategoria],parametr[kategoria])</f>
        <v>opłaty stałe</v>
      </c>
      <c r="H4433" t="str">
        <f>_xlfn.XLOOKUP(transakcje[[#This Row],[kategoria]],parametr[kategoria],parametr[typ])</f>
        <v>wydatki</v>
      </c>
      <c r="I4433" s="1">
        <f>ABS(transakcje[[#This Row],[kwota]])</f>
        <v>8.452</v>
      </c>
    </row>
    <row r="4434" spans="1:9" x14ac:dyDescent="0.3">
      <c r="A4434">
        <v>4433</v>
      </c>
      <c r="B4434">
        <v>2024</v>
      </c>
      <c r="C4434">
        <v>1</v>
      </c>
      <c r="D4434">
        <v>1</v>
      </c>
      <c r="E4434" s="1">
        <v>-20.494</v>
      </c>
      <c r="F4434" t="s">
        <v>34</v>
      </c>
      <c r="G4434" t="str">
        <f>_xlfn.XLOOKUP(transakcje[[#This Row],[podkategoria]],parametr[podkategoria],parametr[kategoria])</f>
        <v>opłaty stałe</v>
      </c>
      <c r="H4434" t="str">
        <f>_xlfn.XLOOKUP(transakcje[[#This Row],[kategoria]],parametr[kategoria],parametr[typ])</f>
        <v>wydatki</v>
      </c>
      <c r="I4434" s="1">
        <f>ABS(transakcje[[#This Row],[kwota]])</f>
        <v>20.494</v>
      </c>
    </row>
    <row r="4435" spans="1:9" x14ac:dyDescent="0.3">
      <c r="A4435">
        <v>4434</v>
      </c>
      <c r="B4435">
        <v>2024</v>
      </c>
      <c r="C4435">
        <v>1</v>
      </c>
      <c r="D4435">
        <v>1</v>
      </c>
      <c r="E4435" s="1">
        <v>-8.6</v>
      </c>
      <c r="F4435" t="s">
        <v>23</v>
      </c>
      <c r="G4435" t="str">
        <f>_xlfn.XLOOKUP(transakcje[[#This Row],[podkategoria]],parametr[podkategoria],parametr[kategoria])</f>
        <v>opłaty stałe</v>
      </c>
      <c r="H4435" t="str">
        <f>_xlfn.XLOOKUP(transakcje[[#This Row],[kategoria]],parametr[kategoria],parametr[typ])</f>
        <v>wydatki</v>
      </c>
      <c r="I4435" s="1">
        <f>ABS(transakcje[[#This Row],[kwota]])</f>
        <v>8.6</v>
      </c>
    </row>
    <row r="4436" spans="1:9" x14ac:dyDescent="0.3">
      <c r="A4436">
        <v>4435</v>
      </c>
      <c r="B4436">
        <v>2024</v>
      </c>
      <c r="C4436">
        <v>1</v>
      </c>
      <c r="D4436">
        <v>1</v>
      </c>
      <c r="E4436" s="1">
        <v>-5.8</v>
      </c>
      <c r="F4436" t="s">
        <v>25</v>
      </c>
      <c r="G4436" t="str">
        <f>_xlfn.XLOOKUP(transakcje[[#This Row],[podkategoria]],parametr[podkategoria],parametr[kategoria])</f>
        <v>opłaty stałe</v>
      </c>
      <c r="H4436" t="str">
        <f>_xlfn.XLOOKUP(transakcje[[#This Row],[kategoria]],parametr[kategoria],parametr[typ])</f>
        <v>wydatki</v>
      </c>
      <c r="I4436" s="1">
        <f>ABS(transakcje[[#This Row],[kwota]])</f>
        <v>5.8</v>
      </c>
    </row>
    <row r="4437" spans="1:9" x14ac:dyDescent="0.3">
      <c r="A4437">
        <v>4436</v>
      </c>
      <c r="B4437">
        <v>2024</v>
      </c>
      <c r="C4437">
        <v>1</v>
      </c>
      <c r="D4437">
        <v>1</v>
      </c>
      <c r="E4437" s="1">
        <v>-9.9980000000000011</v>
      </c>
      <c r="F4437" t="s">
        <v>11</v>
      </c>
      <c r="G4437" t="str">
        <f>_xlfn.XLOOKUP(transakcje[[#This Row],[podkategoria]],parametr[podkategoria],parametr[kategoria])</f>
        <v>wydatki inne</v>
      </c>
      <c r="H4437" t="str">
        <f>_xlfn.XLOOKUP(transakcje[[#This Row],[kategoria]],parametr[kategoria],parametr[typ])</f>
        <v>wydatki</v>
      </c>
      <c r="I4437" s="1">
        <f>ABS(transakcje[[#This Row],[kwota]])</f>
        <v>9.9980000000000011</v>
      </c>
    </row>
    <row r="4438" spans="1:9" x14ac:dyDescent="0.3">
      <c r="A4438">
        <v>4437</v>
      </c>
      <c r="B4438">
        <v>2024</v>
      </c>
      <c r="C4438">
        <v>1</v>
      </c>
      <c r="D4438">
        <v>1</v>
      </c>
      <c r="E4438" s="1">
        <v>-20.100000000000001</v>
      </c>
      <c r="F4438" t="s">
        <v>11</v>
      </c>
      <c r="G4438" t="str">
        <f>_xlfn.XLOOKUP(transakcje[[#This Row],[podkategoria]],parametr[podkategoria],parametr[kategoria])</f>
        <v>wydatki inne</v>
      </c>
      <c r="H4438" t="str">
        <f>_xlfn.XLOOKUP(transakcje[[#This Row],[kategoria]],parametr[kategoria],parametr[typ])</f>
        <v>wydatki</v>
      </c>
      <c r="I4438" s="1">
        <f>ABS(transakcje[[#This Row],[kwota]])</f>
        <v>20.100000000000001</v>
      </c>
    </row>
    <row r="4439" spans="1:9" x14ac:dyDescent="0.3">
      <c r="A4439">
        <v>4438</v>
      </c>
      <c r="B4439">
        <v>2024</v>
      </c>
      <c r="C4439">
        <v>1</v>
      </c>
      <c r="D4439">
        <v>5</v>
      </c>
      <c r="E4439" s="1">
        <v>-3.71</v>
      </c>
      <c r="F4439" t="s">
        <v>26</v>
      </c>
      <c r="G4439" t="str">
        <f>_xlfn.XLOOKUP(transakcje[[#This Row],[podkategoria]],parametr[podkategoria],parametr[kategoria])</f>
        <v>życie</v>
      </c>
      <c r="H4439" t="str">
        <f>_xlfn.XLOOKUP(transakcje[[#This Row],[kategoria]],parametr[kategoria],parametr[typ])</f>
        <v>wydatki</v>
      </c>
      <c r="I4439" s="1">
        <f>ABS(transakcje[[#This Row],[kwota]])</f>
        <v>3.71</v>
      </c>
    </row>
    <row r="4440" spans="1:9" x14ac:dyDescent="0.3">
      <c r="A4440">
        <v>4439</v>
      </c>
      <c r="B4440">
        <v>2024</v>
      </c>
      <c r="C4440">
        <v>1</v>
      </c>
      <c r="D4440">
        <v>5</v>
      </c>
      <c r="E4440" s="1">
        <v>-14.413999999999998</v>
      </c>
      <c r="F4440" t="s">
        <v>26</v>
      </c>
      <c r="G4440" t="str">
        <f>_xlfn.XLOOKUP(transakcje[[#This Row],[podkategoria]],parametr[podkategoria],parametr[kategoria])</f>
        <v>życie</v>
      </c>
      <c r="H4440" t="str">
        <f>_xlfn.XLOOKUP(transakcje[[#This Row],[kategoria]],parametr[kategoria],parametr[typ])</f>
        <v>wydatki</v>
      </c>
      <c r="I4440" s="1">
        <f>ABS(transakcje[[#This Row],[kwota]])</f>
        <v>14.413999999999998</v>
      </c>
    </row>
    <row r="4441" spans="1:9" x14ac:dyDescent="0.3">
      <c r="A4441">
        <v>4440</v>
      </c>
      <c r="B4441">
        <v>2024</v>
      </c>
      <c r="C4441">
        <v>1</v>
      </c>
      <c r="D4441">
        <v>8</v>
      </c>
      <c r="E4441" s="1">
        <v>-42.082000000000001</v>
      </c>
      <c r="F4441" t="s">
        <v>31</v>
      </c>
      <c r="G4441" t="str">
        <f>_xlfn.XLOOKUP(transakcje[[#This Row],[podkategoria]],parametr[podkategoria],parametr[kategoria])</f>
        <v>opłaty stałe</v>
      </c>
      <c r="H4441" t="str">
        <f>_xlfn.XLOOKUP(transakcje[[#This Row],[kategoria]],parametr[kategoria],parametr[typ])</f>
        <v>wydatki</v>
      </c>
      <c r="I4441" s="1">
        <f>ABS(transakcje[[#This Row],[kwota]])</f>
        <v>42.082000000000001</v>
      </c>
    </row>
    <row r="4442" spans="1:9" x14ac:dyDescent="0.3">
      <c r="A4442">
        <v>4441</v>
      </c>
      <c r="B4442">
        <v>2024</v>
      </c>
      <c r="C4442">
        <v>1</v>
      </c>
      <c r="D4442">
        <v>8</v>
      </c>
      <c r="E4442" s="1">
        <v>-58.98</v>
      </c>
      <c r="F4442" t="s">
        <v>37</v>
      </c>
      <c r="G4442" t="str">
        <f>_xlfn.XLOOKUP(transakcje[[#This Row],[podkategoria]],parametr[podkategoria],parametr[kategoria])</f>
        <v>opłaty stałe</v>
      </c>
      <c r="H4442" t="str">
        <f>_xlfn.XLOOKUP(transakcje[[#This Row],[kategoria]],parametr[kategoria],parametr[typ])</f>
        <v>wydatki</v>
      </c>
      <c r="I4442" s="1">
        <f>ABS(transakcje[[#This Row],[kwota]])</f>
        <v>58.98</v>
      </c>
    </row>
    <row r="4443" spans="1:9" x14ac:dyDescent="0.3">
      <c r="A4443">
        <v>4442</v>
      </c>
      <c r="B4443">
        <v>2024</v>
      </c>
      <c r="C4443">
        <v>1</v>
      </c>
      <c r="D4443">
        <v>12</v>
      </c>
      <c r="E4443" s="1">
        <v>-0.2</v>
      </c>
      <c r="F4443" t="s">
        <v>14</v>
      </c>
      <c r="G4443" t="str">
        <f>_xlfn.XLOOKUP(transakcje[[#This Row],[podkategoria]],parametr[podkategoria],parametr[kategoria])</f>
        <v>opłaty stałe</v>
      </c>
      <c r="H4443" t="str">
        <f>_xlfn.XLOOKUP(transakcje[[#This Row],[kategoria]],parametr[kategoria],parametr[typ])</f>
        <v>wydatki</v>
      </c>
      <c r="I4443" s="1">
        <f>ABS(transakcje[[#This Row],[kwota]])</f>
        <v>0.2</v>
      </c>
    </row>
    <row r="4444" spans="1:9" x14ac:dyDescent="0.3">
      <c r="A4444">
        <v>4443</v>
      </c>
      <c r="B4444">
        <v>2024</v>
      </c>
      <c r="C4444">
        <v>1</v>
      </c>
      <c r="D4444">
        <v>17</v>
      </c>
      <c r="E4444" s="1">
        <v>-8.7360000000000007</v>
      </c>
      <c r="F4444" t="s">
        <v>26</v>
      </c>
      <c r="G4444" t="str">
        <f>_xlfn.XLOOKUP(transakcje[[#This Row],[podkategoria]],parametr[podkategoria],parametr[kategoria])</f>
        <v>życie</v>
      </c>
      <c r="H4444" t="str">
        <f>_xlfn.XLOOKUP(transakcje[[#This Row],[kategoria]],parametr[kategoria],parametr[typ])</f>
        <v>wydatki</v>
      </c>
      <c r="I4444" s="1">
        <f>ABS(transakcje[[#This Row],[kwota]])</f>
        <v>8.7360000000000007</v>
      </c>
    </row>
    <row r="4445" spans="1:9" x14ac:dyDescent="0.3">
      <c r="A4445">
        <v>4444</v>
      </c>
      <c r="B4445">
        <v>2024</v>
      </c>
      <c r="C4445">
        <v>1</v>
      </c>
      <c r="D4445">
        <v>17</v>
      </c>
      <c r="E4445" s="1">
        <v>-20.268000000000001</v>
      </c>
      <c r="F4445" t="s">
        <v>11</v>
      </c>
      <c r="G4445" t="str">
        <f>_xlfn.XLOOKUP(transakcje[[#This Row],[podkategoria]],parametr[podkategoria],parametr[kategoria])</f>
        <v>wydatki inne</v>
      </c>
      <c r="H4445" t="str">
        <f>_xlfn.XLOOKUP(transakcje[[#This Row],[kategoria]],parametr[kategoria],parametr[typ])</f>
        <v>wydatki</v>
      </c>
      <c r="I4445" s="1">
        <f>ABS(transakcje[[#This Row],[kwota]])</f>
        <v>20.268000000000001</v>
      </c>
    </row>
    <row r="4446" spans="1:9" x14ac:dyDescent="0.3">
      <c r="A4446">
        <v>4445</v>
      </c>
      <c r="B4446">
        <v>2024</v>
      </c>
      <c r="C4446">
        <v>1</v>
      </c>
      <c r="D4446">
        <v>18</v>
      </c>
      <c r="E4446" s="1">
        <v>-2.6879999999999997</v>
      </c>
      <c r="F4446" t="s">
        <v>26</v>
      </c>
      <c r="G4446" t="str">
        <f>_xlfn.XLOOKUP(transakcje[[#This Row],[podkategoria]],parametr[podkategoria],parametr[kategoria])</f>
        <v>życie</v>
      </c>
      <c r="H4446" t="str">
        <f>_xlfn.XLOOKUP(transakcje[[#This Row],[kategoria]],parametr[kategoria],parametr[typ])</f>
        <v>wydatki</v>
      </c>
      <c r="I4446" s="1">
        <f>ABS(transakcje[[#This Row],[kwota]])</f>
        <v>2.6879999999999997</v>
      </c>
    </row>
    <row r="4447" spans="1:9" x14ac:dyDescent="0.3">
      <c r="A4447">
        <v>4446</v>
      </c>
      <c r="B4447">
        <v>2024</v>
      </c>
      <c r="C4447">
        <v>1</v>
      </c>
      <c r="D4447">
        <v>24</v>
      </c>
      <c r="E4447" s="1">
        <v>-2.0940000000000003</v>
      </c>
      <c r="F4447" t="s">
        <v>26</v>
      </c>
      <c r="G4447" t="str">
        <f>_xlfn.XLOOKUP(transakcje[[#This Row],[podkategoria]],parametr[podkategoria],parametr[kategoria])</f>
        <v>życie</v>
      </c>
      <c r="H4447" t="str">
        <f>_xlfn.XLOOKUP(transakcje[[#This Row],[kategoria]],parametr[kategoria],parametr[typ])</f>
        <v>wydatki</v>
      </c>
      <c r="I4447" s="1">
        <f>ABS(transakcje[[#This Row],[kwota]])</f>
        <v>2.0940000000000003</v>
      </c>
    </row>
    <row r="4448" spans="1:9" x14ac:dyDescent="0.3">
      <c r="A4448">
        <v>4447</v>
      </c>
      <c r="B4448">
        <v>2024</v>
      </c>
      <c r="C4448">
        <v>1</v>
      </c>
      <c r="D4448">
        <v>24</v>
      </c>
      <c r="E4448" s="1">
        <v>-0.97</v>
      </c>
      <c r="F4448" t="s">
        <v>26</v>
      </c>
      <c r="G4448" t="str">
        <f>_xlfn.XLOOKUP(transakcje[[#This Row],[podkategoria]],parametr[podkategoria],parametr[kategoria])</f>
        <v>życie</v>
      </c>
      <c r="H4448" t="str">
        <f>_xlfn.XLOOKUP(transakcje[[#This Row],[kategoria]],parametr[kategoria],parametr[typ])</f>
        <v>wydatki</v>
      </c>
      <c r="I4448" s="1">
        <f>ABS(transakcje[[#This Row],[kwota]])</f>
        <v>0.97</v>
      </c>
    </row>
    <row r="4449" spans="1:9" x14ac:dyDescent="0.3">
      <c r="A4449">
        <v>4448</v>
      </c>
      <c r="B4449">
        <v>2024</v>
      </c>
      <c r="C4449">
        <v>1</v>
      </c>
      <c r="D4449">
        <v>24</v>
      </c>
      <c r="E4449" s="1">
        <v>-12.666</v>
      </c>
      <c r="F4449" t="s">
        <v>26</v>
      </c>
      <c r="G4449" t="str">
        <f>_xlfn.XLOOKUP(transakcje[[#This Row],[podkategoria]],parametr[podkategoria],parametr[kategoria])</f>
        <v>życie</v>
      </c>
      <c r="H4449" t="str">
        <f>_xlfn.XLOOKUP(transakcje[[#This Row],[kategoria]],parametr[kategoria],parametr[typ])</f>
        <v>wydatki</v>
      </c>
      <c r="I4449" s="1">
        <f>ABS(transakcje[[#This Row],[kwota]])</f>
        <v>12.666</v>
      </c>
    </row>
    <row r="4450" spans="1:9" x14ac:dyDescent="0.3">
      <c r="A4450">
        <v>4449</v>
      </c>
      <c r="B4450">
        <v>2024</v>
      </c>
      <c r="C4450">
        <v>1</v>
      </c>
      <c r="D4450">
        <v>26</v>
      </c>
      <c r="E4450" s="1">
        <v>1255.884</v>
      </c>
      <c r="F4450" t="s">
        <v>8</v>
      </c>
      <c r="G4450" t="str">
        <f>_xlfn.XLOOKUP(transakcje[[#This Row],[podkategoria]],parametr[podkategoria],parametr[kategoria])</f>
        <v>dochody z pracy</v>
      </c>
      <c r="H4450" t="str">
        <f>_xlfn.XLOOKUP(transakcje[[#This Row],[kategoria]],parametr[kategoria],parametr[typ])</f>
        <v>dochody</v>
      </c>
      <c r="I4450" s="1">
        <f>ABS(transakcje[[#This Row],[kwota]])</f>
        <v>1255.884</v>
      </c>
    </row>
    <row r="4451" spans="1:9" x14ac:dyDescent="0.3">
      <c r="A4451">
        <v>4450</v>
      </c>
      <c r="B4451">
        <v>2024</v>
      </c>
      <c r="C4451">
        <v>1</v>
      </c>
      <c r="D4451">
        <v>27</v>
      </c>
      <c r="E4451" s="1">
        <v>-23.8</v>
      </c>
      <c r="F4451" t="s">
        <v>32</v>
      </c>
      <c r="G4451" t="str">
        <f>_xlfn.XLOOKUP(transakcje[[#This Row],[podkategoria]],parametr[podkategoria],parametr[kategoria])</f>
        <v>opłaty stałe</v>
      </c>
      <c r="H4451" t="str">
        <f>_xlfn.XLOOKUP(transakcje[[#This Row],[kategoria]],parametr[kategoria],parametr[typ])</f>
        <v>wydatki</v>
      </c>
      <c r="I4451" s="1">
        <f>ABS(transakcje[[#This Row],[kwota]])</f>
        <v>23.8</v>
      </c>
    </row>
    <row r="4452" spans="1:9" x14ac:dyDescent="0.3">
      <c r="A4452">
        <v>4451</v>
      </c>
      <c r="B4452">
        <v>2024</v>
      </c>
      <c r="C4452">
        <v>1</v>
      </c>
      <c r="D4452">
        <v>31</v>
      </c>
      <c r="E4452" s="1">
        <v>-2E-3</v>
      </c>
      <c r="F4452" t="s">
        <v>14</v>
      </c>
      <c r="G4452" t="str">
        <f>_xlfn.XLOOKUP(transakcje[[#This Row],[podkategoria]],parametr[podkategoria],parametr[kategoria])</f>
        <v>opłaty stałe</v>
      </c>
      <c r="H4452" t="str">
        <f>_xlfn.XLOOKUP(transakcje[[#This Row],[kategoria]],parametr[kategoria],parametr[typ])</f>
        <v>wydatki</v>
      </c>
      <c r="I4452" s="1">
        <f>ABS(transakcje[[#This Row],[kwota]])</f>
        <v>2E-3</v>
      </c>
    </row>
    <row r="4453" spans="1:9" x14ac:dyDescent="0.3">
      <c r="A4453">
        <v>4452</v>
      </c>
      <c r="B4453">
        <v>2024</v>
      </c>
      <c r="C4453">
        <v>1</v>
      </c>
      <c r="D4453">
        <v>31</v>
      </c>
      <c r="E4453" s="1">
        <v>-1.4</v>
      </c>
      <c r="F4453" t="s">
        <v>14</v>
      </c>
      <c r="G4453" t="str">
        <f>_xlfn.XLOOKUP(transakcje[[#This Row],[podkategoria]],parametr[podkategoria],parametr[kategoria])</f>
        <v>opłaty stałe</v>
      </c>
      <c r="H4453" t="str">
        <f>_xlfn.XLOOKUP(transakcje[[#This Row],[kategoria]],parametr[kategoria],parametr[typ])</f>
        <v>wydatki</v>
      </c>
      <c r="I4453" s="1">
        <f>ABS(transakcje[[#This Row],[kwota]])</f>
        <v>1.4</v>
      </c>
    </row>
    <row r="4454" spans="1:9" x14ac:dyDescent="0.3">
      <c r="A4454">
        <v>4453</v>
      </c>
      <c r="B4454">
        <v>2024</v>
      </c>
      <c r="C4454">
        <v>1</v>
      </c>
      <c r="D4454">
        <v>31</v>
      </c>
      <c r="E4454" s="1">
        <v>-2.0019999999999998</v>
      </c>
      <c r="F4454" t="s">
        <v>26</v>
      </c>
      <c r="G4454" t="str">
        <f>_xlfn.XLOOKUP(transakcje[[#This Row],[podkategoria]],parametr[podkategoria],parametr[kategoria])</f>
        <v>życie</v>
      </c>
      <c r="H4454" t="str">
        <f>_xlfn.XLOOKUP(transakcje[[#This Row],[kategoria]],parametr[kategoria],parametr[typ])</f>
        <v>wydatki</v>
      </c>
      <c r="I4454" s="1">
        <f>ABS(transakcje[[#This Row],[kwota]])</f>
        <v>2.0019999999999998</v>
      </c>
    </row>
    <row r="4455" spans="1:9" x14ac:dyDescent="0.3">
      <c r="A4455">
        <v>4454</v>
      </c>
      <c r="B4455">
        <v>2024</v>
      </c>
      <c r="C4455">
        <v>1</v>
      </c>
      <c r="D4455">
        <v>31</v>
      </c>
      <c r="E4455" s="1">
        <v>2E-3</v>
      </c>
      <c r="F4455" t="s">
        <v>17</v>
      </c>
      <c r="G4455" t="str">
        <f>_xlfn.XLOOKUP(transakcje[[#This Row],[podkategoria]],parametr[podkategoria],parametr[kategoria])</f>
        <v>dochody pozostałe</v>
      </c>
      <c r="H4455" t="str">
        <f>_xlfn.XLOOKUP(transakcje[[#This Row],[kategoria]],parametr[kategoria],parametr[typ])</f>
        <v>dochody</v>
      </c>
      <c r="I4455" s="1">
        <f>ABS(transakcje[[#This Row],[kwota]])</f>
        <v>2E-3</v>
      </c>
    </row>
    <row r="4456" spans="1:9" x14ac:dyDescent="0.3">
      <c r="A4456">
        <v>4455</v>
      </c>
      <c r="B4456">
        <v>2024</v>
      </c>
      <c r="C4456">
        <v>2</v>
      </c>
      <c r="D4456">
        <v>1</v>
      </c>
      <c r="E4456" s="1">
        <v>-1.5</v>
      </c>
      <c r="F4456" t="s">
        <v>26</v>
      </c>
      <c r="G4456" t="str">
        <f>_xlfn.XLOOKUP(transakcje[[#This Row],[podkategoria]],parametr[podkategoria],parametr[kategoria])</f>
        <v>życie</v>
      </c>
      <c r="H4456" t="str">
        <f>_xlfn.XLOOKUP(transakcje[[#This Row],[kategoria]],parametr[kategoria],parametr[typ])</f>
        <v>wydatki</v>
      </c>
      <c r="I4456" s="1">
        <f>ABS(transakcje[[#This Row],[kwota]])</f>
        <v>1.5</v>
      </c>
    </row>
    <row r="4457" spans="1:9" x14ac:dyDescent="0.3">
      <c r="A4457">
        <v>4456</v>
      </c>
      <c r="B4457">
        <v>2024</v>
      </c>
      <c r="C4457">
        <v>2</v>
      </c>
      <c r="D4457">
        <v>1</v>
      </c>
      <c r="E4457" s="1">
        <v>-1.05</v>
      </c>
      <c r="F4457" t="s">
        <v>26</v>
      </c>
      <c r="G4457" t="str">
        <f>_xlfn.XLOOKUP(transakcje[[#This Row],[podkategoria]],parametr[podkategoria],parametr[kategoria])</f>
        <v>życie</v>
      </c>
      <c r="H4457" t="str">
        <f>_xlfn.XLOOKUP(transakcje[[#This Row],[kategoria]],parametr[kategoria],parametr[typ])</f>
        <v>wydatki</v>
      </c>
      <c r="I4457" s="1">
        <f>ABS(transakcje[[#This Row],[kwota]])</f>
        <v>1.05</v>
      </c>
    </row>
    <row r="4458" spans="1:9" x14ac:dyDescent="0.3">
      <c r="A4458">
        <v>4457</v>
      </c>
      <c r="B4458">
        <v>2024</v>
      </c>
      <c r="C4458">
        <v>2</v>
      </c>
      <c r="D4458">
        <v>1</v>
      </c>
      <c r="E4458" s="1">
        <v>-5.8659999999999997</v>
      </c>
      <c r="F4458" t="s">
        <v>26</v>
      </c>
      <c r="G4458" t="str">
        <f>_xlfn.XLOOKUP(transakcje[[#This Row],[podkategoria]],parametr[podkategoria],parametr[kategoria])</f>
        <v>życie</v>
      </c>
      <c r="H4458" t="str">
        <f>_xlfn.XLOOKUP(transakcje[[#This Row],[kategoria]],parametr[kategoria],parametr[typ])</f>
        <v>wydatki</v>
      </c>
      <c r="I4458" s="1">
        <f>ABS(transakcje[[#This Row],[kwota]])</f>
        <v>5.8659999999999997</v>
      </c>
    </row>
    <row r="4459" spans="1:9" x14ac:dyDescent="0.3">
      <c r="A4459">
        <v>4458</v>
      </c>
      <c r="B4459">
        <v>2024</v>
      </c>
      <c r="C4459">
        <v>2</v>
      </c>
      <c r="D4459">
        <v>2</v>
      </c>
      <c r="E4459" s="1">
        <v>1011.4799999999999</v>
      </c>
      <c r="F4459" t="s">
        <v>22</v>
      </c>
      <c r="G4459" t="str">
        <f>_xlfn.XLOOKUP(transakcje[[#This Row],[podkategoria]],parametr[podkategoria],parametr[kategoria])</f>
        <v>dochody z pracy</v>
      </c>
      <c r="H4459" t="str">
        <f>_xlfn.XLOOKUP(transakcje[[#This Row],[kategoria]],parametr[kategoria],parametr[typ])</f>
        <v>dochody</v>
      </c>
      <c r="I4459" s="1">
        <f>ABS(transakcje[[#This Row],[kwota]])</f>
        <v>1011.4799999999999</v>
      </c>
    </row>
    <row r="4460" spans="1:9" x14ac:dyDescent="0.3">
      <c r="A4460">
        <v>4459</v>
      </c>
      <c r="B4460">
        <v>2024</v>
      </c>
      <c r="C4460">
        <v>2</v>
      </c>
      <c r="D4460">
        <v>3</v>
      </c>
      <c r="E4460" s="1">
        <v>20.268000000000001</v>
      </c>
      <c r="F4460" t="s">
        <v>11</v>
      </c>
      <c r="G4460" t="str">
        <f>_xlfn.XLOOKUP(transakcje[[#This Row],[podkategoria]],parametr[podkategoria],parametr[kategoria])</f>
        <v>wydatki inne</v>
      </c>
      <c r="H4460" t="str">
        <f>_xlfn.XLOOKUP(transakcje[[#This Row],[kategoria]],parametr[kategoria],parametr[typ])</f>
        <v>wydatki</v>
      </c>
      <c r="I4460" s="1">
        <f>ABS(transakcje[[#This Row],[kwota]])</f>
        <v>20.268000000000001</v>
      </c>
    </row>
    <row r="4461" spans="1:9" x14ac:dyDescent="0.3">
      <c r="A4461">
        <v>4460</v>
      </c>
      <c r="B4461">
        <v>2024</v>
      </c>
      <c r="C4461">
        <v>2</v>
      </c>
      <c r="D4461">
        <v>3</v>
      </c>
      <c r="E4461" s="1">
        <v>-5.8</v>
      </c>
      <c r="F4461" t="s">
        <v>25</v>
      </c>
      <c r="G4461" t="str">
        <f>_xlfn.XLOOKUP(transakcje[[#This Row],[podkategoria]],parametr[podkategoria],parametr[kategoria])</f>
        <v>opłaty stałe</v>
      </c>
      <c r="H4461" t="str">
        <f>_xlfn.XLOOKUP(transakcje[[#This Row],[kategoria]],parametr[kategoria],parametr[typ])</f>
        <v>wydatki</v>
      </c>
      <c r="I4461" s="1">
        <f>ABS(transakcje[[#This Row],[kwota]])</f>
        <v>5.8</v>
      </c>
    </row>
    <row r="4462" spans="1:9" x14ac:dyDescent="0.3">
      <c r="A4462">
        <v>4461</v>
      </c>
      <c r="B4462">
        <v>2024</v>
      </c>
      <c r="C4462">
        <v>2</v>
      </c>
      <c r="D4462">
        <v>3</v>
      </c>
      <c r="E4462" s="1">
        <v>-8.6</v>
      </c>
      <c r="F4462" t="s">
        <v>23</v>
      </c>
      <c r="G4462" t="str">
        <f>_xlfn.XLOOKUP(transakcje[[#This Row],[podkategoria]],parametr[podkategoria],parametr[kategoria])</f>
        <v>opłaty stałe</v>
      </c>
      <c r="H4462" t="str">
        <f>_xlfn.XLOOKUP(transakcje[[#This Row],[kategoria]],parametr[kategoria],parametr[typ])</f>
        <v>wydatki</v>
      </c>
      <c r="I4462" s="1">
        <f>ABS(transakcje[[#This Row],[kwota]])</f>
        <v>8.6</v>
      </c>
    </row>
    <row r="4463" spans="1:9" x14ac:dyDescent="0.3">
      <c r="A4463">
        <v>4462</v>
      </c>
      <c r="B4463">
        <v>2024</v>
      </c>
      <c r="C4463">
        <v>2</v>
      </c>
      <c r="D4463">
        <v>3</v>
      </c>
      <c r="E4463" s="1">
        <v>-119.91600000000001</v>
      </c>
      <c r="F4463" t="s">
        <v>31</v>
      </c>
      <c r="G4463" t="str">
        <f>_xlfn.XLOOKUP(transakcje[[#This Row],[podkategoria]],parametr[podkategoria],parametr[kategoria])</f>
        <v>opłaty stałe</v>
      </c>
      <c r="H4463" t="str">
        <f>_xlfn.XLOOKUP(transakcje[[#This Row],[kategoria]],parametr[kategoria],parametr[typ])</f>
        <v>wydatki</v>
      </c>
      <c r="I4463" s="1">
        <f>ABS(transakcje[[#This Row],[kwota]])</f>
        <v>119.91600000000001</v>
      </c>
    </row>
    <row r="4464" spans="1:9" x14ac:dyDescent="0.3">
      <c r="A4464">
        <v>4463</v>
      </c>
      <c r="B4464">
        <v>2024</v>
      </c>
      <c r="C4464">
        <v>2</v>
      </c>
      <c r="D4464">
        <v>3</v>
      </c>
      <c r="E4464" s="1">
        <v>-9.9980000000000011</v>
      </c>
      <c r="F4464" t="s">
        <v>11</v>
      </c>
      <c r="G4464" t="str">
        <f>_xlfn.XLOOKUP(transakcje[[#This Row],[podkategoria]],parametr[podkategoria],parametr[kategoria])</f>
        <v>wydatki inne</v>
      </c>
      <c r="H4464" t="str">
        <f>_xlfn.XLOOKUP(transakcje[[#This Row],[kategoria]],parametr[kategoria],parametr[typ])</f>
        <v>wydatki</v>
      </c>
      <c r="I4464" s="1">
        <f>ABS(transakcje[[#This Row],[kwota]])</f>
        <v>9.9980000000000011</v>
      </c>
    </row>
    <row r="4465" spans="1:9" x14ac:dyDescent="0.3">
      <c r="A4465">
        <v>4464</v>
      </c>
      <c r="B4465">
        <v>2024</v>
      </c>
      <c r="C4465">
        <v>2</v>
      </c>
      <c r="D4465">
        <v>3</v>
      </c>
      <c r="E4465" s="1">
        <v>-20.268000000000001</v>
      </c>
      <c r="F4465" t="s">
        <v>11</v>
      </c>
      <c r="G4465" t="str">
        <f>_xlfn.XLOOKUP(transakcje[[#This Row],[podkategoria]],parametr[podkategoria],parametr[kategoria])</f>
        <v>wydatki inne</v>
      </c>
      <c r="H4465" t="str">
        <f>_xlfn.XLOOKUP(transakcje[[#This Row],[kategoria]],parametr[kategoria],parametr[typ])</f>
        <v>wydatki</v>
      </c>
      <c r="I4465" s="1">
        <f>ABS(transakcje[[#This Row],[kwota]])</f>
        <v>20.268000000000001</v>
      </c>
    </row>
    <row r="4466" spans="1:9" x14ac:dyDescent="0.3">
      <c r="A4466">
        <v>4465</v>
      </c>
      <c r="B4466">
        <v>2024</v>
      </c>
      <c r="C4466">
        <v>2</v>
      </c>
      <c r="D4466">
        <v>7</v>
      </c>
      <c r="E4466" s="1">
        <v>-5.6139999999999999</v>
      </c>
      <c r="F4466" t="s">
        <v>26</v>
      </c>
      <c r="G4466" t="str">
        <f>_xlfn.XLOOKUP(transakcje[[#This Row],[podkategoria]],parametr[podkategoria],parametr[kategoria])</f>
        <v>życie</v>
      </c>
      <c r="H4466" t="str">
        <f>_xlfn.XLOOKUP(transakcje[[#This Row],[kategoria]],parametr[kategoria],parametr[typ])</f>
        <v>wydatki</v>
      </c>
      <c r="I4466" s="1">
        <f>ABS(transakcje[[#This Row],[kwota]])</f>
        <v>5.6139999999999999</v>
      </c>
    </row>
    <row r="4467" spans="1:9" x14ac:dyDescent="0.3">
      <c r="A4467">
        <v>4466</v>
      </c>
      <c r="B4467">
        <v>2024</v>
      </c>
      <c r="C4467">
        <v>2</v>
      </c>
      <c r="D4467">
        <v>7</v>
      </c>
      <c r="E4467" s="1">
        <v>-0.97</v>
      </c>
      <c r="F4467" t="s">
        <v>26</v>
      </c>
      <c r="G4467" t="str">
        <f>_xlfn.XLOOKUP(transakcje[[#This Row],[podkategoria]],parametr[podkategoria],parametr[kategoria])</f>
        <v>życie</v>
      </c>
      <c r="H4467" t="str">
        <f>_xlfn.XLOOKUP(transakcje[[#This Row],[kategoria]],parametr[kategoria],parametr[typ])</f>
        <v>wydatki</v>
      </c>
      <c r="I4467" s="1">
        <f>ABS(transakcje[[#This Row],[kwota]])</f>
        <v>0.97</v>
      </c>
    </row>
    <row r="4468" spans="1:9" x14ac:dyDescent="0.3">
      <c r="A4468">
        <v>4467</v>
      </c>
      <c r="B4468">
        <v>2024</v>
      </c>
      <c r="C4468">
        <v>2</v>
      </c>
      <c r="D4468">
        <v>7</v>
      </c>
      <c r="E4468" s="1">
        <v>-12.623999999999999</v>
      </c>
      <c r="F4468" t="s">
        <v>26</v>
      </c>
      <c r="G4468" t="str">
        <f>_xlfn.XLOOKUP(transakcje[[#This Row],[podkategoria]],parametr[podkategoria],parametr[kategoria])</f>
        <v>życie</v>
      </c>
      <c r="H4468" t="str">
        <f>_xlfn.XLOOKUP(transakcje[[#This Row],[kategoria]],parametr[kategoria],parametr[typ])</f>
        <v>wydatki</v>
      </c>
      <c r="I4468" s="1">
        <f>ABS(transakcje[[#This Row],[kwota]])</f>
        <v>12.623999999999999</v>
      </c>
    </row>
    <row r="4469" spans="1:9" x14ac:dyDescent="0.3">
      <c r="A4469">
        <v>4468</v>
      </c>
      <c r="B4469">
        <v>2024</v>
      </c>
      <c r="C4469">
        <v>2</v>
      </c>
      <c r="D4469">
        <v>8</v>
      </c>
      <c r="E4469" s="1">
        <v>-0.48600000000000004</v>
      </c>
      <c r="F4469" t="s">
        <v>26</v>
      </c>
      <c r="G4469" t="str">
        <f>_xlfn.XLOOKUP(transakcje[[#This Row],[podkategoria]],parametr[podkategoria],parametr[kategoria])</f>
        <v>życie</v>
      </c>
      <c r="H4469" t="str">
        <f>_xlfn.XLOOKUP(transakcje[[#This Row],[kategoria]],parametr[kategoria],parametr[typ])</f>
        <v>wydatki</v>
      </c>
      <c r="I4469" s="1">
        <f>ABS(transakcje[[#This Row],[kwota]])</f>
        <v>0.48600000000000004</v>
      </c>
    </row>
    <row r="4470" spans="1:9" x14ac:dyDescent="0.3">
      <c r="A4470">
        <v>4469</v>
      </c>
      <c r="B4470">
        <v>2024</v>
      </c>
      <c r="C4470">
        <v>2</v>
      </c>
      <c r="D4470">
        <v>12</v>
      </c>
      <c r="E4470" s="1">
        <v>-1.224</v>
      </c>
      <c r="F4470" t="s">
        <v>26</v>
      </c>
      <c r="G4470" t="str">
        <f>_xlfn.XLOOKUP(transakcje[[#This Row],[podkategoria]],parametr[podkategoria],parametr[kategoria])</f>
        <v>życie</v>
      </c>
      <c r="H4470" t="str">
        <f>_xlfn.XLOOKUP(transakcje[[#This Row],[kategoria]],parametr[kategoria],parametr[typ])</f>
        <v>wydatki</v>
      </c>
      <c r="I4470" s="1">
        <f>ABS(transakcje[[#This Row],[kwota]])</f>
        <v>1.224</v>
      </c>
    </row>
    <row r="4471" spans="1:9" x14ac:dyDescent="0.3">
      <c r="A4471">
        <v>4470</v>
      </c>
      <c r="B4471">
        <v>2024</v>
      </c>
      <c r="C4471">
        <v>2</v>
      </c>
      <c r="D4471">
        <v>12</v>
      </c>
      <c r="E4471" s="1">
        <v>-0.2</v>
      </c>
      <c r="F4471" t="s">
        <v>14</v>
      </c>
      <c r="G4471" t="str">
        <f>_xlfn.XLOOKUP(transakcje[[#This Row],[podkategoria]],parametr[podkategoria],parametr[kategoria])</f>
        <v>opłaty stałe</v>
      </c>
      <c r="H4471" t="str">
        <f>_xlfn.XLOOKUP(transakcje[[#This Row],[kategoria]],parametr[kategoria],parametr[typ])</f>
        <v>wydatki</v>
      </c>
      <c r="I4471" s="1">
        <f>ABS(transakcje[[#This Row],[kwota]])</f>
        <v>0.2</v>
      </c>
    </row>
    <row r="4472" spans="1:9" x14ac:dyDescent="0.3">
      <c r="A4472">
        <v>4471</v>
      </c>
      <c r="B4472">
        <v>2024</v>
      </c>
      <c r="C4472">
        <v>2</v>
      </c>
      <c r="D4472">
        <v>14</v>
      </c>
      <c r="E4472" s="1">
        <v>-5.26</v>
      </c>
      <c r="F4472" t="s">
        <v>26</v>
      </c>
      <c r="G4472" t="str">
        <f>_xlfn.XLOOKUP(transakcje[[#This Row],[podkategoria]],parametr[podkategoria],parametr[kategoria])</f>
        <v>życie</v>
      </c>
      <c r="H4472" t="str">
        <f>_xlfn.XLOOKUP(transakcje[[#This Row],[kategoria]],parametr[kategoria],parametr[typ])</f>
        <v>wydatki</v>
      </c>
      <c r="I4472" s="1">
        <f>ABS(transakcje[[#This Row],[kwota]])</f>
        <v>5.26</v>
      </c>
    </row>
    <row r="4473" spans="1:9" x14ac:dyDescent="0.3">
      <c r="A4473">
        <v>4472</v>
      </c>
      <c r="B4473">
        <v>2024</v>
      </c>
      <c r="C4473">
        <v>2</v>
      </c>
      <c r="D4473">
        <v>14</v>
      </c>
      <c r="E4473" s="1">
        <v>-0.97</v>
      </c>
      <c r="F4473" t="s">
        <v>26</v>
      </c>
      <c r="G4473" t="str">
        <f>_xlfn.XLOOKUP(transakcje[[#This Row],[podkategoria]],parametr[podkategoria],parametr[kategoria])</f>
        <v>życie</v>
      </c>
      <c r="H4473" t="str">
        <f>_xlfn.XLOOKUP(transakcje[[#This Row],[kategoria]],parametr[kategoria],parametr[typ])</f>
        <v>wydatki</v>
      </c>
      <c r="I4473" s="1">
        <f>ABS(transakcje[[#This Row],[kwota]])</f>
        <v>0.97</v>
      </c>
    </row>
    <row r="4474" spans="1:9" x14ac:dyDescent="0.3">
      <c r="A4474">
        <v>4473</v>
      </c>
      <c r="B4474">
        <v>2024</v>
      </c>
      <c r="C4474">
        <v>2</v>
      </c>
      <c r="D4474">
        <v>14</v>
      </c>
      <c r="E4474" s="1">
        <v>-12.404</v>
      </c>
      <c r="F4474" t="s">
        <v>26</v>
      </c>
      <c r="G4474" t="str">
        <f>_xlfn.XLOOKUP(transakcje[[#This Row],[podkategoria]],parametr[podkategoria],parametr[kategoria])</f>
        <v>życie</v>
      </c>
      <c r="H4474" t="str">
        <f>_xlfn.XLOOKUP(transakcje[[#This Row],[kategoria]],parametr[kategoria],parametr[typ])</f>
        <v>wydatki</v>
      </c>
      <c r="I4474" s="1">
        <f>ABS(transakcje[[#This Row],[kwota]])</f>
        <v>12.404</v>
      </c>
    </row>
    <row r="4475" spans="1:9" x14ac:dyDescent="0.3">
      <c r="A4475">
        <v>4474</v>
      </c>
      <c r="B4475">
        <v>2024</v>
      </c>
      <c r="C4475">
        <v>2</v>
      </c>
      <c r="D4475">
        <v>17</v>
      </c>
      <c r="E4475" s="1">
        <v>-12.4</v>
      </c>
      <c r="F4475" t="s">
        <v>36</v>
      </c>
      <c r="G4475" t="str">
        <f>_xlfn.XLOOKUP(transakcje[[#This Row],[podkategoria]],parametr[podkategoria],parametr[kategoria])</f>
        <v>opłaty stałe</v>
      </c>
      <c r="H4475" t="str">
        <f>_xlfn.XLOOKUP(transakcje[[#This Row],[kategoria]],parametr[kategoria],parametr[typ])</f>
        <v>wydatki</v>
      </c>
      <c r="I4475" s="1">
        <f>ABS(transakcje[[#This Row],[kwota]])</f>
        <v>12.4</v>
      </c>
    </row>
    <row r="4476" spans="1:9" x14ac:dyDescent="0.3">
      <c r="A4476">
        <v>4475</v>
      </c>
      <c r="B4476">
        <v>2024</v>
      </c>
      <c r="C4476">
        <v>2</v>
      </c>
      <c r="D4476">
        <v>19</v>
      </c>
      <c r="E4476" s="1">
        <v>-1.05</v>
      </c>
      <c r="F4476" t="s">
        <v>26</v>
      </c>
      <c r="G4476" t="str">
        <f>_xlfn.XLOOKUP(transakcje[[#This Row],[podkategoria]],parametr[podkategoria],parametr[kategoria])</f>
        <v>życie</v>
      </c>
      <c r="H4476" t="str">
        <f>_xlfn.XLOOKUP(transakcje[[#This Row],[kategoria]],parametr[kategoria],parametr[typ])</f>
        <v>wydatki</v>
      </c>
      <c r="I4476" s="1">
        <f>ABS(transakcje[[#This Row],[kwota]])</f>
        <v>1.05</v>
      </c>
    </row>
    <row r="4477" spans="1:9" x14ac:dyDescent="0.3">
      <c r="A4477">
        <v>4476</v>
      </c>
      <c r="B4477">
        <v>2024</v>
      </c>
      <c r="C4477">
        <v>2</v>
      </c>
      <c r="D4477">
        <v>20</v>
      </c>
      <c r="E4477" s="1">
        <v>-6.4560000000000004</v>
      </c>
      <c r="F4477" t="s">
        <v>26</v>
      </c>
      <c r="G4477" t="str">
        <f>_xlfn.XLOOKUP(transakcje[[#This Row],[podkategoria]],parametr[podkategoria],parametr[kategoria])</f>
        <v>życie</v>
      </c>
      <c r="H4477" t="str">
        <f>_xlfn.XLOOKUP(transakcje[[#This Row],[kategoria]],parametr[kategoria],parametr[typ])</f>
        <v>wydatki</v>
      </c>
      <c r="I4477" s="1">
        <f>ABS(transakcje[[#This Row],[kwota]])</f>
        <v>6.4560000000000004</v>
      </c>
    </row>
    <row r="4478" spans="1:9" x14ac:dyDescent="0.3">
      <c r="A4478">
        <v>4477</v>
      </c>
      <c r="B4478">
        <v>2024</v>
      </c>
      <c r="C4478">
        <v>2</v>
      </c>
      <c r="D4478">
        <v>20</v>
      </c>
      <c r="E4478" s="1">
        <v>-13.538</v>
      </c>
      <c r="F4478" t="s">
        <v>26</v>
      </c>
      <c r="G4478" t="str">
        <f>_xlfn.XLOOKUP(transakcje[[#This Row],[podkategoria]],parametr[podkategoria],parametr[kategoria])</f>
        <v>życie</v>
      </c>
      <c r="H4478" t="str">
        <f>_xlfn.XLOOKUP(transakcje[[#This Row],[kategoria]],parametr[kategoria],parametr[typ])</f>
        <v>wydatki</v>
      </c>
      <c r="I4478" s="1">
        <f>ABS(transakcje[[#This Row],[kwota]])</f>
        <v>13.538</v>
      </c>
    </row>
    <row r="4479" spans="1:9" x14ac:dyDescent="0.3">
      <c r="A4479">
        <v>4478</v>
      </c>
      <c r="B4479">
        <v>2024</v>
      </c>
      <c r="C4479">
        <v>2</v>
      </c>
      <c r="D4479">
        <v>21</v>
      </c>
      <c r="E4479" s="1">
        <v>-1.05</v>
      </c>
      <c r="F4479" t="s">
        <v>26</v>
      </c>
      <c r="G4479" t="str">
        <f>_xlfn.XLOOKUP(transakcje[[#This Row],[podkategoria]],parametr[podkategoria],parametr[kategoria])</f>
        <v>życie</v>
      </c>
      <c r="H4479" t="str">
        <f>_xlfn.XLOOKUP(transakcje[[#This Row],[kategoria]],parametr[kategoria],parametr[typ])</f>
        <v>wydatki</v>
      </c>
      <c r="I4479" s="1">
        <f>ABS(transakcje[[#This Row],[kwota]])</f>
        <v>1.05</v>
      </c>
    </row>
    <row r="4480" spans="1:9" x14ac:dyDescent="0.3">
      <c r="A4480">
        <v>4479</v>
      </c>
      <c r="B4480">
        <v>2024</v>
      </c>
      <c r="C4480">
        <v>2</v>
      </c>
      <c r="D4480">
        <v>22</v>
      </c>
      <c r="E4480" s="1">
        <v>-2.8319999999999999</v>
      </c>
      <c r="F4480" t="s">
        <v>26</v>
      </c>
      <c r="G4480" t="str">
        <f>_xlfn.XLOOKUP(transakcje[[#This Row],[podkategoria]],parametr[podkategoria],parametr[kategoria])</f>
        <v>życie</v>
      </c>
      <c r="H4480" t="str">
        <f>_xlfn.XLOOKUP(transakcje[[#This Row],[kategoria]],parametr[kategoria],parametr[typ])</f>
        <v>wydatki</v>
      </c>
      <c r="I4480" s="1">
        <f>ABS(transakcje[[#This Row],[kwota]])</f>
        <v>2.8319999999999999</v>
      </c>
    </row>
    <row r="4481" spans="1:9" x14ac:dyDescent="0.3">
      <c r="A4481">
        <v>4480</v>
      </c>
      <c r="B4481">
        <v>2024</v>
      </c>
      <c r="C4481">
        <v>2</v>
      </c>
      <c r="D4481">
        <v>26</v>
      </c>
      <c r="E4481" s="1">
        <v>1255.8799999999999</v>
      </c>
      <c r="F4481" t="s">
        <v>8</v>
      </c>
      <c r="G4481" t="str">
        <f>_xlfn.XLOOKUP(transakcje[[#This Row],[podkategoria]],parametr[podkategoria],parametr[kategoria])</f>
        <v>dochody z pracy</v>
      </c>
      <c r="H4481" t="str">
        <f>_xlfn.XLOOKUP(transakcje[[#This Row],[kategoria]],parametr[kategoria],parametr[typ])</f>
        <v>dochody</v>
      </c>
      <c r="I4481" s="1">
        <f>ABS(transakcje[[#This Row],[kwota]])</f>
        <v>1255.8799999999999</v>
      </c>
    </row>
    <row r="4482" spans="1:9" x14ac:dyDescent="0.3">
      <c r="A4482">
        <v>4481</v>
      </c>
      <c r="B4482">
        <v>2024</v>
      </c>
      <c r="C4482">
        <v>2</v>
      </c>
      <c r="D4482">
        <v>26</v>
      </c>
      <c r="E4482" s="1">
        <v>-166.59399999999999</v>
      </c>
      <c r="F4482" t="s">
        <v>11</v>
      </c>
      <c r="G4482" t="str">
        <f>_xlfn.XLOOKUP(transakcje[[#This Row],[podkategoria]],parametr[podkategoria],parametr[kategoria])</f>
        <v>wydatki inne</v>
      </c>
      <c r="H4482" t="str">
        <f>_xlfn.XLOOKUP(transakcje[[#This Row],[kategoria]],parametr[kategoria],parametr[typ])</f>
        <v>wydatki</v>
      </c>
      <c r="I4482" s="1">
        <f>ABS(transakcje[[#This Row],[kwota]])</f>
        <v>166.59399999999999</v>
      </c>
    </row>
    <row r="4483" spans="1:9" x14ac:dyDescent="0.3">
      <c r="A4483">
        <v>4482</v>
      </c>
      <c r="B4483">
        <v>2024</v>
      </c>
      <c r="C4483">
        <v>2</v>
      </c>
      <c r="D4483">
        <v>26</v>
      </c>
      <c r="E4483" s="1">
        <v>-23.8</v>
      </c>
      <c r="F4483" t="s">
        <v>32</v>
      </c>
      <c r="G4483" t="str">
        <f>_xlfn.XLOOKUP(transakcje[[#This Row],[podkategoria]],parametr[podkategoria],parametr[kategoria])</f>
        <v>opłaty stałe</v>
      </c>
      <c r="H4483" t="str">
        <f>_xlfn.XLOOKUP(transakcje[[#This Row],[kategoria]],parametr[kategoria],parametr[typ])</f>
        <v>wydatki</v>
      </c>
      <c r="I4483" s="1">
        <f>ABS(transakcje[[#This Row],[kwota]])</f>
        <v>23.8</v>
      </c>
    </row>
    <row r="4484" spans="1:9" x14ac:dyDescent="0.3">
      <c r="A4484">
        <v>4483</v>
      </c>
      <c r="B4484">
        <v>2024</v>
      </c>
      <c r="C4484">
        <v>2</v>
      </c>
      <c r="D4484">
        <v>27</v>
      </c>
      <c r="E4484" s="1">
        <v>-0.48600000000000004</v>
      </c>
      <c r="F4484" t="s">
        <v>26</v>
      </c>
      <c r="G4484" t="str">
        <f>_xlfn.XLOOKUP(transakcje[[#This Row],[podkategoria]],parametr[podkategoria],parametr[kategoria])</f>
        <v>życie</v>
      </c>
      <c r="H4484" t="str">
        <f>_xlfn.XLOOKUP(transakcje[[#This Row],[kategoria]],parametr[kategoria],parametr[typ])</f>
        <v>wydatki</v>
      </c>
      <c r="I4484" s="1">
        <f>ABS(transakcje[[#This Row],[kwota]])</f>
        <v>0.48600000000000004</v>
      </c>
    </row>
    <row r="4485" spans="1:9" x14ac:dyDescent="0.3">
      <c r="A4485">
        <v>4484</v>
      </c>
      <c r="B4485">
        <v>2024</v>
      </c>
      <c r="C4485">
        <v>2</v>
      </c>
      <c r="D4485">
        <v>28</v>
      </c>
      <c r="E4485" s="1">
        <v>-3.1059999999999999</v>
      </c>
      <c r="F4485" t="s">
        <v>26</v>
      </c>
      <c r="G4485" t="str">
        <f>_xlfn.XLOOKUP(transakcje[[#This Row],[podkategoria]],parametr[podkategoria],parametr[kategoria])</f>
        <v>życie</v>
      </c>
      <c r="H4485" t="str">
        <f>_xlfn.XLOOKUP(transakcje[[#This Row],[kategoria]],parametr[kategoria],parametr[typ])</f>
        <v>wydatki</v>
      </c>
      <c r="I4485" s="1">
        <f>ABS(transakcje[[#This Row],[kwota]])</f>
        <v>3.1059999999999999</v>
      </c>
    </row>
    <row r="4486" spans="1:9" x14ac:dyDescent="0.3">
      <c r="A4486">
        <v>4485</v>
      </c>
      <c r="B4486">
        <v>2024</v>
      </c>
      <c r="C4486">
        <v>2</v>
      </c>
      <c r="D4486">
        <v>28</v>
      </c>
      <c r="E4486" s="1">
        <v>-0.97</v>
      </c>
      <c r="F4486" t="s">
        <v>26</v>
      </c>
      <c r="G4486" t="str">
        <f>_xlfn.XLOOKUP(transakcje[[#This Row],[podkategoria]],parametr[podkategoria],parametr[kategoria])</f>
        <v>życie</v>
      </c>
      <c r="H4486" t="str">
        <f>_xlfn.XLOOKUP(transakcje[[#This Row],[kategoria]],parametr[kategoria],parametr[typ])</f>
        <v>wydatki</v>
      </c>
      <c r="I4486" s="1">
        <f>ABS(transakcje[[#This Row],[kwota]])</f>
        <v>0.97</v>
      </c>
    </row>
    <row r="4487" spans="1:9" x14ac:dyDescent="0.3">
      <c r="A4487">
        <v>4486</v>
      </c>
      <c r="B4487">
        <v>2024</v>
      </c>
      <c r="C4487">
        <v>2</v>
      </c>
      <c r="D4487">
        <v>28</v>
      </c>
      <c r="E4487" s="1">
        <v>-19.265999999999998</v>
      </c>
      <c r="F4487" t="s">
        <v>26</v>
      </c>
      <c r="G4487" t="str">
        <f>_xlfn.XLOOKUP(transakcje[[#This Row],[podkategoria]],parametr[podkategoria],parametr[kategoria])</f>
        <v>życie</v>
      </c>
      <c r="H4487" t="str">
        <f>_xlfn.XLOOKUP(transakcje[[#This Row],[kategoria]],parametr[kategoria],parametr[typ])</f>
        <v>wydatki</v>
      </c>
      <c r="I4487" s="1">
        <f>ABS(transakcje[[#This Row],[kwota]])</f>
        <v>19.265999999999998</v>
      </c>
    </row>
    <row r="4488" spans="1:9" x14ac:dyDescent="0.3">
      <c r="A4488">
        <v>4487</v>
      </c>
      <c r="B4488">
        <v>2024</v>
      </c>
      <c r="C4488">
        <v>2</v>
      </c>
      <c r="D4488">
        <v>29</v>
      </c>
      <c r="E4488" s="1">
        <v>-2E-3</v>
      </c>
      <c r="F4488" t="s">
        <v>14</v>
      </c>
      <c r="G4488" t="str">
        <f>_xlfn.XLOOKUP(transakcje[[#This Row],[podkategoria]],parametr[podkategoria],parametr[kategoria])</f>
        <v>opłaty stałe</v>
      </c>
      <c r="H4488" t="str">
        <f>_xlfn.XLOOKUP(transakcje[[#This Row],[kategoria]],parametr[kategoria],parametr[typ])</f>
        <v>wydatki</v>
      </c>
      <c r="I4488" s="1">
        <f>ABS(transakcje[[#This Row],[kwota]])</f>
        <v>2E-3</v>
      </c>
    </row>
    <row r="4489" spans="1:9" x14ac:dyDescent="0.3">
      <c r="A4489">
        <v>4488</v>
      </c>
      <c r="B4489">
        <v>2024</v>
      </c>
      <c r="C4489">
        <v>2</v>
      </c>
      <c r="D4489">
        <v>29</v>
      </c>
      <c r="E4489" s="1">
        <v>-1.4</v>
      </c>
      <c r="F4489" t="s">
        <v>14</v>
      </c>
      <c r="G4489" t="str">
        <f>_xlfn.XLOOKUP(transakcje[[#This Row],[podkategoria]],parametr[podkategoria],parametr[kategoria])</f>
        <v>opłaty stałe</v>
      </c>
      <c r="H4489" t="str">
        <f>_xlfn.XLOOKUP(transakcje[[#This Row],[kategoria]],parametr[kategoria],parametr[typ])</f>
        <v>wydatki</v>
      </c>
      <c r="I4489" s="1">
        <f>ABS(transakcje[[#This Row],[kwota]])</f>
        <v>1.4</v>
      </c>
    </row>
    <row r="4490" spans="1:9" x14ac:dyDescent="0.3">
      <c r="A4490">
        <v>4489</v>
      </c>
      <c r="B4490">
        <v>2024</v>
      </c>
      <c r="C4490">
        <v>2</v>
      </c>
      <c r="D4490">
        <v>29</v>
      </c>
      <c r="E4490" s="1">
        <v>4.0000000000000001E-3</v>
      </c>
      <c r="F4490" t="s">
        <v>17</v>
      </c>
      <c r="G4490" t="str">
        <f>_xlfn.XLOOKUP(transakcje[[#This Row],[podkategoria]],parametr[podkategoria],parametr[kategoria])</f>
        <v>dochody pozostałe</v>
      </c>
      <c r="H4490" t="str">
        <f>_xlfn.XLOOKUP(transakcje[[#This Row],[kategoria]],parametr[kategoria],parametr[typ])</f>
        <v>dochody</v>
      </c>
      <c r="I4490" s="1">
        <f>ABS(transakcje[[#This Row],[kwota]])</f>
        <v>4.0000000000000001E-3</v>
      </c>
    </row>
    <row r="4491" spans="1:9" x14ac:dyDescent="0.3">
      <c r="A4491">
        <v>4490</v>
      </c>
      <c r="B4491">
        <v>2024</v>
      </c>
      <c r="C4491">
        <v>3</v>
      </c>
      <c r="D4491">
        <v>1</v>
      </c>
      <c r="E4491" s="1">
        <v>-3.0739999999999998</v>
      </c>
      <c r="F4491" t="s">
        <v>26</v>
      </c>
      <c r="G4491" t="str">
        <f>_xlfn.XLOOKUP(transakcje[[#This Row],[podkategoria]],parametr[podkategoria],parametr[kategoria])</f>
        <v>życie</v>
      </c>
      <c r="H4491" t="str">
        <f>_xlfn.XLOOKUP(transakcje[[#This Row],[kategoria]],parametr[kategoria],parametr[typ])</f>
        <v>wydatki</v>
      </c>
      <c r="I4491" s="1">
        <f>ABS(transakcje[[#This Row],[kwota]])</f>
        <v>3.0739999999999998</v>
      </c>
    </row>
    <row r="4492" spans="1:9" x14ac:dyDescent="0.3">
      <c r="A4492">
        <v>4491</v>
      </c>
      <c r="B4492">
        <v>2024</v>
      </c>
      <c r="C4492">
        <v>3</v>
      </c>
      <c r="D4492">
        <v>1</v>
      </c>
      <c r="E4492" s="1">
        <v>-0.48600000000000004</v>
      </c>
      <c r="F4492" t="s">
        <v>26</v>
      </c>
      <c r="G4492" t="str">
        <f>_xlfn.XLOOKUP(transakcje[[#This Row],[podkategoria]],parametr[podkategoria],parametr[kategoria])</f>
        <v>życie</v>
      </c>
      <c r="H4492" t="str">
        <f>_xlfn.XLOOKUP(transakcje[[#This Row],[kategoria]],parametr[kategoria],parametr[typ])</f>
        <v>wydatki</v>
      </c>
      <c r="I4492" s="1">
        <f>ABS(transakcje[[#This Row],[kwota]])</f>
        <v>0.48600000000000004</v>
      </c>
    </row>
    <row r="4493" spans="1:9" x14ac:dyDescent="0.3">
      <c r="A4493">
        <v>4492</v>
      </c>
      <c r="B4493">
        <v>2024</v>
      </c>
      <c r="C4493">
        <v>3</v>
      </c>
      <c r="D4493">
        <v>2</v>
      </c>
      <c r="E4493" s="1">
        <v>-25.606000000000002</v>
      </c>
      <c r="F4493" t="s">
        <v>34</v>
      </c>
      <c r="G4493" t="str">
        <f>_xlfn.XLOOKUP(transakcje[[#This Row],[podkategoria]],parametr[podkategoria],parametr[kategoria])</f>
        <v>opłaty stałe</v>
      </c>
      <c r="H4493" t="str">
        <f>_xlfn.XLOOKUP(transakcje[[#This Row],[kategoria]],parametr[kategoria],parametr[typ])</f>
        <v>wydatki</v>
      </c>
      <c r="I4493" s="1">
        <f>ABS(transakcje[[#This Row],[kwota]])</f>
        <v>25.606000000000002</v>
      </c>
    </row>
    <row r="4494" spans="1:9" x14ac:dyDescent="0.3">
      <c r="A4494">
        <v>4493</v>
      </c>
      <c r="B4494">
        <v>2024</v>
      </c>
      <c r="C4494">
        <v>3</v>
      </c>
      <c r="D4494">
        <v>2</v>
      </c>
      <c r="E4494" s="1">
        <v>-5.1680000000000001</v>
      </c>
      <c r="F4494" t="s">
        <v>26</v>
      </c>
      <c r="G4494" t="str">
        <f>_xlfn.XLOOKUP(transakcje[[#This Row],[podkategoria]],parametr[podkategoria],parametr[kategoria])</f>
        <v>życie</v>
      </c>
      <c r="H4494" t="str">
        <f>_xlfn.XLOOKUP(transakcje[[#This Row],[kategoria]],parametr[kategoria],parametr[typ])</f>
        <v>wydatki</v>
      </c>
      <c r="I4494" s="1">
        <f>ABS(transakcje[[#This Row],[kwota]])</f>
        <v>5.1680000000000001</v>
      </c>
    </row>
    <row r="4495" spans="1:9" x14ac:dyDescent="0.3">
      <c r="A4495">
        <v>4494</v>
      </c>
      <c r="B4495">
        <v>2024</v>
      </c>
      <c r="C4495">
        <v>3</v>
      </c>
      <c r="D4495">
        <v>2</v>
      </c>
      <c r="E4495" s="1">
        <v>-5.8</v>
      </c>
      <c r="F4495" t="s">
        <v>25</v>
      </c>
      <c r="G4495" t="str">
        <f>_xlfn.XLOOKUP(transakcje[[#This Row],[podkategoria]],parametr[podkategoria],parametr[kategoria])</f>
        <v>opłaty stałe</v>
      </c>
      <c r="H4495" t="str">
        <f>_xlfn.XLOOKUP(transakcje[[#This Row],[kategoria]],parametr[kategoria],parametr[typ])</f>
        <v>wydatki</v>
      </c>
      <c r="I4495" s="1">
        <f>ABS(transakcje[[#This Row],[kwota]])</f>
        <v>5.8</v>
      </c>
    </row>
    <row r="4496" spans="1:9" x14ac:dyDescent="0.3">
      <c r="A4496">
        <v>4495</v>
      </c>
      <c r="B4496">
        <v>2024</v>
      </c>
      <c r="C4496">
        <v>3</v>
      </c>
      <c r="D4496">
        <v>2</v>
      </c>
      <c r="E4496" s="1">
        <v>-116.60999999999999</v>
      </c>
      <c r="F4496" t="s">
        <v>31</v>
      </c>
      <c r="G4496" t="str">
        <f>_xlfn.XLOOKUP(transakcje[[#This Row],[podkategoria]],parametr[podkategoria],parametr[kategoria])</f>
        <v>opłaty stałe</v>
      </c>
      <c r="H4496" t="str">
        <f>_xlfn.XLOOKUP(transakcje[[#This Row],[kategoria]],parametr[kategoria],parametr[typ])</f>
        <v>wydatki</v>
      </c>
      <c r="I4496" s="1">
        <f>ABS(transakcje[[#This Row],[kwota]])</f>
        <v>116.60999999999999</v>
      </c>
    </row>
    <row r="4497" spans="1:9" x14ac:dyDescent="0.3">
      <c r="A4497">
        <v>4496</v>
      </c>
      <c r="B4497">
        <v>2024</v>
      </c>
      <c r="C4497">
        <v>3</v>
      </c>
      <c r="D4497">
        <v>2</v>
      </c>
      <c r="E4497" s="1">
        <v>-8.6</v>
      </c>
      <c r="F4497" t="s">
        <v>23</v>
      </c>
      <c r="G4497" t="str">
        <f>_xlfn.XLOOKUP(transakcje[[#This Row],[podkategoria]],parametr[podkategoria],parametr[kategoria])</f>
        <v>opłaty stałe</v>
      </c>
      <c r="H4497" t="str">
        <f>_xlfn.XLOOKUP(transakcje[[#This Row],[kategoria]],parametr[kategoria],parametr[typ])</f>
        <v>wydatki</v>
      </c>
      <c r="I4497" s="1">
        <f>ABS(transakcje[[#This Row],[kwota]])</f>
        <v>8.6</v>
      </c>
    </row>
    <row r="4498" spans="1:9" x14ac:dyDescent="0.3">
      <c r="A4498">
        <v>4497</v>
      </c>
      <c r="B4498">
        <v>2024</v>
      </c>
      <c r="C4498">
        <v>3</v>
      </c>
      <c r="D4498">
        <v>2</v>
      </c>
      <c r="E4498" s="1">
        <v>-9.9980000000000011</v>
      </c>
      <c r="F4498" t="s">
        <v>11</v>
      </c>
      <c r="G4498" t="str">
        <f>_xlfn.XLOOKUP(transakcje[[#This Row],[podkategoria]],parametr[podkategoria],parametr[kategoria])</f>
        <v>wydatki inne</v>
      </c>
      <c r="H4498" t="str">
        <f>_xlfn.XLOOKUP(transakcje[[#This Row],[kategoria]],parametr[kategoria],parametr[typ])</f>
        <v>wydatki</v>
      </c>
      <c r="I4498" s="1">
        <f>ABS(transakcje[[#This Row],[kwota]])</f>
        <v>9.9980000000000011</v>
      </c>
    </row>
    <row r="4499" spans="1:9" x14ac:dyDescent="0.3">
      <c r="A4499">
        <v>4498</v>
      </c>
      <c r="B4499">
        <v>2024</v>
      </c>
      <c r="C4499">
        <v>3</v>
      </c>
      <c r="D4499">
        <v>2</v>
      </c>
      <c r="E4499" s="1">
        <v>-9.0579999999999998</v>
      </c>
      <c r="F4499" t="s">
        <v>35</v>
      </c>
      <c r="G4499" t="str">
        <f>_xlfn.XLOOKUP(transakcje[[#This Row],[podkategoria]],parametr[podkategoria],parametr[kategoria])</f>
        <v>opłaty stałe</v>
      </c>
      <c r="H4499" t="str">
        <f>_xlfn.XLOOKUP(transakcje[[#This Row],[kategoria]],parametr[kategoria],parametr[typ])</f>
        <v>wydatki</v>
      </c>
      <c r="I4499" s="1">
        <f>ABS(transakcje[[#This Row],[kwota]])</f>
        <v>9.0579999999999998</v>
      </c>
    </row>
    <row r="4500" spans="1:9" x14ac:dyDescent="0.3">
      <c r="A4500">
        <v>4499</v>
      </c>
      <c r="B4500">
        <v>2024</v>
      </c>
      <c r="C4500">
        <v>3</v>
      </c>
      <c r="D4500">
        <v>4</v>
      </c>
      <c r="E4500" s="1">
        <v>-0.52600000000000002</v>
      </c>
      <c r="F4500" t="s">
        <v>26</v>
      </c>
      <c r="G4500" t="str">
        <f>_xlfn.XLOOKUP(transakcje[[#This Row],[podkategoria]],parametr[podkategoria],parametr[kategoria])</f>
        <v>życie</v>
      </c>
      <c r="H4500" t="str">
        <f>_xlfn.XLOOKUP(transakcje[[#This Row],[kategoria]],parametr[kategoria],parametr[typ])</f>
        <v>wydatki</v>
      </c>
      <c r="I4500" s="1">
        <f>ABS(transakcje[[#This Row],[kwota]])</f>
        <v>0.52600000000000002</v>
      </c>
    </row>
    <row r="4501" spans="1:9" x14ac:dyDescent="0.3">
      <c r="A4501">
        <v>4500</v>
      </c>
      <c r="B4501">
        <v>2024</v>
      </c>
      <c r="C4501">
        <v>3</v>
      </c>
      <c r="D4501">
        <v>5</v>
      </c>
      <c r="E4501" s="1">
        <v>-12.969999999999999</v>
      </c>
      <c r="F4501" t="s">
        <v>26</v>
      </c>
      <c r="G4501" t="str">
        <f>_xlfn.XLOOKUP(transakcje[[#This Row],[podkategoria]],parametr[podkategoria],parametr[kategoria])</f>
        <v>życie</v>
      </c>
      <c r="H4501" t="str">
        <f>_xlfn.XLOOKUP(transakcje[[#This Row],[kategoria]],parametr[kategoria],parametr[typ])</f>
        <v>wydatki</v>
      </c>
      <c r="I4501" s="1">
        <f>ABS(transakcje[[#This Row],[kwota]])</f>
        <v>12.969999999999999</v>
      </c>
    </row>
    <row r="4502" spans="1:9" x14ac:dyDescent="0.3">
      <c r="A4502">
        <v>4501</v>
      </c>
      <c r="B4502">
        <v>2024</v>
      </c>
      <c r="C4502">
        <v>3</v>
      </c>
      <c r="D4502">
        <v>6</v>
      </c>
      <c r="E4502" s="1">
        <v>-0.97</v>
      </c>
      <c r="F4502" t="s">
        <v>26</v>
      </c>
      <c r="G4502" t="str">
        <f>_xlfn.XLOOKUP(transakcje[[#This Row],[podkategoria]],parametr[podkategoria],parametr[kategoria])</f>
        <v>życie</v>
      </c>
      <c r="H4502" t="str">
        <f>_xlfn.XLOOKUP(transakcje[[#This Row],[kategoria]],parametr[kategoria],parametr[typ])</f>
        <v>wydatki</v>
      </c>
      <c r="I4502" s="1">
        <f>ABS(transakcje[[#This Row],[kwota]])</f>
        <v>0.97</v>
      </c>
    </row>
    <row r="4503" spans="1:9" x14ac:dyDescent="0.3">
      <c r="A4503">
        <v>4502</v>
      </c>
      <c r="B4503">
        <v>2024</v>
      </c>
      <c r="C4503">
        <v>3</v>
      </c>
      <c r="D4503">
        <v>7</v>
      </c>
      <c r="E4503" s="1">
        <v>-2.996</v>
      </c>
      <c r="F4503" t="s">
        <v>26</v>
      </c>
      <c r="G4503" t="str">
        <f>_xlfn.XLOOKUP(transakcje[[#This Row],[podkategoria]],parametr[podkategoria],parametr[kategoria])</f>
        <v>życie</v>
      </c>
      <c r="H4503" t="str">
        <f>_xlfn.XLOOKUP(transakcje[[#This Row],[kategoria]],parametr[kategoria],parametr[typ])</f>
        <v>wydatki</v>
      </c>
      <c r="I4503" s="1">
        <f>ABS(transakcje[[#This Row],[kwota]])</f>
        <v>2.996</v>
      </c>
    </row>
    <row r="4504" spans="1:9" x14ac:dyDescent="0.3">
      <c r="A4504">
        <v>4503</v>
      </c>
      <c r="B4504">
        <v>2024</v>
      </c>
      <c r="C4504">
        <v>3</v>
      </c>
      <c r="D4504">
        <v>9</v>
      </c>
      <c r="E4504" s="1">
        <v>-57.597999999999999</v>
      </c>
      <c r="F4504" t="s">
        <v>11</v>
      </c>
      <c r="G4504" t="str">
        <f>_xlfn.XLOOKUP(transakcje[[#This Row],[podkategoria]],parametr[podkategoria],parametr[kategoria])</f>
        <v>wydatki inne</v>
      </c>
      <c r="H4504" t="str">
        <f>_xlfn.XLOOKUP(transakcje[[#This Row],[kategoria]],parametr[kategoria],parametr[typ])</f>
        <v>wydatki</v>
      </c>
      <c r="I4504" s="1">
        <f>ABS(transakcje[[#This Row],[kwota]])</f>
        <v>57.597999999999999</v>
      </c>
    </row>
    <row r="4505" spans="1:9" x14ac:dyDescent="0.3">
      <c r="A4505">
        <v>4504</v>
      </c>
      <c r="B4505">
        <v>2024</v>
      </c>
      <c r="C4505">
        <v>3</v>
      </c>
      <c r="D4505">
        <v>12</v>
      </c>
      <c r="E4505" s="1">
        <v>-3.0960000000000001</v>
      </c>
      <c r="F4505" t="s">
        <v>26</v>
      </c>
      <c r="G4505" t="str">
        <f>_xlfn.XLOOKUP(transakcje[[#This Row],[podkategoria]],parametr[podkategoria],parametr[kategoria])</f>
        <v>życie</v>
      </c>
      <c r="H4505" t="str">
        <f>_xlfn.XLOOKUP(transakcje[[#This Row],[kategoria]],parametr[kategoria],parametr[typ])</f>
        <v>wydatki</v>
      </c>
      <c r="I4505" s="1">
        <f>ABS(transakcje[[#This Row],[kwota]])</f>
        <v>3.0960000000000001</v>
      </c>
    </row>
    <row r="4506" spans="1:9" x14ac:dyDescent="0.3">
      <c r="A4506">
        <v>4505</v>
      </c>
      <c r="B4506">
        <v>2024</v>
      </c>
      <c r="C4506">
        <v>3</v>
      </c>
      <c r="D4506">
        <v>12</v>
      </c>
      <c r="E4506" s="1">
        <v>-0.97</v>
      </c>
      <c r="F4506" t="s">
        <v>26</v>
      </c>
      <c r="G4506" t="str">
        <f>_xlfn.XLOOKUP(transakcje[[#This Row],[podkategoria]],parametr[podkategoria],parametr[kategoria])</f>
        <v>życie</v>
      </c>
      <c r="H4506" t="str">
        <f>_xlfn.XLOOKUP(transakcje[[#This Row],[kategoria]],parametr[kategoria],parametr[typ])</f>
        <v>wydatki</v>
      </c>
      <c r="I4506" s="1">
        <f>ABS(transakcje[[#This Row],[kwota]])</f>
        <v>0.97</v>
      </c>
    </row>
    <row r="4507" spans="1:9" x14ac:dyDescent="0.3">
      <c r="A4507">
        <v>4506</v>
      </c>
      <c r="B4507">
        <v>2024</v>
      </c>
      <c r="C4507">
        <v>3</v>
      </c>
      <c r="D4507">
        <v>12</v>
      </c>
      <c r="E4507" s="1">
        <v>-44.186</v>
      </c>
      <c r="F4507" t="s">
        <v>26</v>
      </c>
      <c r="G4507" t="str">
        <f>_xlfn.XLOOKUP(transakcje[[#This Row],[podkategoria]],parametr[podkategoria],parametr[kategoria])</f>
        <v>życie</v>
      </c>
      <c r="H4507" t="str">
        <f>_xlfn.XLOOKUP(transakcje[[#This Row],[kategoria]],parametr[kategoria],parametr[typ])</f>
        <v>wydatki</v>
      </c>
      <c r="I4507" s="1">
        <f>ABS(transakcje[[#This Row],[kwota]])</f>
        <v>44.186</v>
      </c>
    </row>
    <row r="4508" spans="1:9" x14ac:dyDescent="0.3">
      <c r="A4508">
        <v>4507</v>
      </c>
      <c r="B4508">
        <v>2024</v>
      </c>
      <c r="C4508">
        <v>3</v>
      </c>
      <c r="D4508">
        <v>13</v>
      </c>
      <c r="E4508" s="1">
        <v>-2.024</v>
      </c>
      <c r="F4508" t="s">
        <v>26</v>
      </c>
      <c r="G4508" t="str">
        <f>_xlfn.XLOOKUP(transakcje[[#This Row],[podkategoria]],parametr[podkategoria],parametr[kategoria])</f>
        <v>życie</v>
      </c>
      <c r="H4508" t="str">
        <f>_xlfn.XLOOKUP(transakcje[[#This Row],[kategoria]],parametr[kategoria],parametr[typ])</f>
        <v>wydatki</v>
      </c>
      <c r="I4508" s="1">
        <f>ABS(transakcje[[#This Row],[kwota]])</f>
        <v>2.024</v>
      </c>
    </row>
    <row r="4509" spans="1:9" x14ac:dyDescent="0.3">
      <c r="A4509">
        <v>4508</v>
      </c>
      <c r="B4509">
        <v>2024</v>
      </c>
      <c r="C4509">
        <v>3</v>
      </c>
      <c r="D4509">
        <v>15</v>
      </c>
      <c r="E4509" s="1">
        <v>-0.2</v>
      </c>
      <c r="F4509" t="s">
        <v>14</v>
      </c>
      <c r="G4509" t="str">
        <f>_xlfn.XLOOKUP(transakcje[[#This Row],[podkategoria]],parametr[podkategoria],parametr[kategoria])</f>
        <v>opłaty stałe</v>
      </c>
      <c r="H4509" t="str">
        <f>_xlfn.XLOOKUP(transakcje[[#This Row],[kategoria]],parametr[kategoria],parametr[typ])</f>
        <v>wydatki</v>
      </c>
      <c r="I4509" s="1">
        <f>ABS(transakcje[[#This Row],[kwota]])</f>
        <v>0.2</v>
      </c>
    </row>
    <row r="4510" spans="1:9" x14ac:dyDescent="0.3">
      <c r="A4510">
        <v>4509</v>
      </c>
      <c r="B4510">
        <v>2024</v>
      </c>
      <c r="C4510">
        <v>3</v>
      </c>
      <c r="D4510">
        <v>19</v>
      </c>
      <c r="E4510" s="1">
        <v>-5.5759999999999996</v>
      </c>
      <c r="F4510" t="s">
        <v>26</v>
      </c>
      <c r="G4510" t="str">
        <f>_xlfn.XLOOKUP(transakcje[[#This Row],[podkategoria]],parametr[podkategoria],parametr[kategoria])</f>
        <v>życie</v>
      </c>
      <c r="H4510" t="str">
        <f>_xlfn.XLOOKUP(transakcje[[#This Row],[kategoria]],parametr[kategoria],parametr[typ])</f>
        <v>wydatki</v>
      </c>
      <c r="I4510" s="1">
        <f>ABS(transakcje[[#This Row],[kwota]])</f>
        <v>5.5759999999999996</v>
      </c>
    </row>
    <row r="4511" spans="1:9" x14ac:dyDescent="0.3">
      <c r="A4511">
        <v>4510</v>
      </c>
      <c r="B4511">
        <v>2024</v>
      </c>
      <c r="C4511">
        <v>3</v>
      </c>
      <c r="D4511">
        <v>19</v>
      </c>
      <c r="E4511" s="1">
        <v>-0.97</v>
      </c>
      <c r="F4511" t="s">
        <v>26</v>
      </c>
      <c r="G4511" t="str">
        <f>_xlfn.XLOOKUP(transakcje[[#This Row],[podkategoria]],parametr[podkategoria],parametr[kategoria])</f>
        <v>życie</v>
      </c>
      <c r="H4511" t="str">
        <f>_xlfn.XLOOKUP(transakcje[[#This Row],[kategoria]],parametr[kategoria],parametr[typ])</f>
        <v>wydatki</v>
      </c>
      <c r="I4511" s="1">
        <f>ABS(transakcje[[#This Row],[kwota]])</f>
        <v>0.97</v>
      </c>
    </row>
    <row r="4512" spans="1:9" x14ac:dyDescent="0.3">
      <c r="A4512">
        <v>4511</v>
      </c>
      <c r="B4512">
        <v>2024</v>
      </c>
      <c r="C4512">
        <v>3</v>
      </c>
      <c r="D4512">
        <v>19</v>
      </c>
      <c r="E4512" s="1">
        <v>-24.736000000000001</v>
      </c>
      <c r="F4512" t="s">
        <v>26</v>
      </c>
      <c r="G4512" t="str">
        <f>_xlfn.XLOOKUP(transakcje[[#This Row],[podkategoria]],parametr[podkategoria],parametr[kategoria])</f>
        <v>życie</v>
      </c>
      <c r="H4512" t="str">
        <f>_xlfn.XLOOKUP(transakcje[[#This Row],[kategoria]],parametr[kategoria],parametr[typ])</f>
        <v>wydatki</v>
      </c>
      <c r="I4512" s="1">
        <f>ABS(transakcje[[#This Row],[kwota]])</f>
        <v>24.736000000000001</v>
      </c>
    </row>
    <row r="4513" spans="1:9" x14ac:dyDescent="0.3">
      <c r="A4513">
        <v>4512</v>
      </c>
      <c r="B4513">
        <v>2024</v>
      </c>
      <c r="C4513">
        <v>3</v>
      </c>
      <c r="D4513">
        <v>20</v>
      </c>
      <c r="E4513" s="1">
        <v>-0.52600000000000002</v>
      </c>
      <c r="F4513" t="s">
        <v>26</v>
      </c>
      <c r="G4513" t="str">
        <f>_xlfn.XLOOKUP(transakcje[[#This Row],[podkategoria]],parametr[podkategoria],parametr[kategoria])</f>
        <v>życie</v>
      </c>
      <c r="H4513" t="str">
        <f>_xlfn.XLOOKUP(transakcje[[#This Row],[kategoria]],parametr[kategoria],parametr[typ])</f>
        <v>wydatki</v>
      </c>
      <c r="I4513" s="1">
        <f>ABS(transakcje[[#This Row],[kwota]])</f>
        <v>0.52600000000000002</v>
      </c>
    </row>
    <row r="4514" spans="1:9" x14ac:dyDescent="0.3">
      <c r="A4514">
        <v>4513</v>
      </c>
      <c r="B4514">
        <v>2024</v>
      </c>
      <c r="C4514">
        <v>3</v>
      </c>
      <c r="D4514">
        <v>20</v>
      </c>
      <c r="E4514" s="1">
        <v>-25.722000000000001</v>
      </c>
      <c r="F4514" t="s">
        <v>26</v>
      </c>
      <c r="G4514" t="str">
        <f>_xlfn.XLOOKUP(transakcje[[#This Row],[podkategoria]],parametr[podkategoria],parametr[kategoria])</f>
        <v>życie</v>
      </c>
      <c r="H4514" t="str">
        <f>_xlfn.XLOOKUP(transakcje[[#This Row],[kategoria]],parametr[kategoria],parametr[typ])</f>
        <v>wydatki</v>
      </c>
      <c r="I4514" s="1">
        <f>ABS(transakcje[[#This Row],[kwota]])</f>
        <v>25.722000000000001</v>
      </c>
    </row>
    <row r="4515" spans="1:9" x14ac:dyDescent="0.3">
      <c r="A4515">
        <v>4514</v>
      </c>
      <c r="B4515">
        <v>2024</v>
      </c>
      <c r="C4515">
        <v>3</v>
      </c>
      <c r="D4515">
        <v>22</v>
      </c>
      <c r="E4515" s="1">
        <v>-1.3599999999999999</v>
      </c>
      <c r="F4515" t="s">
        <v>26</v>
      </c>
      <c r="G4515" t="str">
        <f>_xlfn.XLOOKUP(transakcje[[#This Row],[podkategoria]],parametr[podkategoria],parametr[kategoria])</f>
        <v>życie</v>
      </c>
      <c r="H4515" t="str">
        <f>_xlfn.XLOOKUP(transakcje[[#This Row],[kategoria]],parametr[kategoria],parametr[typ])</f>
        <v>wydatki</v>
      </c>
      <c r="I4515" s="1">
        <f>ABS(transakcje[[#This Row],[kwota]])</f>
        <v>1.3599999999999999</v>
      </c>
    </row>
    <row r="4516" spans="1:9" x14ac:dyDescent="0.3">
      <c r="A4516">
        <v>4515</v>
      </c>
      <c r="B4516">
        <v>2024</v>
      </c>
      <c r="C4516">
        <v>3</v>
      </c>
      <c r="D4516">
        <v>22</v>
      </c>
      <c r="E4516" s="1">
        <v>-0.48600000000000004</v>
      </c>
      <c r="F4516" t="s">
        <v>26</v>
      </c>
      <c r="G4516" t="str">
        <f>_xlfn.XLOOKUP(transakcje[[#This Row],[podkategoria]],parametr[podkategoria],parametr[kategoria])</f>
        <v>życie</v>
      </c>
      <c r="H4516" t="str">
        <f>_xlfn.XLOOKUP(transakcje[[#This Row],[kategoria]],parametr[kategoria],parametr[typ])</f>
        <v>wydatki</v>
      </c>
      <c r="I4516" s="1">
        <f>ABS(transakcje[[#This Row],[kwota]])</f>
        <v>0.48600000000000004</v>
      </c>
    </row>
    <row r="4517" spans="1:9" x14ac:dyDescent="0.3">
      <c r="A4517">
        <v>4516</v>
      </c>
      <c r="B4517">
        <v>2024</v>
      </c>
      <c r="C4517">
        <v>3</v>
      </c>
      <c r="D4517">
        <v>23</v>
      </c>
      <c r="E4517" s="1">
        <v>-23.8</v>
      </c>
      <c r="F4517" t="s">
        <v>32</v>
      </c>
      <c r="G4517" t="str">
        <f>_xlfn.XLOOKUP(transakcje[[#This Row],[podkategoria]],parametr[podkategoria],parametr[kategoria])</f>
        <v>opłaty stałe</v>
      </c>
      <c r="H4517" t="str">
        <f>_xlfn.XLOOKUP(transakcje[[#This Row],[kategoria]],parametr[kategoria],parametr[typ])</f>
        <v>wydatki</v>
      </c>
      <c r="I4517" s="1">
        <f>ABS(transakcje[[#This Row],[kwota]])</f>
        <v>23.8</v>
      </c>
    </row>
    <row r="4518" spans="1:9" x14ac:dyDescent="0.3">
      <c r="A4518">
        <v>4517</v>
      </c>
      <c r="B4518">
        <v>2024</v>
      </c>
      <c r="C4518">
        <v>3</v>
      </c>
      <c r="D4518">
        <v>25</v>
      </c>
      <c r="E4518" s="1">
        <v>1255.8820000000001</v>
      </c>
      <c r="F4518" t="s">
        <v>8</v>
      </c>
      <c r="G4518" t="str">
        <f>_xlfn.XLOOKUP(transakcje[[#This Row],[podkategoria]],parametr[podkategoria],parametr[kategoria])</f>
        <v>dochody z pracy</v>
      </c>
      <c r="H4518" t="str">
        <f>_xlfn.XLOOKUP(transakcje[[#This Row],[kategoria]],parametr[kategoria],parametr[typ])</f>
        <v>dochody</v>
      </c>
      <c r="I4518" s="1">
        <f>ABS(transakcje[[#This Row],[kwota]])</f>
        <v>1255.8820000000001</v>
      </c>
    </row>
    <row r="4519" spans="1:9" x14ac:dyDescent="0.3">
      <c r="A4519">
        <v>4518</v>
      </c>
      <c r="B4519">
        <v>2024</v>
      </c>
      <c r="C4519">
        <v>3</v>
      </c>
      <c r="D4519">
        <v>27</v>
      </c>
      <c r="E4519" s="1">
        <v>-1.456</v>
      </c>
      <c r="F4519" t="s">
        <v>26</v>
      </c>
      <c r="G4519" t="str">
        <f>_xlfn.XLOOKUP(transakcje[[#This Row],[podkategoria]],parametr[podkategoria],parametr[kategoria])</f>
        <v>życie</v>
      </c>
      <c r="H4519" t="str">
        <f>_xlfn.XLOOKUP(transakcje[[#This Row],[kategoria]],parametr[kategoria],parametr[typ])</f>
        <v>wydatki</v>
      </c>
      <c r="I4519" s="1">
        <f>ABS(transakcje[[#This Row],[kwota]])</f>
        <v>1.456</v>
      </c>
    </row>
    <row r="4520" spans="1:9" x14ac:dyDescent="0.3">
      <c r="A4520">
        <v>4519</v>
      </c>
      <c r="B4520">
        <v>2024</v>
      </c>
      <c r="C4520">
        <v>3</v>
      </c>
      <c r="D4520">
        <v>30</v>
      </c>
      <c r="E4520" s="1">
        <v>-1.4</v>
      </c>
      <c r="F4520" t="s">
        <v>14</v>
      </c>
      <c r="G4520" t="str">
        <f>_xlfn.XLOOKUP(transakcje[[#This Row],[podkategoria]],parametr[podkategoria],parametr[kategoria])</f>
        <v>opłaty stałe</v>
      </c>
      <c r="H4520" t="str">
        <f>_xlfn.XLOOKUP(transakcje[[#This Row],[kategoria]],parametr[kategoria],parametr[typ])</f>
        <v>wydatki</v>
      </c>
      <c r="I4520" s="1">
        <f>ABS(transakcje[[#This Row],[kwota]])</f>
        <v>1.4</v>
      </c>
    </row>
    <row r="4521" spans="1:9" x14ac:dyDescent="0.3">
      <c r="A4521">
        <v>4520</v>
      </c>
      <c r="B4521">
        <v>2024</v>
      </c>
      <c r="C4521">
        <v>3</v>
      </c>
      <c r="D4521">
        <v>30</v>
      </c>
      <c r="E4521" s="1">
        <v>4.0000000000000001E-3</v>
      </c>
      <c r="F4521" t="s">
        <v>17</v>
      </c>
      <c r="G4521" t="str">
        <f>_xlfn.XLOOKUP(transakcje[[#This Row],[podkategoria]],parametr[podkategoria],parametr[kategoria])</f>
        <v>dochody pozostałe</v>
      </c>
      <c r="H4521" t="str">
        <f>_xlfn.XLOOKUP(transakcje[[#This Row],[kategoria]],parametr[kategoria],parametr[typ])</f>
        <v>dochody</v>
      </c>
      <c r="I4521" s="1">
        <f>ABS(transakcje[[#This Row],[kwota]])</f>
        <v>4.0000000000000001E-3</v>
      </c>
    </row>
    <row r="4522" spans="1:9" x14ac:dyDescent="0.3">
      <c r="A4522">
        <v>4521</v>
      </c>
      <c r="B4522">
        <v>2024</v>
      </c>
      <c r="C4522">
        <v>3</v>
      </c>
      <c r="D4522">
        <v>30</v>
      </c>
      <c r="E4522" s="1">
        <v>-2E-3</v>
      </c>
      <c r="F4522" t="s">
        <v>14</v>
      </c>
      <c r="G4522" t="str">
        <f>_xlfn.XLOOKUP(transakcje[[#This Row],[podkategoria]],parametr[podkategoria],parametr[kategoria])</f>
        <v>opłaty stałe</v>
      </c>
      <c r="H4522" t="str">
        <f>_xlfn.XLOOKUP(transakcje[[#This Row],[kategoria]],parametr[kategoria],parametr[typ])</f>
        <v>wydatki</v>
      </c>
      <c r="I4522" s="1">
        <f>ABS(transakcje[[#This Row],[kwota]])</f>
        <v>2E-3</v>
      </c>
    </row>
    <row r="4523" spans="1:9" x14ac:dyDescent="0.3">
      <c r="A4523">
        <v>4522</v>
      </c>
      <c r="B4523">
        <v>2024</v>
      </c>
      <c r="C4523">
        <v>4</v>
      </c>
      <c r="D4523">
        <v>3</v>
      </c>
      <c r="E4523" s="1">
        <v>-12.278</v>
      </c>
      <c r="F4523" t="s">
        <v>26</v>
      </c>
      <c r="G4523" t="str">
        <f>_xlfn.XLOOKUP(transakcje[[#This Row],[podkategoria]],parametr[podkategoria],parametr[kategoria])</f>
        <v>życie</v>
      </c>
      <c r="H4523" t="str">
        <f>_xlfn.XLOOKUP(transakcje[[#This Row],[kategoria]],parametr[kategoria],parametr[typ])</f>
        <v>wydatki</v>
      </c>
      <c r="I4523" s="1">
        <f>ABS(transakcje[[#This Row],[kwota]])</f>
        <v>12.278</v>
      </c>
    </row>
    <row r="4524" spans="1:9" x14ac:dyDescent="0.3">
      <c r="A4524">
        <v>4523</v>
      </c>
      <c r="B4524">
        <v>2024</v>
      </c>
      <c r="C4524">
        <v>4</v>
      </c>
      <c r="D4524">
        <v>4</v>
      </c>
      <c r="E4524" s="1">
        <v>-1.018</v>
      </c>
      <c r="F4524" t="s">
        <v>26</v>
      </c>
      <c r="G4524" t="str">
        <f>_xlfn.XLOOKUP(transakcje[[#This Row],[podkategoria]],parametr[podkategoria],parametr[kategoria])</f>
        <v>życie</v>
      </c>
      <c r="H4524" t="str">
        <f>_xlfn.XLOOKUP(transakcje[[#This Row],[kategoria]],parametr[kategoria],parametr[typ])</f>
        <v>wydatki</v>
      </c>
      <c r="I4524" s="1">
        <f>ABS(transakcje[[#This Row],[kwota]])</f>
        <v>1.018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DBE9C-9D1D-4A28-826B-A2C2A10D9E34}">
  <sheetPr codeName="Arkusz6"/>
  <dimension ref="A1:D23"/>
  <sheetViews>
    <sheetView tabSelected="1" workbookViewId="0">
      <selection activeCell="C31" sqref="C31"/>
    </sheetView>
  </sheetViews>
  <sheetFormatPr defaultRowHeight="14.4" x14ac:dyDescent="0.3"/>
  <cols>
    <col min="2" max="2" width="14.44140625" customWidth="1"/>
    <col min="3" max="3" width="17.33203125" customWidth="1"/>
    <col min="4" max="4" width="16.44140625" customWidth="1"/>
  </cols>
  <sheetData>
    <row r="1" spans="1:4" x14ac:dyDescent="0.3">
      <c r="A1" t="s">
        <v>0</v>
      </c>
      <c r="B1" t="s">
        <v>5</v>
      </c>
      <c r="C1" t="s">
        <v>6</v>
      </c>
      <c r="D1" t="s">
        <v>7</v>
      </c>
    </row>
    <row r="2" spans="1:4" x14ac:dyDescent="0.3">
      <c r="A2">
        <v>1</v>
      </c>
      <c r="B2" t="s">
        <v>28</v>
      </c>
      <c r="C2" t="s">
        <v>18</v>
      </c>
      <c r="D2" t="s">
        <v>10</v>
      </c>
    </row>
    <row r="3" spans="1:4" x14ac:dyDescent="0.3">
      <c r="A3">
        <v>2</v>
      </c>
      <c r="B3" t="s">
        <v>17</v>
      </c>
      <c r="C3" t="s">
        <v>18</v>
      </c>
      <c r="D3" t="s">
        <v>10</v>
      </c>
    </row>
    <row r="4" spans="1:4" x14ac:dyDescent="0.3">
      <c r="A4">
        <v>3</v>
      </c>
      <c r="B4" t="s">
        <v>16</v>
      </c>
      <c r="C4" t="s">
        <v>9</v>
      </c>
      <c r="D4" t="s">
        <v>10</v>
      </c>
    </row>
    <row r="5" spans="1:4" x14ac:dyDescent="0.3">
      <c r="A5">
        <v>4</v>
      </c>
      <c r="B5" t="s">
        <v>19</v>
      </c>
      <c r="C5" t="s">
        <v>9</v>
      </c>
      <c r="D5" t="s">
        <v>10</v>
      </c>
    </row>
    <row r="6" spans="1:4" x14ac:dyDescent="0.3">
      <c r="A6">
        <v>5</v>
      </c>
      <c r="B6" t="s">
        <v>22</v>
      </c>
      <c r="C6" t="s">
        <v>9</v>
      </c>
      <c r="D6" t="s">
        <v>10</v>
      </c>
    </row>
    <row r="7" spans="1:4" x14ac:dyDescent="0.3">
      <c r="A7">
        <v>6</v>
      </c>
      <c r="B7" t="s">
        <v>8</v>
      </c>
      <c r="C7" t="s">
        <v>9</v>
      </c>
      <c r="D7" t="s">
        <v>10</v>
      </c>
    </row>
    <row r="8" spans="1:4" x14ac:dyDescent="0.3">
      <c r="A8">
        <v>7</v>
      </c>
      <c r="B8" t="s">
        <v>37</v>
      </c>
      <c r="C8" t="s">
        <v>15</v>
      </c>
      <c r="D8" t="s">
        <v>13</v>
      </c>
    </row>
    <row r="9" spans="1:4" x14ac:dyDescent="0.3">
      <c r="A9">
        <v>8</v>
      </c>
      <c r="B9" t="s">
        <v>31</v>
      </c>
      <c r="C9" t="s">
        <v>15</v>
      </c>
      <c r="D9" t="s">
        <v>13</v>
      </c>
    </row>
    <row r="10" spans="1:4" x14ac:dyDescent="0.3">
      <c r="A10">
        <v>9</v>
      </c>
      <c r="B10" t="s">
        <v>35</v>
      </c>
      <c r="C10" t="s">
        <v>15</v>
      </c>
      <c r="D10" t="s">
        <v>13</v>
      </c>
    </row>
    <row r="11" spans="1:4" x14ac:dyDescent="0.3">
      <c r="A11">
        <v>10</v>
      </c>
      <c r="B11" t="s">
        <v>23</v>
      </c>
      <c r="C11" t="s">
        <v>15</v>
      </c>
      <c r="D11" t="s">
        <v>13</v>
      </c>
    </row>
    <row r="12" spans="1:4" x14ac:dyDescent="0.3">
      <c r="A12">
        <v>12</v>
      </c>
      <c r="B12" t="s">
        <v>14</v>
      </c>
      <c r="C12" t="s">
        <v>15</v>
      </c>
      <c r="D12" t="s">
        <v>13</v>
      </c>
    </row>
    <row r="13" spans="1:4" x14ac:dyDescent="0.3">
      <c r="A13">
        <v>13</v>
      </c>
      <c r="B13" t="s">
        <v>36</v>
      </c>
      <c r="C13" t="s">
        <v>15</v>
      </c>
      <c r="D13" t="s">
        <v>13</v>
      </c>
    </row>
    <row r="14" spans="1:4" x14ac:dyDescent="0.3">
      <c r="A14">
        <v>14</v>
      </c>
      <c r="B14" t="s">
        <v>34</v>
      </c>
      <c r="C14" t="s">
        <v>15</v>
      </c>
      <c r="D14" t="s">
        <v>13</v>
      </c>
    </row>
    <row r="15" spans="1:4" x14ac:dyDescent="0.3">
      <c r="A15">
        <v>15</v>
      </c>
      <c r="B15" t="s">
        <v>25</v>
      </c>
      <c r="C15" t="s">
        <v>15</v>
      </c>
      <c r="D15" t="s">
        <v>13</v>
      </c>
    </row>
    <row r="16" spans="1:4" x14ac:dyDescent="0.3">
      <c r="A16">
        <v>16</v>
      </c>
      <c r="B16" t="s">
        <v>32</v>
      </c>
      <c r="C16" t="s">
        <v>15</v>
      </c>
      <c r="D16" t="s">
        <v>13</v>
      </c>
    </row>
    <row r="17" spans="1:4" x14ac:dyDescent="0.3">
      <c r="A17">
        <v>17</v>
      </c>
      <c r="B17" t="s">
        <v>29</v>
      </c>
      <c r="C17" t="s">
        <v>15</v>
      </c>
      <c r="D17" t="s">
        <v>13</v>
      </c>
    </row>
    <row r="18" spans="1:4" x14ac:dyDescent="0.3">
      <c r="A18">
        <v>18</v>
      </c>
      <c r="B18" t="s">
        <v>30</v>
      </c>
      <c r="C18" t="s">
        <v>15</v>
      </c>
      <c r="D18" t="s">
        <v>13</v>
      </c>
    </row>
    <row r="19" spans="1:4" x14ac:dyDescent="0.3">
      <c r="A19">
        <v>19</v>
      </c>
      <c r="B19" t="s">
        <v>24</v>
      </c>
      <c r="C19" t="s">
        <v>21</v>
      </c>
      <c r="D19" t="s">
        <v>13</v>
      </c>
    </row>
    <row r="20" spans="1:4" x14ac:dyDescent="0.3">
      <c r="A20">
        <v>20</v>
      </c>
      <c r="B20" t="s">
        <v>33</v>
      </c>
      <c r="C20" t="s">
        <v>21</v>
      </c>
      <c r="D20" t="s">
        <v>13</v>
      </c>
    </row>
    <row r="21" spans="1:4" x14ac:dyDescent="0.3">
      <c r="A21">
        <v>21</v>
      </c>
      <c r="B21" t="s">
        <v>20</v>
      </c>
      <c r="C21" t="s">
        <v>21</v>
      </c>
      <c r="D21" t="s">
        <v>13</v>
      </c>
    </row>
    <row r="22" spans="1:4" x14ac:dyDescent="0.3">
      <c r="A22">
        <v>23</v>
      </c>
      <c r="B22" t="s">
        <v>11</v>
      </c>
      <c r="C22" t="s">
        <v>12</v>
      </c>
      <c r="D22" t="s">
        <v>13</v>
      </c>
    </row>
    <row r="23" spans="1:4" x14ac:dyDescent="0.3">
      <c r="A23">
        <v>24</v>
      </c>
      <c r="B23" t="s">
        <v>26</v>
      </c>
      <c r="C23" t="s">
        <v>27</v>
      </c>
      <c r="D23" t="s">
        <v>13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Start</vt:lpstr>
      <vt:lpstr>bilans</vt:lpstr>
      <vt:lpstr>struktura</vt:lpstr>
      <vt:lpstr>statystyki</vt:lpstr>
      <vt:lpstr>transakcje</vt:lpstr>
      <vt:lpstr>parametr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 P</dc:creator>
  <cp:lastModifiedBy>P P</cp:lastModifiedBy>
  <dcterms:created xsi:type="dcterms:W3CDTF">2015-06-05T18:19:34Z</dcterms:created>
  <dcterms:modified xsi:type="dcterms:W3CDTF">2024-05-05T12:19:59Z</dcterms:modified>
</cp:coreProperties>
</file>